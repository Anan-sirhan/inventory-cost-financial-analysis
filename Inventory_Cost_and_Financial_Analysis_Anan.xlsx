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data analysis\Inventory_Financial_Analyst_Project_Template\"/>
    </mc:Choice>
  </mc:AlternateContent>
  <xr:revisionPtr revIDLastSave="0" documentId="8_{E5341C3C-A983-4B53-8DEF-FB4E089E787A}" xr6:coauthVersionLast="47" xr6:coauthVersionMax="47" xr10:uidLastSave="{00000000-0000-0000-0000-000000000000}"/>
  <bookViews>
    <workbookView xWindow="-108" yWindow="-108" windowWidth="23256" windowHeight="12456" tabRatio="918" firstSheet="3" activeTab="7" xr2:uid="{00000000-000D-0000-FFFF-FFFF00000000}"/>
  </bookViews>
  <sheets>
    <sheet name="Supplier_Risk_Pivot" sheetId="11" r:id="rId1"/>
    <sheet name="Shortage_Value_Pivot" sheetId="10" r:id="rId2"/>
    <sheet name="Inventory_Risk_pivot" sheetId="9" r:id="rId3"/>
    <sheet name="COGS_Category_Pivot" sheetId="14" r:id="rId4"/>
    <sheet name="Inventory" sheetId="1" r:id="rId5"/>
    <sheet name="Data Quality Checks" sheetId="6" r:id="rId6"/>
    <sheet name="Analysis" sheetId="7" r:id="rId7"/>
    <sheet name="Dashbord" sheetId="8" r:id="rId8"/>
    <sheet name="Data_Dictionaryc" sheetId="5" r:id="rId9"/>
    <sheet name="Inventory_kpi's" sheetId="13" r:id="rId10"/>
    <sheet name="Budget_vs_Actual" sheetId="2" r:id="rId11"/>
    <sheet name="Project_Roadmap" sheetId="3" r:id="rId12"/>
    <sheet name="Business_Questions" sheetId="4" r:id="rId13"/>
  </sheets>
  <definedNames>
    <definedName name="_xlnm._FilterDatabase" localSheetId="4" hidden="1">Inventory!$A$1:$L$3001</definedName>
    <definedName name="_xlnm.Print_Area" localSheetId="7">Dashbord!$1:$38</definedName>
  </definedNames>
  <calcPr calcId="191029"/>
  <pivotCaches>
    <pivotCache cacheId="50" r:id="rId14"/>
    <pivotCache cacheId="56"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8" l="1"/>
  <c r="G8" i="8"/>
  <c r="G5" i="8"/>
  <c r="E2" i="13"/>
  <c r="D2" i="13"/>
  <c r="C2" i="13"/>
  <c r="B2" i="13"/>
  <c r="I2" i="13"/>
  <c r="H2" i="13"/>
  <c r="G2" i="13"/>
  <c r="F2" i="13"/>
  <c r="V3" i="1"/>
  <c r="W3" i="1" s="1"/>
  <c r="V4" i="1"/>
  <c r="W4" i="1" s="1"/>
  <c r="V5" i="1"/>
  <c r="W5" i="1" s="1"/>
  <c r="V6" i="1"/>
  <c r="W6" i="1" s="1"/>
  <c r="V7" i="1"/>
  <c r="W7" i="1" s="1"/>
  <c r="V8" i="1"/>
  <c r="W8" i="1" s="1"/>
  <c r="V9" i="1"/>
  <c r="W9" i="1" s="1"/>
  <c r="V10" i="1"/>
  <c r="W10" i="1" s="1"/>
  <c r="V11" i="1"/>
  <c r="W11" i="1" s="1"/>
  <c r="V12" i="1"/>
  <c r="W12" i="1" s="1"/>
  <c r="V13" i="1"/>
  <c r="W13" i="1" s="1"/>
  <c r="V14" i="1"/>
  <c r="W14" i="1"/>
  <c r="V15" i="1"/>
  <c r="W15" i="1" s="1"/>
  <c r="V16" i="1"/>
  <c r="W16" i="1" s="1"/>
  <c r="V17" i="1"/>
  <c r="W17" i="1" s="1"/>
  <c r="V18" i="1"/>
  <c r="W18" i="1"/>
  <c r="V19" i="1"/>
  <c r="W19" i="1" s="1"/>
  <c r="V20" i="1"/>
  <c r="W20" i="1" s="1"/>
  <c r="V21" i="1"/>
  <c r="W21" i="1" s="1"/>
  <c r="V22" i="1"/>
  <c r="W22" i="1" s="1"/>
  <c r="V23" i="1"/>
  <c r="W23" i="1" s="1"/>
  <c r="V24" i="1"/>
  <c r="W24" i="1" s="1"/>
  <c r="V25" i="1"/>
  <c r="W25" i="1" s="1"/>
  <c r="V26" i="1"/>
  <c r="W26" i="1"/>
  <c r="V27" i="1"/>
  <c r="W27" i="1" s="1"/>
  <c r="V28" i="1"/>
  <c r="W28" i="1" s="1"/>
  <c r="V29" i="1"/>
  <c r="W29" i="1" s="1"/>
  <c r="V30" i="1"/>
  <c r="W30" i="1" s="1"/>
  <c r="V31" i="1"/>
  <c r="W31" i="1" s="1"/>
  <c r="V32" i="1"/>
  <c r="W32" i="1" s="1"/>
  <c r="V33" i="1"/>
  <c r="W33" i="1" s="1"/>
  <c r="V34" i="1"/>
  <c r="W34" i="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c r="V51" i="1"/>
  <c r="W51" i="1" s="1"/>
  <c r="V52" i="1"/>
  <c r="W52" i="1" s="1"/>
  <c r="V53" i="1"/>
  <c r="W53" i="1" s="1"/>
  <c r="V54" i="1"/>
  <c r="W54" i="1" s="1"/>
  <c r="V55" i="1"/>
  <c r="W55" i="1" s="1"/>
  <c r="V56" i="1"/>
  <c r="W56" i="1" s="1"/>
  <c r="V57" i="1"/>
  <c r="W57" i="1" s="1"/>
  <c r="V58" i="1"/>
  <c r="W58" i="1"/>
  <c r="V59" i="1"/>
  <c r="W59" i="1" s="1"/>
  <c r="V60" i="1"/>
  <c r="W60" i="1" s="1"/>
  <c r="V61" i="1"/>
  <c r="W61" i="1" s="1"/>
  <c r="V62" i="1"/>
  <c r="W62" i="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c r="V83" i="1"/>
  <c r="W83" i="1" s="1"/>
  <c r="V84" i="1"/>
  <c r="W84" i="1" s="1"/>
  <c r="V85" i="1"/>
  <c r="W85" i="1" s="1"/>
  <c r="V86" i="1"/>
  <c r="W86" i="1" s="1"/>
  <c r="V87" i="1"/>
  <c r="W87" i="1" s="1"/>
  <c r="V88" i="1"/>
  <c r="W88" i="1" s="1"/>
  <c r="V89" i="1"/>
  <c r="W89" i="1" s="1"/>
  <c r="V90" i="1"/>
  <c r="W90" i="1"/>
  <c r="V91" i="1"/>
  <c r="W91" i="1" s="1"/>
  <c r="V92" i="1"/>
  <c r="W92" i="1" s="1"/>
  <c r="V93" i="1"/>
  <c r="W93" i="1" s="1"/>
  <c r="V94" i="1"/>
  <c r="W94" i="1" s="1"/>
  <c r="V95" i="1"/>
  <c r="W95" i="1" s="1"/>
  <c r="V96" i="1"/>
  <c r="W96" i="1" s="1"/>
  <c r="V97" i="1"/>
  <c r="W97" i="1" s="1"/>
  <c r="V98" i="1"/>
  <c r="W98" i="1"/>
  <c r="V99" i="1"/>
  <c r="W99" i="1" s="1"/>
  <c r="V100" i="1"/>
  <c r="W100" i="1" s="1"/>
  <c r="V101" i="1"/>
  <c r="W101" i="1" s="1"/>
  <c r="V102" i="1"/>
  <c r="W102" i="1" s="1"/>
  <c r="V103" i="1"/>
  <c r="W103" i="1" s="1"/>
  <c r="V104" i="1"/>
  <c r="W104" i="1" s="1"/>
  <c r="V105" i="1"/>
  <c r="W105" i="1" s="1"/>
  <c r="V106" i="1"/>
  <c r="W106" i="1" s="1"/>
  <c r="V107" i="1"/>
  <c r="W107" i="1" s="1"/>
  <c r="V108" i="1"/>
  <c r="W108" i="1" s="1"/>
  <c r="V109" i="1"/>
  <c r="W109" i="1" s="1"/>
  <c r="V110" i="1"/>
  <c r="W110" i="1"/>
  <c r="V111" i="1"/>
  <c r="W111" i="1" s="1"/>
  <c r="V112" i="1"/>
  <c r="W112" i="1" s="1"/>
  <c r="V113" i="1"/>
  <c r="W113" i="1" s="1"/>
  <c r="V114" i="1"/>
  <c r="W114" i="1"/>
  <c r="V115" i="1"/>
  <c r="W115" i="1" s="1"/>
  <c r="V116" i="1"/>
  <c r="W116" i="1" s="1"/>
  <c r="V117" i="1"/>
  <c r="W117" i="1" s="1"/>
  <c r="V118" i="1"/>
  <c r="W118" i="1" s="1"/>
  <c r="V119" i="1"/>
  <c r="W119" i="1" s="1"/>
  <c r="V120" i="1"/>
  <c r="W120" i="1" s="1"/>
  <c r="V121" i="1"/>
  <c r="W121" i="1" s="1"/>
  <c r="V122" i="1"/>
  <c r="W122" i="1"/>
  <c r="V123" i="1"/>
  <c r="W123" i="1" s="1"/>
  <c r="V124" i="1"/>
  <c r="W124" i="1" s="1"/>
  <c r="V125" i="1"/>
  <c r="W125" i="1" s="1"/>
  <c r="V126" i="1"/>
  <c r="W126" i="1" s="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W146" i="1"/>
  <c r="V147" i="1"/>
  <c r="W147" i="1" s="1"/>
  <c r="V148" i="1"/>
  <c r="W148" i="1" s="1"/>
  <c r="V149" i="1"/>
  <c r="W149" i="1" s="1"/>
  <c r="V150" i="1"/>
  <c r="W150" i="1" s="1"/>
  <c r="V151" i="1"/>
  <c r="W151" i="1" s="1"/>
  <c r="V152" i="1"/>
  <c r="W152" i="1" s="1"/>
  <c r="V153" i="1"/>
  <c r="W153" i="1" s="1"/>
  <c r="V154" i="1"/>
  <c r="W154" i="1"/>
  <c r="V155" i="1"/>
  <c r="W155" i="1" s="1"/>
  <c r="V156" i="1"/>
  <c r="W156" i="1" s="1"/>
  <c r="V157" i="1"/>
  <c r="W157" i="1" s="1"/>
  <c r="V158" i="1"/>
  <c r="W158" i="1" s="1"/>
  <c r="V159" i="1"/>
  <c r="W159" i="1" s="1"/>
  <c r="V160" i="1"/>
  <c r="W160" i="1" s="1"/>
  <c r="V161" i="1"/>
  <c r="W161" i="1" s="1"/>
  <c r="V162" i="1"/>
  <c r="W162" i="1"/>
  <c r="V163" i="1"/>
  <c r="W163" i="1" s="1"/>
  <c r="V164" i="1"/>
  <c r="W164" i="1" s="1"/>
  <c r="V165" i="1"/>
  <c r="W165" i="1" s="1"/>
  <c r="V166" i="1"/>
  <c r="W166" i="1" s="1"/>
  <c r="V167" i="1"/>
  <c r="W167" i="1" s="1"/>
  <c r="V168" i="1"/>
  <c r="W168" i="1" s="1"/>
  <c r="V169" i="1"/>
  <c r="W169" i="1" s="1"/>
  <c r="V170" i="1"/>
  <c r="W170" i="1" s="1"/>
  <c r="V171" i="1"/>
  <c r="W171" i="1" s="1"/>
  <c r="V172" i="1"/>
  <c r="W172" i="1" s="1"/>
  <c r="V173" i="1"/>
  <c r="W173" i="1" s="1"/>
  <c r="V174" i="1"/>
  <c r="W174" i="1"/>
  <c r="V175" i="1"/>
  <c r="W175" i="1" s="1"/>
  <c r="V176" i="1"/>
  <c r="W176" i="1" s="1"/>
  <c r="V177" i="1"/>
  <c r="W177" i="1" s="1"/>
  <c r="V178" i="1"/>
  <c r="W178" i="1"/>
  <c r="V179" i="1"/>
  <c r="W179" i="1" s="1"/>
  <c r="V180" i="1"/>
  <c r="W180" i="1" s="1"/>
  <c r="V181" i="1"/>
  <c r="W181" i="1" s="1"/>
  <c r="V182" i="1"/>
  <c r="W182" i="1" s="1"/>
  <c r="V183" i="1"/>
  <c r="W183" i="1" s="1"/>
  <c r="V184" i="1"/>
  <c r="W184" i="1" s="1"/>
  <c r="V185" i="1"/>
  <c r="W185" i="1" s="1"/>
  <c r="V186" i="1"/>
  <c r="W186" i="1"/>
  <c r="V187" i="1"/>
  <c r="W187" i="1" s="1"/>
  <c r="V188" i="1"/>
  <c r="W188" i="1" s="1"/>
  <c r="V189" i="1"/>
  <c r="W189" i="1" s="1"/>
  <c r="V190" i="1"/>
  <c r="W190" i="1" s="1"/>
  <c r="V191" i="1"/>
  <c r="W191" i="1" s="1"/>
  <c r="V192" i="1"/>
  <c r="W192" i="1" s="1"/>
  <c r="V193" i="1"/>
  <c r="W193" i="1" s="1"/>
  <c r="V194" i="1"/>
  <c r="W194" i="1" s="1"/>
  <c r="V195" i="1"/>
  <c r="W195" i="1" s="1"/>
  <c r="V196" i="1"/>
  <c r="W196" i="1" s="1"/>
  <c r="V197" i="1"/>
  <c r="W197" i="1" s="1"/>
  <c r="V198" i="1"/>
  <c r="W198" i="1" s="1"/>
  <c r="V199" i="1"/>
  <c r="W199" i="1" s="1"/>
  <c r="V200" i="1"/>
  <c r="W200" i="1" s="1"/>
  <c r="V201" i="1"/>
  <c r="W201" i="1" s="1"/>
  <c r="V202" i="1"/>
  <c r="W202" i="1" s="1"/>
  <c r="V203" i="1"/>
  <c r="W203" i="1" s="1"/>
  <c r="V204" i="1"/>
  <c r="W204" i="1" s="1"/>
  <c r="V205" i="1"/>
  <c r="W205" i="1" s="1"/>
  <c r="V206" i="1"/>
  <c r="W206" i="1" s="1"/>
  <c r="V207" i="1"/>
  <c r="W207" i="1" s="1"/>
  <c r="V208" i="1"/>
  <c r="W208" i="1" s="1"/>
  <c r="V209" i="1"/>
  <c r="W209" i="1" s="1"/>
  <c r="V210" i="1"/>
  <c r="W210" i="1"/>
  <c r="V211" i="1"/>
  <c r="W211" i="1" s="1"/>
  <c r="V212" i="1"/>
  <c r="W212" i="1" s="1"/>
  <c r="V213" i="1"/>
  <c r="W213" i="1" s="1"/>
  <c r="V214" i="1"/>
  <c r="W214" i="1"/>
  <c r="V215" i="1"/>
  <c r="W215" i="1" s="1"/>
  <c r="V216" i="1"/>
  <c r="W216" i="1" s="1"/>
  <c r="V217" i="1"/>
  <c r="W217" i="1" s="1"/>
  <c r="V218" i="1"/>
  <c r="W218" i="1"/>
  <c r="V219" i="1"/>
  <c r="W219" i="1" s="1"/>
  <c r="V220" i="1"/>
  <c r="W220" i="1" s="1"/>
  <c r="V221" i="1"/>
  <c r="W221" i="1" s="1"/>
  <c r="V222" i="1"/>
  <c r="W222" i="1" s="1"/>
  <c r="V223" i="1"/>
  <c r="W223" i="1" s="1"/>
  <c r="V224" i="1"/>
  <c r="W224" i="1" s="1"/>
  <c r="V225" i="1"/>
  <c r="W225" i="1" s="1"/>
  <c r="V226" i="1"/>
  <c r="W226" i="1" s="1"/>
  <c r="V227" i="1"/>
  <c r="W227" i="1" s="1"/>
  <c r="V228" i="1"/>
  <c r="W228" i="1" s="1"/>
  <c r="V229" i="1"/>
  <c r="W229" i="1" s="1"/>
  <c r="V230" i="1"/>
  <c r="W230" i="1" s="1"/>
  <c r="V231" i="1"/>
  <c r="W231" i="1" s="1"/>
  <c r="V232" i="1"/>
  <c r="W232" i="1" s="1"/>
  <c r="V233" i="1"/>
  <c r="W233" i="1" s="1"/>
  <c r="V234" i="1"/>
  <c r="W234" i="1" s="1"/>
  <c r="V235" i="1"/>
  <c r="W235" i="1" s="1"/>
  <c r="V236" i="1"/>
  <c r="W236" i="1" s="1"/>
  <c r="V237" i="1"/>
  <c r="W237" i="1" s="1"/>
  <c r="V238" i="1"/>
  <c r="W238" i="1"/>
  <c r="V239" i="1"/>
  <c r="W239" i="1" s="1"/>
  <c r="V240" i="1"/>
  <c r="W240" i="1" s="1"/>
  <c r="V241" i="1"/>
  <c r="W241" i="1" s="1"/>
  <c r="V242" i="1"/>
  <c r="W242" i="1"/>
  <c r="V243" i="1"/>
  <c r="W243" i="1" s="1"/>
  <c r="V244" i="1"/>
  <c r="W244" i="1" s="1"/>
  <c r="V245" i="1"/>
  <c r="W245" i="1" s="1"/>
  <c r="V246" i="1"/>
  <c r="W246" i="1"/>
  <c r="V247" i="1"/>
  <c r="W247" i="1" s="1"/>
  <c r="V248" i="1"/>
  <c r="W248" i="1" s="1"/>
  <c r="V249" i="1"/>
  <c r="W249" i="1" s="1"/>
  <c r="V250" i="1"/>
  <c r="W250" i="1"/>
  <c r="V251" i="1"/>
  <c r="W251" i="1" s="1"/>
  <c r="V252" i="1"/>
  <c r="W252" i="1" s="1"/>
  <c r="V253" i="1"/>
  <c r="W253" i="1" s="1"/>
  <c r="V254" i="1"/>
  <c r="W254" i="1" s="1"/>
  <c r="V255" i="1"/>
  <c r="W255" i="1" s="1"/>
  <c r="V256" i="1"/>
  <c r="W256" i="1" s="1"/>
  <c r="V257" i="1"/>
  <c r="W257" i="1" s="1"/>
  <c r="V258" i="1"/>
  <c r="W258" i="1"/>
  <c r="V259" i="1"/>
  <c r="W259" i="1" s="1"/>
  <c r="V260" i="1"/>
  <c r="W260" i="1" s="1"/>
  <c r="V261" i="1"/>
  <c r="W261" i="1" s="1"/>
  <c r="V262" i="1"/>
  <c r="W262" i="1" s="1"/>
  <c r="V263" i="1"/>
  <c r="W263" i="1" s="1"/>
  <c r="V264" i="1"/>
  <c r="W264" i="1" s="1"/>
  <c r="V265" i="1"/>
  <c r="W265" i="1" s="1"/>
  <c r="V266" i="1"/>
  <c r="W266" i="1" s="1"/>
  <c r="V267" i="1"/>
  <c r="W267" i="1" s="1"/>
  <c r="V268" i="1"/>
  <c r="W268" i="1" s="1"/>
  <c r="V269" i="1"/>
  <c r="W269" i="1" s="1"/>
  <c r="V270" i="1"/>
  <c r="W270" i="1"/>
  <c r="V271" i="1"/>
  <c r="W271" i="1" s="1"/>
  <c r="V272" i="1"/>
  <c r="W272" i="1" s="1"/>
  <c r="V273" i="1"/>
  <c r="W273" i="1" s="1"/>
  <c r="V274" i="1"/>
  <c r="W274" i="1"/>
  <c r="V275" i="1"/>
  <c r="W275" i="1" s="1"/>
  <c r="V276" i="1"/>
  <c r="W276" i="1" s="1"/>
  <c r="V277" i="1"/>
  <c r="W277" i="1" s="1"/>
  <c r="V278" i="1"/>
  <c r="W278" i="1"/>
  <c r="V279" i="1"/>
  <c r="W279" i="1" s="1"/>
  <c r="V280" i="1"/>
  <c r="W280" i="1" s="1"/>
  <c r="V281" i="1"/>
  <c r="W281" i="1" s="1"/>
  <c r="V282" i="1"/>
  <c r="W282" i="1"/>
  <c r="V283" i="1"/>
  <c r="W283" i="1" s="1"/>
  <c r="V284" i="1"/>
  <c r="W284" i="1" s="1"/>
  <c r="V285" i="1"/>
  <c r="W285" i="1" s="1"/>
  <c r="V286" i="1"/>
  <c r="W286" i="1" s="1"/>
  <c r="V287" i="1"/>
  <c r="W287" i="1" s="1"/>
  <c r="V288" i="1"/>
  <c r="W288" i="1" s="1"/>
  <c r="V289" i="1"/>
  <c r="W289" i="1" s="1"/>
  <c r="V290" i="1"/>
  <c r="W290" i="1"/>
  <c r="V291" i="1"/>
  <c r="W291" i="1" s="1"/>
  <c r="V292" i="1"/>
  <c r="W292" i="1" s="1"/>
  <c r="V293" i="1"/>
  <c r="W293" i="1" s="1"/>
  <c r="V294" i="1"/>
  <c r="W294" i="1" s="1"/>
  <c r="V295" i="1"/>
  <c r="W295" i="1" s="1"/>
  <c r="V296" i="1"/>
  <c r="W296" i="1" s="1"/>
  <c r="V297" i="1"/>
  <c r="W297" i="1" s="1"/>
  <c r="V298" i="1"/>
  <c r="W298" i="1" s="1"/>
  <c r="V299" i="1"/>
  <c r="W299" i="1" s="1"/>
  <c r="V300" i="1"/>
  <c r="W300" i="1" s="1"/>
  <c r="V301" i="1"/>
  <c r="W301" i="1" s="1"/>
  <c r="V302" i="1"/>
  <c r="W302" i="1"/>
  <c r="V303" i="1"/>
  <c r="W303" i="1" s="1"/>
  <c r="V304" i="1"/>
  <c r="W304" i="1" s="1"/>
  <c r="V305" i="1"/>
  <c r="W305" i="1" s="1"/>
  <c r="V306" i="1"/>
  <c r="W306" i="1"/>
  <c r="V307" i="1"/>
  <c r="W307" i="1" s="1"/>
  <c r="V308" i="1"/>
  <c r="W308" i="1" s="1"/>
  <c r="V309" i="1"/>
  <c r="W309" i="1" s="1"/>
  <c r="V310" i="1"/>
  <c r="W310" i="1"/>
  <c r="V311" i="1"/>
  <c r="W311" i="1" s="1"/>
  <c r="V312" i="1"/>
  <c r="W312" i="1" s="1"/>
  <c r="V313" i="1"/>
  <c r="W313" i="1" s="1"/>
  <c r="V314" i="1"/>
  <c r="W314" i="1"/>
  <c r="V315" i="1"/>
  <c r="W315" i="1" s="1"/>
  <c r="V316" i="1"/>
  <c r="W316" i="1" s="1"/>
  <c r="V317" i="1"/>
  <c r="W317" i="1" s="1"/>
  <c r="V318" i="1"/>
  <c r="W318" i="1" s="1"/>
  <c r="V319" i="1"/>
  <c r="W319" i="1" s="1"/>
  <c r="V320" i="1"/>
  <c r="W320" i="1" s="1"/>
  <c r="V321" i="1"/>
  <c r="W321" i="1" s="1"/>
  <c r="V322" i="1"/>
  <c r="W322" i="1"/>
  <c r="V323" i="1"/>
  <c r="W323" i="1" s="1"/>
  <c r="V324" i="1"/>
  <c r="W324" i="1" s="1"/>
  <c r="V325" i="1"/>
  <c r="W325" i="1" s="1"/>
  <c r="V326" i="1"/>
  <c r="W326" i="1" s="1"/>
  <c r="V327" i="1"/>
  <c r="W327" i="1" s="1"/>
  <c r="V328" i="1"/>
  <c r="W328" i="1" s="1"/>
  <c r="V329" i="1"/>
  <c r="W329" i="1" s="1"/>
  <c r="V330" i="1"/>
  <c r="W330" i="1" s="1"/>
  <c r="V331" i="1"/>
  <c r="W331" i="1" s="1"/>
  <c r="V332" i="1"/>
  <c r="W332" i="1" s="1"/>
  <c r="V333" i="1"/>
  <c r="W333" i="1" s="1"/>
  <c r="V334" i="1"/>
  <c r="W334" i="1"/>
  <c r="V335" i="1"/>
  <c r="W335" i="1" s="1"/>
  <c r="V336" i="1"/>
  <c r="W336" i="1" s="1"/>
  <c r="V337" i="1"/>
  <c r="W337" i="1" s="1"/>
  <c r="V338" i="1"/>
  <c r="W338" i="1"/>
  <c r="V339" i="1"/>
  <c r="W339" i="1" s="1"/>
  <c r="V340" i="1"/>
  <c r="W340" i="1" s="1"/>
  <c r="V341" i="1"/>
  <c r="W341" i="1" s="1"/>
  <c r="V342" i="1"/>
  <c r="W342" i="1"/>
  <c r="V343" i="1"/>
  <c r="W343" i="1" s="1"/>
  <c r="V344" i="1"/>
  <c r="W344" i="1" s="1"/>
  <c r="V345" i="1"/>
  <c r="W345" i="1"/>
  <c r="V346" i="1"/>
  <c r="W346" i="1"/>
  <c r="V347" i="1"/>
  <c r="W347" i="1" s="1"/>
  <c r="V348" i="1"/>
  <c r="W348" i="1" s="1"/>
  <c r="V349" i="1"/>
  <c r="W349" i="1" s="1"/>
  <c r="V350" i="1"/>
  <c r="W350" i="1"/>
  <c r="V351" i="1"/>
  <c r="W351" i="1" s="1"/>
  <c r="V352" i="1"/>
  <c r="W352" i="1" s="1"/>
  <c r="V353" i="1"/>
  <c r="W353" i="1"/>
  <c r="V354" i="1"/>
  <c r="W354" i="1" s="1"/>
  <c r="V355" i="1"/>
  <c r="W355" i="1" s="1"/>
  <c r="V356" i="1"/>
  <c r="W356" i="1" s="1"/>
  <c r="V357" i="1"/>
  <c r="W357" i="1"/>
  <c r="V358" i="1"/>
  <c r="W358" i="1"/>
  <c r="V359" i="1"/>
  <c r="W359" i="1" s="1"/>
  <c r="V360" i="1"/>
  <c r="W360" i="1"/>
  <c r="V361" i="1"/>
  <c r="W361" i="1" s="1"/>
  <c r="V362" i="1"/>
  <c r="W362" i="1"/>
  <c r="V363" i="1"/>
  <c r="W363" i="1" s="1"/>
  <c r="V364" i="1"/>
  <c r="W364" i="1" s="1"/>
  <c r="V365" i="1"/>
  <c r="W365" i="1"/>
  <c r="V366" i="1"/>
  <c r="W366" i="1"/>
  <c r="V367" i="1"/>
  <c r="W367" i="1" s="1"/>
  <c r="V368" i="1"/>
  <c r="W368" i="1"/>
  <c r="V369" i="1"/>
  <c r="W369" i="1"/>
  <c r="V370" i="1"/>
  <c r="W370" i="1" s="1"/>
  <c r="V371" i="1"/>
  <c r="W371" i="1" s="1"/>
  <c r="V372" i="1"/>
  <c r="W372" i="1"/>
  <c r="V373" i="1"/>
  <c r="W373" i="1" s="1"/>
  <c r="V374" i="1"/>
  <c r="W374" i="1"/>
  <c r="V375" i="1"/>
  <c r="W375" i="1" s="1"/>
  <c r="V376" i="1"/>
  <c r="W376" i="1"/>
  <c r="V377" i="1"/>
  <c r="W377" i="1"/>
  <c r="V378" i="1"/>
  <c r="W378" i="1"/>
  <c r="V379" i="1"/>
  <c r="W379" i="1" s="1"/>
  <c r="V380" i="1"/>
  <c r="W380" i="1"/>
  <c r="V381" i="1"/>
  <c r="W381" i="1"/>
  <c r="V382" i="1"/>
  <c r="W382" i="1" s="1"/>
  <c r="V383" i="1"/>
  <c r="W383" i="1" s="1"/>
  <c r="V384" i="1"/>
  <c r="W384" i="1" s="1"/>
  <c r="V385" i="1"/>
  <c r="W385" i="1"/>
  <c r="V386" i="1"/>
  <c r="W386" i="1"/>
  <c r="V387" i="1"/>
  <c r="W387" i="1" s="1"/>
  <c r="V388" i="1"/>
  <c r="W388" i="1"/>
  <c r="V389" i="1"/>
  <c r="W389" i="1"/>
  <c r="V390" i="1"/>
  <c r="W390" i="1"/>
  <c r="V391" i="1"/>
  <c r="W391" i="1" s="1"/>
  <c r="V392" i="1"/>
  <c r="W392" i="1"/>
  <c r="V393" i="1"/>
  <c r="W393" i="1" s="1"/>
  <c r="V394" i="1"/>
  <c r="W394" i="1"/>
  <c r="V395" i="1"/>
  <c r="W395" i="1" s="1"/>
  <c r="V396" i="1"/>
  <c r="W396" i="1" s="1"/>
  <c r="V397" i="1"/>
  <c r="W397" i="1"/>
  <c r="V398" i="1"/>
  <c r="W398" i="1"/>
  <c r="V399" i="1"/>
  <c r="W399" i="1" s="1"/>
  <c r="V400" i="1"/>
  <c r="W400" i="1"/>
  <c r="V401" i="1"/>
  <c r="W401" i="1"/>
  <c r="V402" i="1"/>
  <c r="W402" i="1" s="1"/>
  <c r="V403" i="1"/>
  <c r="W403" i="1" s="1"/>
  <c r="V404" i="1"/>
  <c r="W404" i="1"/>
  <c r="V405" i="1"/>
  <c r="W405" i="1" s="1"/>
  <c r="V406" i="1"/>
  <c r="W406" i="1"/>
  <c r="V407" i="1"/>
  <c r="W407" i="1" s="1"/>
  <c r="V408" i="1"/>
  <c r="W408" i="1"/>
  <c r="V409" i="1"/>
  <c r="W409" i="1"/>
  <c r="V410" i="1"/>
  <c r="W410" i="1"/>
  <c r="V411" i="1"/>
  <c r="W411" i="1" s="1"/>
  <c r="V412" i="1"/>
  <c r="W412" i="1"/>
  <c r="V413" i="1"/>
  <c r="W413" i="1"/>
  <c r="V414" i="1"/>
  <c r="W414" i="1" s="1"/>
  <c r="V415" i="1"/>
  <c r="W415" i="1" s="1"/>
  <c r="V416" i="1"/>
  <c r="W416" i="1" s="1"/>
  <c r="V417" i="1"/>
  <c r="W417" i="1"/>
  <c r="V418" i="1"/>
  <c r="W418" i="1"/>
  <c r="V419" i="1"/>
  <c r="W419" i="1" s="1"/>
  <c r="V420" i="1"/>
  <c r="W420" i="1"/>
  <c r="V421" i="1"/>
  <c r="W421" i="1"/>
  <c r="V422" i="1"/>
  <c r="W422" i="1"/>
  <c r="V423" i="1"/>
  <c r="W423" i="1" s="1"/>
  <c r="V424" i="1"/>
  <c r="W424" i="1"/>
  <c r="V425" i="1"/>
  <c r="W425" i="1" s="1"/>
  <c r="V426" i="1"/>
  <c r="W426" i="1"/>
  <c r="V427" i="1"/>
  <c r="W427" i="1" s="1"/>
  <c r="V428" i="1"/>
  <c r="W428" i="1" s="1"/>
  <c r="V429" i="1"/>
  <c r="W429" i="1"/>
  <c r="V430" i="1"/>
  <c r="W430" i="1"/>
  <c r="V431" i="1"/>
  <c r="W431" i="1" s="1"/>
  <c r="V432" i="1"/>
  <c r="W432" i="1"/>
  <c r="V433" i="1"/>
  <c r="W433" i="1"/>
  <c r="V434" i="1"/>
  <c r="W434" i="1" s="1"/>
  <c r="V435" i="1"/>
  <c r="W435" i="1" s="1"/>
  <c r="V436" i="1"/>
  <c r="W436" i="1"/>
  <c r="V437" i="1"/>
  <c r="W437" i="1" s="1"/>
  <c r="V438" i="1"/>
  <c r="W438" i="1"/>
  <c r="V439" i="1"/>
  <c r="W439" i="1" s="1"/>
  <c r="V440" i="1"/>
  <c r="W440" i="1"/>
  <c r="V441" i="1"/>
  <c r="W441" i="1"/>
  <c r="V442" i="1"/>
  <c r="W442" i="1"/>
  <c r="V443" i="1"/>
  <c r="W443" i="1" s="1"/>
  <c r="V444" i="1"/>
  <c r="W444" i="1"/>
  <c r="V445" i="1"/>
  <c r="W445" i="1"/>
  <c r="V446" i="1"/>
  <c r="W446" i="1" s="1"/>
  <c r="V447" i="1"/>
  <c r="W447" i="1" s="1"/>
  <c r="V448" i="1"/>
  <c r="W448" i="1" s="1"/>
  <c r="V449" i="1"/>
  <c r="W449" i="1"/>
  <c r="V450" i="1"/>
  <c r="W450" i="1"/>
  <c r="V451" i="1"/>
  <c r="W451" i="1" s="1"/>
  <c r="V452" i="1"/>
  <c r="W452" i="1"/>
  <c r="V453" i="1"/>
  <c r="W453" i="1"/>
  <c r="V454" i="1"/>
  <c r="W454" i="1"/>
  <c r="V455" i="1"/>
  <c r="W455" i="1" s="1"/>
  <c r="V456" i="1"/>
  <c r="W456" i="1"/>
  <c r="V457" i="1"/>
  <c r="W457" i="1" s="1"/>
  <c r="V458" i="1"/>
  <c r="W458" i="1"/>
  <c r="V459" i="1"/>
  <c r="W459" i="1" s="1"/>
  <c r="V460" i="1"/>
  <c r="W460" i="1" s="1"/>
  <c r="V461" i="1"/>
  <c r="W461" i="1"/>
  <c r="V462" i="1"/>
  <c r="W462" i="1"/>
  <c r="V463" i="1"/>
  <c r="W463" i="1" s="1"/>
  <c r="V464" i="1"/>
  <c r="W464" i="1"/>
  <c r="V465" i="1"/>
  <c r="W465" i="1"/>
  <c r="V466" i="1"/>
  <c r="W466" i="1" s="1"/>
  <c r="V467" i="1"/>
  <c r="W467" i="1" s="1"/>
  <c r="V468" i="1"/>
  <c r="W468" i="1"/>
  <c r="V469" i="1"/>
  <c r="W469" i="1" s="1"/>
  <c r="V470" i="1"/>
  <c r="W470" i="1"/>
  <c r="V471" i="1"/>
  <c r="W471" i="1" s="1"/>
  <c r="V472" i="1"/>
  <c r="W472" i="1"/>
  <c r="V473" i="1"/>
  <c r="W473" i="1"/>
  <c r="V474" i="1"/>
  <c r="W474" i="1"/>
  <c r="V475" i="1"/>
  <c r="W475" i="1" s="1"/>
  <c r="V476" i="1"/>
  <c r="W476" i="1"/>
  <c r="V477" i="1"/>
  <c r="W477" i="1"/>
  <c r="V478" i="1"/>
  <c r="W478" i="1" s="1"/>
  <c r="V479" i="1"/>
  <c r="W479" i="1" s="1"/>
  <c r="V480" i="1"/>
  <c r="W480" i="1" s="1"/>
  <c r="V481" i="1"/>
  <c r="W481" i="1"/>
  <c r="V482" i="1"/>
  <c r="W482" i="1"/>
  <c r="V483" i="1"/>
  <c r="W483" i="1" s="1"/>
  <c r="V484" i="1"/>
  <c r="W484" i="1"/>
  <c r="V485" i="1"/>
  <c r="W485" i="1"/>
  <c r="V486" i="1"/>
  <c r="W486" i="1"/>
  <c r="V487" i="1"/>
  <c r="W487" i="1" s="1"/>
  <c r="V488" i="1"/>
  <c r="W488" i="1"/>
  <c r="V489" i="1"/>
  <c r="W489" i="1" s="1"/>
  <c r="V490" i="1"/>
  <c r="W490" i="1"/>
  <c r="V491" i="1"/>
  <c r="W491" i="1" s="1"/>
  <c r="V492" i="1"/>
  <c r="W492" i="1" s="1"/>
  <c r="V493" i="1"/>
  <c r="W493" i="1"/>
  <c r="V494" i="1"/>
  <c r="W494" i="1"/>
  <c r="V495" i="1"/>
  <c r="W495" i="1" s="1"/>
  <c r="V496" i="1"/>
  <c r="W496" i="1"/>
  <c r="V497" i="1"/>
  <c r="W497" i="1"/>
  <c r="V498" i="1"/>
  <c r="W498" i="1" s="1"/>
  <c r="V499" i="1"/>
  <c r="W499" i="1" s="1"/>
  <c r="V500" i="1"/>
  <c r="W500" i="1"/>
  <c r="V501" i="1"/>
  <c r="W501" i="1" s="1"/>
  <c r="V502" i="1"/>
  <c r="W502" i="1"/>
  <c r="V503" i="1"/>
  <c r="W503" i="1" s="1"/>
  <c r="V504" i="1"/>
  <c r="W504" i="1"/>
  <c r="V505" i="1"/>
  <c r="W505" i="1"/>
  <c r="V506" i="1"/>
  <c r="W506" i="1"/>
  <c r="V507" i="1"/>
  <c r="W507" i="1" s="1"/>
  <c r="V508" i="1"/>
  <c r="W508" i="1"/>
  <c r="V509" i="1"/>
  <c r="W509" i="1"/>
  <c r="V510" i="1"/>
  <c r="W510" i="1" s="1"/>
  <c r="V511" i="1"/>
  <c r="W511" i="1" s="1"/>
  <c r="V512" i="1"/>
  <c r="W512" i="1" s="1"/>
  <c r="V513" i="1"/>
  <c r="W513" i="1"/>
  <c r="V514" i="1"/>
  <c r="W514" i="1"/>
  <c r="V515" i="1"/>
  <c r="W515" i="1" s="1"/>
  <c r="V516" i="1"/>
  <c r="W516" i="1" s="1"/>
  <c r="V517" i="1"/>
  <c r="W517" i="1"/>
  <c r="V518" i="1"/>
  <c r="W518" i="1"/>
  <c r="V519" i="1"/>
  <c r="W519" i="1" s="1"/>
  <c r="V520" i="1"/>
  <c r="W520" i="1"/>
  <c r="V521" i="1"/>
  <c r="W521" i="1" s="1"/>
  <c r="V522" i="1"/>
  <c r="W522" i="1"/>
  <c r="V523" i="1"/>
  <c r="W523" i="1" s="1"/>
  <c r="V524" i="1"/>
  <c r="W524" i="1" s="1"/>
  <c r="V525" i="1"/>
  <c r="W525" i="1"/>
  <c r="V526" i="1"/>
  <c r="W526" i="1"/>
  <c r="V527" i="1"/>
  <c r="W527" i="1" s="1"/>
  <c r="V528" i="1"/>
  <c r="W528" i="1"/>
  <c r="V529" i="1"/>
  <c r="W529" i="1"/>
  <c r="V530" i="1"/>
  <c r="W530" i="1" s="1"/>
  <c r="V531" i="1"/>
  <c r="W531" i="1" s="1"/>
  <c r="V532" i="1"/>
  <c r="W532" i="1"/>
  <c r="V533" i="1"/>
  <c r="W533" i="1" s="1"/>
  <c r="V534" i="1"/>
  <c r="W534" i="1" s="1"/>
  <c r="V535" i="1"/>
  <c r="W535" i="1" s="1"/>
  <c r="V536" i="1"/>
  <c r="W536" i="1"/>
  <c r="V537" i="1"/>
  <c r="W537" i="1"/>
  <c r="V538" i="1"/>
  <c r="W538" i="1"/>
  <c r="V539" i="1"/>
  <c r="W539" i="1" s="1"/>
  <c r="V540" i="1"/>
  <c r="W540" i="1"/>
  <c r="V541" i="1"/>
  <c r="W541" i="1" s="1"/>
  <c r="V542" i="1"/>
  <c r="W542" i="1" s="1"/>
  <c r="V543" i="1"/>
  <c r="W543" i="1" s="1"/>
  <c r="V544" i="1"/>
  <c r="W544" i="1" s="1"/>
  <c r="V545" i="1"/>
  <c r="W545" i="1"/>
  <c r="V546" i="1"/>
  <c r="W546" i="1"/>
  <c r="V547" i="1"/>
  <c r="W547" i="1" s="1"/>
  <c r="V548" i="1"/>
  <c r="W548" i="1" s="1"/>
  <c r="V549" i="1"/>
  <c r="W549" i="1"/>
  <c r="V550" i="1"/>
  <c r="W550" i="1"/>
  <c r="V551" i="1"/>
  <c r="W551" i="1" s="1"/>
  <c r="V552" i="1"/>
  <c r="W552" i="1"/>
  <c r="V553" i="1"/>
  <c r="W553" i="1" s="1"/>
  <c r="V554" i="1"/>
  <c r="W554" i="1"/>
  <c r="V555" i="1"/>
  <c r="W555" i="1" s="1"/>
  <c r="V556" i="1"/>
  <c r="W556" i="1" s="1"/>
  <c r="V557" i="1"/>
  <c r="W557" i="1"/>
  <c r="V558" i="1"/>
  <c r="W558" i="1"/>
  <c r="V559" i="1"/>
  <c r="W559" i="1" s="1"/>
  <c r="V560" i="1"/>
  <c r="W560" i="1"/>
  <c r="V561" i="1"/>
  <c r="W561" i="1"/>
  <c r="V562" i="1"/>
  <c r="W562" i="1" s="1"/>
  <c r="V563" i="1"/>
  <c r="W563" i="1" s="1"/>
  <c r="V564" i="1"/>
  <c r="W564" i="1" s="1"/>
  <c r="V565" i="1"/>
  <c r="W565" i="1" s="1"/>
  <c r="V566" i="1"/>
  <c r="W566" i="1" s="1"/>
  <c r="V567" i="1"/>
  <c r="W567" i="1" s="1"/>
  <c r="V568" i="1"/>
  <c r="W568" i="1"/>
  <c r="V569" i="1"/>
  <c r="W569" i="1"/>
  <c r="V570" i="1"/>
  <c r="W570" i="1"/>
  <c r="V571" i="1"/>
  <c r="W571" i="1" s="1"/>
  <c r="V572" i="1"/>
  <c r="W572" i="1"/>
  <c r="V573" i="1"/>
  <c r="W573" i="1" s="1"/>
  <c r="V574" i="1"/>
  <c r="W574" i="1" s="1"/>
  <c r="V575" i="1"/>
  <c r="W575" i="1" s="1"/>
  <c r="V576" i="1"/>
  <c r="W576" i="1" s="1"/>
  <c r="V577" i="1"/>
  <c r="W577" i="1"/>
  <c r="V578" i="1"/>
  <c r="W578" i="1"/>
  <c r="V579" i="1"/>
  <c r="W579" i="1" s="1"/>
  <c r="V580" i="1"/>
  <c r="W580" i="1" s="1"/>
  <c r="V581" i="1"/>
  <c r="W581" i="1"/>
  <c r="V582" i="1"/>
  <c r="W582" i="1" s="1"/>
  <c r="V583" i="1"/>
  <c r="W583" i="1" s="1"/>
  <c r="V584" i="1"/>
  <c r="W584" i="1"/>
  <c r="V585" i="1"/>
  <c r="W585" i="1" s="1"/>
  <c r="V586" i="1"/>
  <c r="W586" i="1"/>
  <c r="V587" i="1"/>
  <c r="W587" i="1" s="1"/>
  <c r="V588" i="1"/>
  <c r="W588" i="1" s="1"/>
  <c r="V589" i="1"/>
  <c r="W589" i="1"/>
  <c r="V590" i="1"/>
  <c r="W590" i="1"/>
  <c r="V591" i="1"/>
  <c r="W591" i="1" s="1"/>
  <c r="V592" i="1"/>
  <c r="W592" i="1"/>
  <c r="V593" i="1"/>
  <c r="W593" i="1"/>
  <c r="V594" i="1"/>
  <c r="W594" i="1" s="1"/>
  <c r="V595" i="1"/>
  <c r="W595" i="1" s="1"/>
  <c r="V596" i="1"/>
  <c r="W596" i="1" s="1"/>
  <c r="V597" i="1"/>
  <c r="W597" i="1" s="1"/>
  <c r="V598" i="1"/>
  <c r="W598" i="1" s="1"/>
  <c r="V599" i="1"/>
  <c r="W599" i="1" s="1"/>
  <c r="V600" i="1"/>
  <c r="W600" i="1"/>
  <c r="V601" i="1"/>
  <c r="W601" i="1"/>
  <c r="V602" i="1"/>
  <c r="W602" i="1"/>
  <c r="V603" i="1"/>
  <c r="W603" i="1" s="1"/>
  <c r="V604" i="1"/>
  <c r="W604" i="1"/>
  <c r="V605" i="1"/>
  <c r="W605" i="1" s="1"/>
  <c r="V606" i="1"/>
  <c r="W606" i="1" s="1"/>
  <c r="V607" i="1"/>
  <c r="W607" i="1" s="1"/>
  <c r="V608" i="1"/>
  <c r="W608" i="1" s="1"/>
  <c r="V609" i="1"/>
  <c r="W609" i="1"/>
  <c r="V610" i="1"/>
  <c r="W610" i="1"/>
  <c r="V611" i="1"/>
  <c r="W611" i="1" s="1"/>
  <c r="V612" i="1"/>
  <c r="W612" i="1" s="1"/>
  <c r="V613" i="1"/>
  <c r="W613" i="1"/>
  <c r="V614" i="1"/>
  <c r="W614" i="1" s="1"/>
  <c r="V615" i="1"/>
  <c r="W615" i="1" s="1"/>
  <c r="V616" i="1"/>
  <c r="W616" i="1"/>
  <c r="V617" i="1"/>
  <c r="W617" i="1" s="1"/>
  <c r="V618" i="1"/>
  <c r="W618" i="1"/>
  <c r="V619" i="1"/>
  <c r="W619" i="1" s="1"/>
  <c r="V620" i="1"/>
  <c r="W620" i="1" s="1"/>
  <c r="V621" i="1"/>
  <c r="W621" i="1"/>
  <c r="V622" i="1"/>
  <c r="W622" i="1"/>
  <c r="V623" i="1"/>
  <c r="W623" i="1" s="1"/>
  <c r="V624" i="1"/>
  <c r="W624" i="1"/>
  <c r="V625" i="1"/>
  <c r="W625" i="1"/>
  <c r="V626" i="1"/>
  <c r="W626" i="1" s="1"/>
  <c r="V627" i="1"/>
  <c r="W627" i="1" s="1"/>
  <c r="V628" i="1"/>
  <c r="W628" i="1" s="1"/>
  <c r="V629" i="1"/>
  <c r="W629" i="1" s="1"/>
  <c r="V630" i="1"/>
  <c r="W630" i="1"/>
  <c r="V631" i="1"/>
  <c r="W631" i="1" s="1"/>
  <c r="V632" i="1"/>
  <c r="W632" i="1"/>
  <c r="V633" i="1"/>
  <c r="W633" i="1"/>
  <c r="V634" i="1"/>
  <c r="W634" i="1"/>
  <c r="V635" i="1"/>
  <c r="W635" i="1" s="1"/>
  <c r="V636" i="1"/>
  <c r="W636" i="1" s="1"/>
  <c r="V637" i="1"/>
  <c r="W637" i="1" s="1"/>
  <c r="V638" i="1"/>
  <c r="W638" i="1" s="1"/>
  <c r="V639" i="1"/>
  <c r="W639" i="1" s="1"/>
  <c r="V640" i="1"/>
  <c r="W640" i="1" s="1"/>
  <c r="V641" i="1"/>
  <c r="W641" i="1"/>
  <c r="V642" i="1"/>
  <c r="W642" i="1"/>
  <c r="V643" i="1"/>
  <c r="W643" i="1" s="1"/>
  <c r="V644" i="1"/>
  <c r="W644" i="1"/>
  <c r="V645" i="1"/>
  <c r="W645" i="1"/>
  <c r="V646" i="1"/>
  <c r="W646" i="1" s="1"/>
  <c r="V647" i="1"/>
  <c r="W647" i="1" s="1"/>
  <c r="V648" i="1"/>
  <c r="W648" i="1" s="1"/>
  <c r="V649" i="1"/>
  <c r="W649" i="1" s="1"/>
  <c r="V650" i="1"/>
  <c r="W650" i="1" s="1"/>
  <c r="V651" i="1"/>
  <c r="W651" i="1" s="1"/>
  <c r="V652" i="1"/>
  <c r="W652" i="1" s="1"/>
  <c r="V653" i="1"/>
  <c r="W653" i="1" s="1"/>
  <c r="V654" i="1"/>
  <c r="W654" i="1" s="1"/>
  <c r="V655" i="1"/>
  <c r="W655" i="1" s="1"/>
  <c r="V656" i="1"/>
  <c r="W656" i="1"/>
  <c r="V657" i="1"/>
  <c r="W657" i="1" s="1"/>
  <c r="V658" i="1"/>
  <c r="W658" i="1" s="1"/>
  <c r="V659" i="1"/>
  <c r="W659" i="1" s="1"/>
  <c r="V660" i="1"/>
  <c r="W660" i="1"/>
  <c r="V661" i="1"/>
  <c r="W661" i="1" s="1"/>
  <c r="V662" i="1"/>
  <c r="W662" i="1" s="1"/>
  <c r="V663" i="1"/>
  <c r="W663" i="1" s="1"/>
  <c r="V664" i="1"/>
  <c r="W664" i="1" s="1"/>
  <c r="V665" i="1"/>
  <c r="W665" i="1" s="1"/>
  <c r="V666" i="1"/>
  <c r="W666" i="1" s="1"/>
  <c r="V667" i="1"/>
  <c r="W667" i="1" s="1"/>
  <c r="V668" i="1"/>
  <c r="W668" i="1"/>
  <c r="V669" i="1"/>
  <c r="W669" i="1" s="1"/>
  <c r="V670" i="1"/>
  <c r="W670" i="1" s="1"/>
  <c r="V671" i="1"/>
  <c r="W671" i="1" s="1"/>
  <c r="V672" i="1"/>
  <c r="W672" i="1"/>
  <c r="V673" i="1"/>
  <c r="W673" i="1" s="1"/>
  <c r="V674" i="1"/>
  <c r="W674" i="1" s="1"/>
  <c r="V675" i="1"/>
  <c r="W675" i="1" s="1"/>
  <c r="V676" i="1"/>
  <c r="W676" i="1"/>
  <c r="V677" i="1"/>
  <c r="W677" i="1" s="1"/>
  <c r="V678" i="1"/>
  <c r="W678" i="1" s="1"/>
  <c r="V679" i="1"/>
  <c r="W679" i="1" s="1"/>
  <c r="V680" i="1"/>
  <c r="W680" i="1" s="1"/>
  <c r="V681" i="1"/>
  <c r="W681" i="1" s="1"/>
  <c r="V682" i="1"/>
  <c r="W682" i="1" s="1"/>
  <c r="V683" i="1"/>
  <c r="W683" i="1" s="1"/>
  <c r="V684" i="1"/>
  <c r="W684" i="1" s="1"/>
  <c r="V685" i="1"/>
  <c r="W685" i="1" s="1"/>
  <c r="V686" i="1"/>
  <c r="W686" i="1" s="1"/>
  <c r="V687" i="1"/>
  <c r="W687" i="1" s="1"/>
  <c r="V688" i="1"/>
  <c r="W688" i="1"/>
  <c r="V689" i="1"/>
  <c r="W689" i="1" s="1"/>
  <c r="V690" i="1"/>
  <c r="W690" i="1" s="1"/>
  <c r="V691" i="1"/>
  <c r="W691" i="1" s="1"/>
  <c r="V692" i="1"/>
  <c r="W692" i="1"/>
  <c r="V693" i="1"/>
  <c r="W693" i="1" s="1"/>
  <c r="V694" i="1"/>
  <c r="W694" i="1" s="1"/>
  <c r="V695" i="1"/>
  <c r="W695" i="1" s="1"/>
  <c r="V696" i="1"/>
  <c r="W696" i="1" s="1"/>
  <c r="V697" i="1"/>
  <c r="W697" i="1" s="1"/>
  <c r="V698" i="1"/>
  <c r="W698" i="1" s="1"/>
  <c r="V699" i="1"/>
  <c r="W699" i="1" s="1"/>
  <c r="V700" i="1"/>
  <c r="W700" i="1"/>
  <c r="V701" i="1"/>
  <c r="W701" i="1" s="1"/>
  <c r="V702" i="1"/>
  <c r="W702" i="1" s="1"/>
  <c r="V703" i="1"/>
  <c r="W703" i="1" s="1"/>
  <c r="V704" i="1"/>
  <c r="W704" i="1"/>
  <c r="V705" i="1"/>
  <c r="W705" i="1" s="1"/>
  <c r="V706" i="1"/>
  <c r="W706" i="1" s="1"/>
  <c r="V707" i="1"/>
  <c r="W707" i="1" s="1"/>
  <c r="V708" i="1"/>
  <c r="W708" i="1"/>
  <c r="V709" i="1"/>
  <c r="W709" i="1" s="1"/>
  <c r="V710" i="1"/>
  <c r="W710" i="1" s="1"/>
  <c r="V711" i="1"/>
  <c r="W711" i="1" s="1"/>
  <c r="V712" i="1"/>
  <c r="W712" i="1" s="1"/>
  <c r="V713" i="1"/>
  <c r="W713" i="1" s="1"/>
  <c r="V714" i="1"/>
  <c r="W714" i="1" s="1"/>
  <c r="V715" i="1"/>
  <c r="W715" i="1" s="1"/>
  <c r="V716" i="1"/>
  <c r="W716" i="1" s="1"/>
  <c r="V717" i="1"/>
  <c r="W717" i="1" s="1"/>
  <c r="V718" i="1"/>
  <c r="W718" i="1" s="1"/>
  <c r="V719" i="1"/>
  <c r="W719" i="1" s="1"/>
  <c r="V720" i="1"/>
  <c r="W720" i="1"/>
  <c r="V721" i="1"/>
  <c r="W721" i="1" s="1"/>
  <c r="V722" i="1"/>
  <c r="W722" i="1" s="1"/>
  <c r="V723" i="1"/>
  <c r="W723" i="1" s="1"/>
  <c r="V724" i="1"/>
  <c r="W724" i="1"/>
  <c r="V725" i="1"/>
  <c r="W725" i="1" s="1"/>
  <c r="V726" i="1"/>
  <c r="W726" i="1" s="1"/>
  <c r="V727" i="1"/>
  <c r="W727" i="1" s="1"/>
  <c r="V728" i="1"/>
  <c r="W728" i="1" s="1"/>
  <c r="V729" i="1"/>
  <c r="W729" i="1" s="1"/>
  <c r="V730" i="1"/>
  <c r="W730" i="1" s="1"/>
  <c r="V731" i="1"/>
  <c r="W731" i="1" s="1"/>
  <c r="V732" i="1"/>
  <c r="W732" i="1"/>
  <c r="V733" i="1"/>
  <c r="W733" i="1" s="1"/>
  <c r="V734" i="1"/>
  <c r="W734" i="1" s="1"/>
  <c r="V735" i="1"/>
  <c r="W735" i="1" s="1"/>
  <c r="V736" i="1"/>
  <c r="W736" i="1"/>
  <c r="V737" i="1"/>
  <c r="W737" i="1" s="1"/>
  <c r="V738" i="1"/>
  <c r="W738" i="1" s="1"/>
  <c r="V739" i="1"/>
  <c r="W739" i="1" s="1"/>
  <c r="V740" i="1"/>
  <c r="W740" i="1"/>
  <c r="V741" i="1"/>
  <c r="W741" i="1" s="1"/>
  <c r="V742" i="1"/>
  <c r="W742" i="1" s="1"/>
  <c r="V743" i="1"/>
  <c r="W743" i="1" s="1"/>
  <c r="V744" i="1"/>
  <c r="W744" i="1" s="1"/>
  <c r="V745" i="1"/>
  <c r="W745" i="1" s="1"/>
  <c r="V746" i="1"/>
  <c r="W746" i="1" s="1"/>
  <c r="V747" i="1"/>
  <c r="W747" i="1" s="1"/>
  <c r="V748" i="1"/>
  <c r="W748" i="1" s="1"/>
  <c r="V749" i="1"/>
  <c r="W749" i="1" s="1"/>
  <c r="V750" i="1"/>
  <c r="W750" i="1" s="1"/>
  <c r="V751" i="1"/>
  <c r="W751" i="1" s="1"/>
  <c r="V752" i="1"/>
  <c r="W752" i="1"/>
  <c r="V753" i="1"/>
  <c r="W753" i="1" s="1"/>
  <c r="V754" i="1"/>
  <c r="W754" i="1" s="1"/>
  <c r="V755" i="1"/>
  <c r="W755" i="1" s="1"/>
  <c r="V756" i="1"/>
  <c r="W756" i="1"/>
  <c r="V757" i="1"/>
  <c r="W757" i="1" s="1"/>
  <c r="V758" i="1"/>
  <c r="W758" i="1" s="1"/>
  <c r="V759" i="1"/>
  <c r="W759" i="1" s="1"/>
  <c r="V760" i="1"/>
  <c r="W760" i="1" s="1"/>
  <c r="V761" i="1"/>
  <c r="W761" i="1" s="1"/>
  <c r="V762" i="1"/>
  <c r="W762" i="1" s="1"/>
  <c r="V763" i="1"/>
  <c r="W763" i="1" s="1"/>
  <c r="V764" i="1"/>
  <c r="W764" i="1"/>
  <c r="V765" i="1"/>
  <c r="W765" i="1" s="1"/>
  <c r="V766" i="1"/>
  <c r="W766" i="1" s="1"/>
  <c r="V767" i="1"/>
  <c r="W767" i="1" s="1"/>
  <c r="V768" i="1"/>
  <c r="W768" i="1"/>
  <c r="V769" i="1"/>
  <c r="W769" i="1" s="1"/>
  <c r="V770" i="1"/>
  <c r="W770" i="1" s="1"/>
  <c r="V771" i="1"/>
  <c r="W771" i="1" s="1"/>
  <c r="V772" i="1"/>
  <c r="W772" i="1"/>
  <c r="V773" i="1"/>
  <c r="W773" i="1" s="1"/>
  <c r="V774" i="1"/>
  <c r="W774" i="1" s="1"/>
  <c r="V775" i="1"/>
  <c r="W775" i="1" s="1"/>
  <c r="V776" i="1"/>
  <c r="W776" i="1" s="1"/>
  <c r="V777" i="1"/>
  <c r="W777" i="1" s="1"/>
  <c r="V778" i="1"/>
  <c r="W778" i="1" s="1"/>
  <c r="V779" i="1"/>
  <c r="W779" i="1" s="1"/>
  <c r="V780" i="1"/>
  <c r="W780" i="1" s="1"/>
  <c r="V781" i="1"/>
  <c r="W781" i="1" s="1"/>
  <c r="V782" i="1"/>
  <c r="W782" i="1" s="1"/>
  <c r="V783" i="1"/>
  <c r="W783" i="1" s="1"/>
  <c r="V784" i="1"/>
  <c r="W784" i="1"/>
  <c r="V785" i="1"/>
  <c r="W785" i="1" s="1"/>
  <c r="V786" i="1"/>
  <c r="W786" i="1" s="1"/>
  <c r="V787" i="1"/>
  <c r="W787" i="1" s="1"/>
  <c r="V788" i="1"/>
  <c r="W788" i="1"/>
  <c r="V789" i="1"/>
  <c r="W789" i="1" s="1"/>
  <c r="V790" i="1"/>
  <c r="W790" i="1" s="1"/>
  <c r="V791" i="1"/>
  <c r="W791" i="1" s="1"/>
  <c r="V792" i="1"/>
  <c r="W792" i="1" s="1"/>
  <c r="V793" i="1"/>
  <c r="W793" i="1" s="1"/>
  <c r="V794" i="1"/>
  <c r="W794" i="1" s="1"/>
  <c r="V795" i="1"/>
  <c r="W795" i="1" s="1"/>
  <c r="V796" i="1"/>
  <c r="W796" i="1"/>
  <c r="V797" i="1"/>
  <c r="W797" i="1" s="1"/>
  <c r="V798" i="1"/>
  <c r="W798" i="1" s="1"/>
  <c r="V799" i="1"/>
  <c r="W799" i="1" s="1"/>
  <c r="V800" i="1"/>
  <c r="W800" i="1"/>
  <c r="V801" i="1"/>
  <c r="W801" i="1" s="1"/>
  <c r="V802" i="1"/>
  <c r="W802" i="1" s="1"/>
  <c r="V803" i="1"/>
  <c r="W803" i="1" s="1"/>
  <c r="V804" i="1"/>
  <c r="W804" i="1"/>
  <c r="V805" i="1"/>
  <c r="W805" i="1" s="1"/>
  <c r="V806" i="1"/>
  <c r="W806" i="1" s="1"/>
  <c r="V807" i="1"/>
  <c r="W807" i="1" s="1"/>
  <c r="V808" i="1"/>
  <c r="W808" i="1" s="1"/>
  <c r="V809" i="1"/>
  <c r="W809" i="1" s="1"/>
  <c r="V810" i="1"/>
  <c r="W810" i="1" s="1"/>
  <c r="V811" i="1"/>
  <c r="W811" i="1" s="1"/>
  <c r="V812" i="1"/>
  <c r="W812" i="1" s="1"/>
  <c r="V813" i="1"/>
  <c r="W813" i="1" s="1"/>
  <c r="V814" i="1"/>
  <c r="W814" i="1" s="1"/>
  <c r="V815" i="1"/>
  <c r="W815" i="1" s="1"/>
  <c r="V816" i="1"/>
  <c r="W816" i="1"/>
  <c r="V817" i="1"/>
  <c r="W817" i="1" s="1"/>
  <c r="V818" i="1"/>
  <c r="W818" i="1" s="1"/>
  <c r="V819" i="1"/>
  <c r="W819" i="1" s="1"/>
  <c r="V820" i="1"/>
  <c r="W820" i="1"/>
  <c r="V821" i="1"/>
  <c r="W821" i="1" s="1"/>
  <c r="V822" i="1"/>
  <c r="W822" i="1" s="1"/>
  <c r="V823" i="1"/>
  <c r="W823" i="1" s="1"/>
  <c r="V824" i="1"/>
  <c r="W824" i="1" s="1"/>
  <c r="V825" i="1"/>
  <c r="W825" i="1" s="1"/>
  <c r="V826" i="1"/>
  <c r="W826" i="1" s="1"/>
  <c r="V827" i="1"/>
  <c r="W827" i="1" s="1"/>
  <c r="V828" i="1"/>
  <c r="W828" i="1"/>
  <c r="V829" i="1"/>
  <c r="W829" i="1" s="1"/>
  <c r="V830" i="1"/>
  <c r="W830" i="1" s="1"/>
  <c r="V831" i="1"/>
  <c r="W831" i="1" s="1"/>
  <c r="V832" i="1"/>
  <c r="W832" i="1"/>
  <c r="V833" i="1"/>
  <c r="W833" i="1" s="1"/>
  <c r="V834" i="1"/>
  <c r="W834" i="1" s="1"/>
  <c r="V835" i="1"/>
  <c r="W835" i="1" s="1"/>
  <c r="V836" i="1"/>
  <c r="W836" i="1"/>
  <c r="V837" i="1"/>
  <c r="W837" i="1" s="1"/>
  <c r="V838" i="1"/>
  <c r="W838" i="1" s="1"/>
  <c r="V839" i="1"/>
  <c r="W839" i="1" s="1"/>
  <c r="V840" i="1"/>
  <c r="W840" i="1" s="1"/>
  <c r="V841" i="1"/>
  <c r="W841" i="1" s="1"/>
  <c r="V842" i="1"/>
  <c r="W842" i="1" s="1"/>
  <c r="V843" i="1"/>
  <c r="W843" i="1" s="1"/>
  <c r="V844" i="1"/>
  <c r="W844" i="1" s="1"/>
  <c r="V845" i="1"/>
  <c r="W845" i="1" s="1"/>
  <c r="V846" i="1"/>
  <c r="W846" i="1" s="1"/>
  <c r="V847" i="1"/>
  <c r="W847" i="1" s="1"/>
  <c r="V848" i="1"/>
  <c r="W848" i="1"/>
  <c r="V849" i="1"/>
  <c r="W849" i="1" s="1"/>
  <c r="V850" i="1"/>
  <c r="W850" i="1" s="1"/>
  <c r="V851" i="1"/>
  <c r="W851" i="1" s="1"/>
  <c r="V852" i="1"/>
  <c r="W852" i="1"/>
  <c r="V853" i="1"/>
  <c r="W853" i="1" s="1"/>
  <c r="V854" i="1"/>
  <c r="W854" i="1" s="1"/>
  <c r="V855" i="1"/>
  <c r="W855" i="1" s="1"/>
  <c r="V856" i="1"/>
  <c r="W856" i="1" s="1"/>
  <c r="V857" i="1"/>
  <c r="W857" i="1" s="1"/>
  <c r="V858" i="1"/>
  <c r="W858" i="1" s="1"/>
  <c r="V859" i="1"/>
  <c r="W859" i="1" s="1"/>
  <c r="V860" i="1"/>
  <c r="W860" i="1"/>
  <c r="V861" i="1"/>
  <c r="W861" i="1" s="1"/>
  <c r="V862" i="1"/>
  <c r="W862" i="1" s="1"/>
  <c r="V863" i="1"/>
  <c r="W863" i="1" s="1"/>
  <c r="V864" i="1"/>
  <c r="W864" i="1"/>
  <c r="V865" i="1"/>
  <c r="W865" i="1" s="1"/>
  <c r="V866" i="1"/>
  <c r="W866" i="1" s="1"/>
  <c r="V867" i="1"/>
  <c r="W867" i="1" s="1"/>
  <c r="V868" i="1"/>
  <c r="W868" i="1"/>
  <c r="V869" i="1"/>
  <c r="W869" i="1" s="1"/>
  <c r="V870" i="1"/>
  <c r="W870" i="1" s="1"/>
  <c r="V871" i="1"/>
  <c r="W871" i="1" s="1"/>
  <c r="V872" i="1"/>
  <c r="W872" i="1" s="1"/>
  <c r="V873" i="1"/>
  <c r="W873" i="1" s="1"/>
  <c r="V874" i="1"/>
  <c r="W874" i="1" s="1"/>
  <c r="V875" i="1"/>
  <c r="W875" i="1" s="1"/>
  <c r="V876" i="1"/>
  <c r="W876" i="1" s="1"/>
  <c r="V877" i="1"/>
  <c r="W877" i="1" s="1"/>
  <c r="V878" i="1"/>
  <c r="W878" i="1" s="1"/>
  <c r="V879" i="1"/>
  <c r="W879" i="1" s="1"/>
  <c r="V880" i="1"/>
  <c r="W880" i="1"/>
  <c r="V881" i="1"/>
  <c r="W881" i="1" s="1"/>
  <c r="V882" i="1"/>
  <c r="W882" i="1" s="1"/>
  <c r="V883" i="1"/>
  <c r="W883" i="1" s="1"/>
  <c r="V884" i="1"/>
  <c r="W884" i="1"/>
  <c r="V885" i="1"/>
  <c r="W885" i="1" s="1"/>
  <c r="V886" i="1"/>
  <c r="W886" i="1" s="1"/>
  <c r="V887" i="1"/>
  <c r="W887" i="1" s="1"/>
  <c r="V888" i="1"/>
  <c r="W888" i="1" s="1"/>
  <c r="V889" i="1"/>
  <c r="W889" i="1" s="1"/>
  <c r="V890" i="1"/>
  <c r="W890" i="1" s="1"/>
  <c r="V891" i="1"/>
  <c r="W891" i="1" s="1"/>
  <c r="V892" i="1"/>
  <c r="W892" i="1"/>
  <c r="V893" i="1"/>
  <c r="W893" i="1" s="1"/>
  <c r="V894" i="1"/>
  <c r="W894" i="1" s="1"/>
  <c r="V895" i="1"/>
  <c r="W895" i="1" s="1"/>
  <c r="V896" i="1"/>
  <c r="W896" i="1"/>
  <c r="V897" i="1"/>
  <c r="W897" i="1" s="1"/>
  <c r="V898" i="1"/>
  <c r="W898" i="1" s="1"/>
  <c r="V899" i="1"/>
  <c r="W899" i="1" s="1"/>
  <c r="V900" i="1"/>
  <c r="W900" i="1"/>
  <c r="V901" i="1"/>
  <c r="W901" i="1" s="1"/>
  <c r="V902" i="1"/>
  <c r="W902" i="1" s="1"/>
  <c r="V903" i="1"/>
  <c r="W903" i="1" s="1"/>
  <c r="V904" i="1"/>
  <c r="W904" i="1" s="1"/>
  <c r="V905" i="1"/>
  <c r="W905" i="1" s="1"/>
  <c r="V906" i="1"/>
  <c r="W906" i="1" s="1"/>
  <c r="V907" i="1"/>
  <c r="W907" i="1" s="1"/>
  <c r="V908" i="1"/>
  <c r="W908" i="1" s="1"/>
  <c r="V909" i="1"/>
  <c r="W909" i="1" s="1"/>
  <c r="V910" i="1"/>
  <c r="W910" i="1" s="1"/>
  <c r="V911" i="1"/>
  <c r="W911" i="1" s="1"/>
  <c r="V912" i="1"/>
  <c r="W912" i="1"/>
  <c r="V913" i="1"/>
  <c r="W913" i="1" s="1"/>
  <c r="V914" i="1"/>
  <c r="W914" i="1" s="1"/>
  <c r="V915" i="1"/>
  <c r="W915" i="1" s="1"/>
  <c r="V916" i="1"/>
  <c r="W916" i="1"/>
  <c r="V917" i="1"/>
  <c r="W917" i="1" s="1"/>
  <c r="V918" i="1"/>
  <c r="W918" i="1" s="1"/>
  <c r="V919" i="1"/>
  <c r="W919" i="1" s="1"/>
  <c r="V920" i="1"/>
  <c r="W920" i="1" s="1"/>
  <c r="V921" i="1"/>
  <c r="W921" i="1" s="1"/>
  <c r="V922" i="1"/>
  <c r="W922" i="1" s="1"/>
  <c r="V923" i="1"/>
  <c r="W923" i="1" s="1"/>
  <c r="V924" i="1"/>
  <c r="W924" i="1"/>
  <c r="V925" i="1"/>
  <c r="W925" i="1" s="1"/>
  <c r="V926" i="1"/>
  <c r="W926" i="1" s="1"/>
  <c r="V927" i="1"/>
  <c r="W927" i="1" s="1"/>
  <c r="V928" i="1"/>
  <c r="W928" i="1"/>
  <c r="V929" i="1"/>
  <c r="W929" i="1" s="1"/>
  <c r="V930" i="1"/>
  <c r="W930" i="1" s="1"/>
  <c r="V931" i="1"/>
  <c r="W931" i="1" s="1"/>
  <c r="V932" i="1"/>
  <c r="W932" i="1"/>
  <c r="V933" i="1"/>
  <c r="W933" i="1" s="1"/>
  <c r="V934" i="1"/>
  <c r="W934" i="1" s="1"/>
  <c r="V935" i="1"/>
  <c r="W935" i="1" s="1"/>
  <c r="V936" i="1"/>
  <c r="W936" i="1" s="1"/>
  <c r="V937" i="1"/>
  <c r="W937" i="1" s="1"/>
  <c r="V938" i="1"/>
  <c r="W938" i="1" s="1"/>
  <c r="V939" i="1"/>
  <c r="W939" i="1" s="1"/>
  <c r="V940" i="1"/>
  <c r="W940" i="1" s="1"/>
  <c r="V941" i="1"/>
  <c r="W941" i="1" s="1"/>
  <c r="V942" i="1"/>
  <c r="W942" i="1" s="1"/>
  <c r="V943" i="1"/>
  <c r="W943" i="1" s="1"/>
  <c r="V944" i="1"/>
  <c r="W944" i="1"/>
  <c r="V945" i="1"/>
  <c r="W945" i="1" s="1"/>
  <c r="V946" i="1"/>
  <c r="W946" i="1"/>
  <c r="V947" i="1"/>
  <c r="W947" i="1" s="1"/>
  <c r="V948" i="1"/>
  <c r="W948" i="1" s="1"/>
  <c r="V949" i="1"/>
  <c r="W949" i="1" s="1"/>
  <c r="V950" i="1"/>
  <c r="W950" i="1"/>
  <c r="V951" i="1"/>
  <c r="W951" i="1" s="1"/>
  <c r="V952" i="1"/>
  <c r="W952" i="1"/>
  <c r="V953" i="1"/>
  <c r="W953" i="1" s="1"/>
  <c r="V954" i="1"/>
  <c r="W954" i="1"/>
  <c r="V955" i="1"/>
  <c r="W955" i="1" s="1"/>
  <c r="V956" i="1"/>
  <c r="W956" i="1" s="1"/>
  <c r="V957" i="1"/>
  <c r="W957" i="1" s="1"/>
  <c r="V958" i="1"/>
  <c r="W958" i="1"/>
  <c r="V959" i="1"/>
  <c r="W959" i="1" s="1"/>
  <c r="V960" i="1"/>
  <c r="W960" i="1"/>
  <c r="V961" i="1"/>
  <c r="W961" i="1" s="1"/>
  <c r="V962" i="1"/>
  <c r="W962" i="1"/>
  <c r="V963" i="1"/>
  <c r="W963" i="1" s="1"/>
  <c r="V964" i="1"/>
  <c r="W964" i="1" s="1"/>
  <c r="V965" i="1"/>
  <c r="W965" i="1" s="1"/>
  <c r="V966" i="1"/>
  <c r="W966" i="1"/>
  <c r="V967" i="1"/>
  <c r="W967" i="1" s="1"/>
  <c r="V968" i="1"/>
  <c r="W968" i="1"/>
  <c r="V969" i="1"/>
  <c r="W969" i="1" s="1"/>
  <c r="V970" i="1"/>
  <c r="W970" i="1"/>
  <c r="V971" i="1"/>
  <c r="W971" i="1" s="1"/>
  <c r="V972" i="1"/>
  <c r="W972" i="1" s="1"/>
  <c r="V973" i="1"/>
  <c r="W973" i="1" s="1"/>
  <c r="V974" i="1"/>
  <c r="W974" i="1"/>
  <c r="V975" i="1"/>
  <c r="W975" i="1" s="1"/>
  <c r="V976" i="1"/>
  <c r="W976" i="1"/>
  <c r="V977" i="1"/>
  <c r="W977" i="1" s="1"/>
  <c r="V978" i="1"/>
  <c r="W978" i="1"/>
  <c r="V979" i="1"/>
  <c r="W979" i="1" s="1"/>
  <c r="V980" i="1"/>
  <c r="W980" i="1" s="1"/>
  <c r="V981" i="1"/>
  <c r="W981" i="1" s="1"/>
  <c r="V982" i="1"/>
  <c r="W982" i="1"/>
  <c r="V983" i="1"/>
  <c r="W983" i="1" s="1"/>
  <c r="V984" i="1"/>
  <c r="W984" i="1"/>
  <c r="V985" i="1"/>
  <c r="W985" i="1" s="1"/>
  <c r="V986" i="1"/>
  <c r="W986" i="1"/>
  <c r="V987" i="1"/>
  <c r="W987" i="1" s="1"/>
  <c r="V988" i="1"/>
  <c r="W988" i="1" s="1"/>
  <c r="V989" i="1"/>
  <c r="W989" i="1" s="1"/>
  <c r="V990" i="1"/>
  <c r="W990" i="1"/>
  <c r="V991" i="1"/>
  <c r="W991" i="1" s="1"/>
  <c r="V992" i="1"/>
  <c r="W992" i="1"/>
  <c r="V993" i="1"/>
  <c r="W993" i="1" s="1"/>
  <c r="V994" i="1"/>
  <c r="W994" i="1"/>
  <c r="V995" i="1"/>
  <c r="W995" i="1" s="1"/>
  <c r="V996" i="1"/>
  <c r="W996" i="1" s="1"/>
  <c r="V997" i="1"/>
  <c r="W997" i="1" s="1"/>
  <c r="V998" i="1"/>
  <c r="W998" i="1"/>
  <c r="V999" i="1"/>
  <c r="W999" i="1" s="1"/>
  <c r="V1000" i="1"/>
  <c r="W1000" i="1"/>
  <c r="V1001" i="1"/>
  <c r="W1001" i="1" s="1"/>
  <c r="V1002" i="1"/>
  <c r="W1002" i="1"/>
  <c r="V1003" i="1"/>
  <c r="W1003" i="1" s="1"/>
  <c r="V1004" i="1"/>
  <c r="W1004" i="1" s="1"/>
  <c r="V1005" i="1"/>
  <c r="W1005" i="1" s="1"/>
  <c r="V1006" i="1"/>
  <c r="W1006" i="1"/>
  <c r="V1007" i="1"/>
  <c r="W1007" i="1" s="1"/>
  <c r="V1008" i="1"/>
  <c r="W1008" i="1"/>
  <c r="V1009" i="1"/>
  <c r="W1009" i="1" s="1"/>
  <c r="V1010" i="1"/>
  <c r="W1010" i="1"/>
  <c r="V1011" i="1"/>
  <c r="W1011" i="1" s="1"/>
  <c r="V1012" i="1"/>
  <c r="W1012" i="1" s="1"/>
  <c r="V1013" i="1"/>
  <c r="W1013" i="1" s="1"/>
  <c r="V1014" i="1"/>
  <c r="W1014" i="1"/>
  <c r="V1015" i="1"/>
  <c r="W1015" i="1" s="1"/>
  <c r="V1016" i="1"/>
  <c r="W1016" i="1"/>
  <c r="V1017" i="1"/>
  <c r="W1017" i="1" s="1"/>
  <c r="V1018" i="1"/>
  <c r="W1018" i="1"/>
  <c r="V1019" i="1"/>
  <c r="W1019" i="1" s="1"/>
  <c r="V1020" i="1"/>
  <c r="W1020" i="1" s="1"/>
  <c r="V1021" i="1"/>
  <c r="W1021" i="1" s="1"/>
  <c r="V1022" i="1"/>
  <c r="W1022" i="1"/>
  <c r="V1023" i="1"/>
  <c r="W1023" i="1" s="1"/>
  <c r="V1024" i="1"/>
  <c r="W1024" i="1"/>
  <c r="V1025" i="1"/>
  <c r="W1025" i="1" s="1"/>
  <c r="V1026" i="1"/>
  <c r="W1026" i="1"/>
  <c r="V1027" i="1"/>
  <c r="W1027" i="1" s="1"/>
  <c r="V1028" i="1"/>
  <c r="W1028" i="1" s="1"/>
  <c r="V1029" i="1"/>
  <c r="W1029" i="1" s="1"/>
  <c r="V1030" i="1"/>
  <c r="W1030" i="1"/>
  <c r="V1031" i="1"/>
  <c r="W1031" i="1" s="1"/>
  <c r="V1032" i="1"/>
  <c r="W1032" i="1"/>
  <c r="V1033" i="1"/>
  <c r="W1033" i="1" s="1"/>
  <c r="V1034" i="1"/>
  <c r="W1034" i="1"/>
  <c r="V1035" i="1"/>
  <c r="W1035" i="1" s="1"/>
  <c r="V1036" i="1"/>
  <c r="W1036" i="1" s="1"/>
  <c r="V1037" i="1"/>
  <c r="W1037" i="1" s="1"/>
  <c r="V1038" i="1"/>
  <c r="W1038" i="1"/>
  <c r="V1039" i="1"/>
  <c r="W1039" i="1" s="1"/>
  <c r="V1040" i="1"/>
  <c r="W1040" i="1"/>
  <c r="V1041" i="1"/>
  <c r="W1041" i="1" s="1"/>
  <c r="V1042" i="1"/>
  <c r="W1042" i="1"/>
  <c r="V1043" i="1"/>
  <c r="W1043" i="1" s="1"/>
  <c r="V1044" i="1"/>
  <c r="W1044" i="1" s="1"/>
  <c r="V1045" i="1"/>
  <c r="W1045" i="1" s="1"/>
  <c r="V1046" i="1"/>
  <c r="W1046" i="1"/>
  <c r="V1047" i="1"/>
  <c r="W1047" i="1" s="1"/>
  <c r="V1048" i="1"/>
  <c r="W1048" i="1"/>
  <c r="V1049" i="1"/>
  <c r="W1049" i="1" s="1"/>
  <c r="V1050" i="1"/>
  <c r="W1050" i="1"/>
  <c r="V1051" i="1"/>
  <c r="W1051" i="1" s="1"/>
  <c r="V1052" i="1"/>
  <c r="W1052" i="1" s="1"/>
  <c r="V1053" i="1"/>
  <c r="W1053" i="1" s="1"/>
  <c r="V1054" i="1"/>
  <c r="W1054" i="1" s="1"/>
  <c r="V1055" i="1"/>
  <c r="W1055" i="1" s="1"/>
  <c r="V1056" i="1"/>
  <c r="W1056" i="1" s="1"/>
  <c r="V1057" i="1"/>
  <c r="W1057" i="1" s="1"/>
  <c r="V1058" i="1"/>
  <c r="W1058" i="1" s="1"/>
  <c r="V1059" i="1"/>
  <c r="W1059" i="1" s="1"/>
  <c r="V1060" i="1"/>
  <c r="W1060" i="1"/>
  <c r="V1061" i="1"/>
  <c r="W1061" i="1" s="1"/>
  <c r="V1062" i="1"/>
  <c r="W1062" i="1" s="1"/>
  <c r="V1063" i="1"/>
  <c r="W1063" i="1" s="1"/>
  <c r="V1064" i="1"/>
  <c r="W1064" i="1"/>
  <c r="V1065" i="1"/>
  <c r="W1065" i="1" s="1"/>
  <c r="V1066" i="1"/>
  <c r="W1066" i="1" s="1"/>
  <c r="V1067" i="1"/>
  <c r="W1067" i="1" s="1"/>
  <c r="V1068" i="1"/>
  <c r="W1068" i="1" s="1"/>
  <c r="V1069" i="1"/>
  <c r="W1069" i="1" s="1"/>
  <c r="V1070" i="1"/>
  <c r="W1070" i="1" s="1"/>
  <c r="V1071" i="1"/>
  <c r="W1071" i="1" s="1"/>
  <c r="V1072" i="1"/>
  <c r="W1072" i="1" s="1"/>
  <c r="V1073" i="1"/>
  <c r="W1073" i="1" s="1"/>
  <c r="V1074" i="1"/>
  <c r="W1074" i="1" s="1"/>
  <c r="V1075" i="1"/>
  <c r="W1075" i="1" s="1"/>
  <c r="V1076" i="1"/>
  <c r="W1076" i="1"/>
  <c r="V1077" i="1"/>
  <c r="W1077" i="1" s="1"/>
  <c r="V1078" i="1"/>
  <c r="W1078" i="1" s="1"/>
  <c r="V1079" i="1"/>
  <c r="W1079" i="1" s="1"/>
  <c r="V1080" i="1"/>
  <c r="W1080" i="1"/>
  <c r="V1081" i="1"/>
  <c r="W1081" i="1" s="1"/>
  <c r="V1082" i="1"/>
  <c r="W1082" i="1" s="1"/>
  <c r="V1083" i="1"/>
  <c r="W1083" i="1" s="1"/>
  <c r="V1084" i="1"/>
  <c r="W1084" i="1" s="1"/>
  <c r="V1085" i="1"/>
  <c r="W1085" i="1" s="1"/>
  <c r="V1086" i="1"/>
  <c r="W1086" i="1" s="1"/>
  <c r="V1087" i="1"/>
  <c r="W1087" i="1" s="1"/>
  <c r="V1088" i="1"/>
  <c r="W1088" i="1" s="1"/>
  <c r="V1089" i="1"/>
  <c r="W1089" i="1" s="1"/>
  <c r="V1090" i="1"/>
  <c r="W1090" i="1" s="1"/>
  <c r="V1091" i="1"/>
  <c r="W1091" i="1" s="1"/>
  <c r="V1092" i="1"/>
  <c r="W1092" i="1"/>
  <c r="V1093" i="1"/>
  <c r="W1093" i="1" s="1"/>
  <c r="V1094" i="1"/>
  <c r="W1094" i="1" s="1"/>
  <c r="V1095" i="1"/>
  <c r="W1095" i="1" s="1"/>
  <c r="V1096" i="1"/>
  <c r="W1096" i="1"/>
  <c r="V1097" i="1"/>
  <c r="W1097" i="1" s="1"/>
  <c r="V1098" i="1"/>
  <c r="W1098" i="1" s="1"/>
  <c r="V1099" i="1"/>
  <c r="W1099" i="1" s="1"/>
  <c r="V1100" i="1"/>
  <c r="W1100" i="1" s="1"/>
  <c r="V1101" i="1"/>
  <c r="W1101" i="1" s="1"/>
  <c r="V1102" i="1"/>
  <c r="W1102" i="1" s="1"/>
  <c r="V1103" i="1"/>
  <c r="W1103" i="1" s="1"/>
  <c r="V1104" i="1"/>
  <c r="W1104" i="1" s="1"/>
  <c r="V1105" i="1"/>
  <c r="W1105" i="1" s="1"/>
  <c r="V1106" i="1"/>
  <c r="W1106" i="1" s="1"/>
  <c r="V1107" i="1"/>
  <c r="W1107" i="1" s="1"/>
  <c r="V1108" i="1"/>
  <c r="W1108" i="1"/>
  <c r="V1109" i="1"/>
  <c r="W1109" i="1" s="1"/>
  <c r="V1110" i="1"/>
  <c r="W1110" i="1" s="1"/>
  <c r="V1111" i="1"/>
  <c r="W1111" i="1" s="1"/>
  <c r="V1112" i="1"/>
  <c r="W1112" i="1" s="1"/>
  <c r="V1113" i="1"/>
  <c r="W1113" i="1" s="1"/>
  <c r="V1114" i="1"/>
  <c r="W1114" i="1" s="1"/>
  <c r="V1115" i="1"/>
  <c r="W1115" i="1" s="1"/>
  <c r="V1116" i="1"/>
  <c r="W1116" i="1" s="1"/>
  <c r="V1117" i="1"/>
  <c r="W1117" i="1" s="1"/>
  <c r="V1118" i="1"/>
  <c r="W1118" i="1" s="1"/>
  <c r="V1119" i="1"/>
  <c r="W1119" i="1" s="1"/>
  <c r="V1120" i="1"/>
  <c r="W1120" i="1" s="1"/>
  <c r="V1121" i="1"/>
  <c r="W1121" i="1" s="1"/>
  <c r="V1122" i="1"/>
  <c r="W1122" i="1" s="1"/>
  <c r="V1123" i="1"/>
  <c r="W1123" i="1" s="1"/>
  <c r="V1124" i="1"/>
  <c r="W1124" i="1"/>
  <c r="V1125" i="1"/>
  <c r="W1125" i="1" s="1"/>
  <c r="V1126" i="1"/>
  <c r="W1126" i="1" s="1"/>
  <c r="V1127" i="1"/>
  <c r="W1127" i="1" s="1"/>
  <c r="V1128" i="1"/>
  <c r="W1128" i="1"/>
  <c r="V1129" i="1"/>
  <c r="W1129" i="1" s="1"/>
  <c r="V1130" i="1"/>
  <c r="W1130" i="1" s="1"/>
  <c r="V1131" i="1"/>
  <c r="W1131" i="1" s="1"/>
  <c r="V1132" i="1"/>
  <c r="W1132" i="1" s="1"/>
  <c r="V1133" i="1"/>
  <c r="W1133" i="1" s="1"/>
  <c r="V1134" i="1"/>
  <c r="W1134" i="1" s="1"/>
  <c r="V1135" i="1"/>
  <c r="W1135" i="1" s="1"/>
  <c r="V1136" i="1"/>
  <c r="W1136" i="1" s="1"/>
  <c r="V1137" i="1"/>
  <c r="W1137" i="1" s="1"/>
  <c r="V1138" i="1"/>
  <c r="W1138" i="1" s="1"/>
  <c r="V1139" i="1"/>
  <c r="W1139" i="1" s="1"/>
  <c r="V1140" i="1"/>
  <c r="W1140" i="1"/>
  <c r="V1141" i="1"/>
  <c r="W1141" i="1" s="1"/>
  <c r="V1142" i="1"/>
  <c r="W1142" i="1" s="1"/>
  <c r="V1143" i="1"/>
  <c r="W1143" i="1" s="1"/>
  <c r="V1144" i="1"/>
  <c r="W1144" i="1"/>
  <c r="V1145" i="1"/>
  <c r="W1145" i="1" s="1"/>
  <c r="V1146" i="1"/>
  <c r="W1146" i="1" s="1"/>
  <c r="V1147" i="1"/>
  <c r="W1147" i="1" s="1"/>
  <c r="V1148" i="1"/>
  <c r="W1148" i="1" s="1"/>
  <c r="V1149" i="1"/>
  <c r="W1149" i="1" s="1"/>
  <c r="V1150" i="1"/>
  <c r="W1150" i="1" s="1"/>
  <c r="V1151" i="1"/>
  <c r="W1151" i="1" s="1"/>
  <c r="V1152" i="1"/>
  <c r="W1152" i="1" s="1"/>
  <c r="V1153" i="1"/>
  <c r="W1153" i="1" s="1"/>
  <c r="V1154" i="1"/>
  <c r="W1154" i="1" s="1"/>
  <c r="V1155" i="1"/>
  <c r="W1155" i="1" s="1"/>
  <c r="V1156" i="1"/>
  <c r="W1156" i="1"/>
  <c r="V1157" i="1"/>
  <c r="W1157" i="1" s="1"/>
  <c r="V1158" i="1"/>
  <c r="W1158" i="1" s="1"/>
  <c r="V1159" i="1"/>
  <c r="W1159" i="1" s="1"/>
  <c r="V1160" i="1"/>
  <c r="W1160" i="1"/>
  <c r="V1161" i="1"/>
  <c r="W1161" i="1" s="1"/>
  <c r="V1162" i="1"/>
  <c r="W1162" i="1" s="1"/>
  <c r="V1163" i="1"/>
  <c r="W1163" i="1" s="1"/>
  <c r="V1164" i="1"/>
  <c r="W1164" i="1" s="1"/>
  <c r="V1165" i="1"/>
  <c r="W1165" i="1" s="1"/>
  <c r="V1166" i="1"/>
  <c r="W1166" i="1" s="1"/>
  <c r="V1167" i="1"/>
  <c r="W1167" i="1" s="1"/>
  <c r="V1168" i="1"/>
  <c r="W1168" i="1" s="1"/>
  <c r="V1169" i="1"/>
  <c r="W1169" i="1" s="1"/>
  <c r="V1170" i="1"/>
  <c r="W1170" i="1" s="1"/>
  <c r="V1171" i="1"/>
  <c r="W1171" i="1" s="1"/>
  <c r="V1172" i="1"/>
  <c r="W1172" i="1" s="1"/>
  <c r="V1173" i="1"/>
  <c r="W1173" i="1" s="1"/>
  <c r="V1174" i="1"/>
  <c r="W1174" i="1" s="1"/>
  <c r="V1175" i="1"/>
  <c r="W1175" i="1" s="1"/>
  <c r="V1176" i="1"/>
  <c r="W1176" i="1" s="1"/>
  <c r="V1177" i="1"/>
  <c r="W1177" i="1" s="1"/>
  <c r="V1178" i="1"/>
  <c r="W1178" i="1" s="1"/>
  <c r="V1179" i="1"/>
  <c r="W1179" i="1" s="1"/>
  <c r="V1180" i="1"/>
  <c r="W1180" i="1" s="1"/>
  <c r="V1181" i="1"/>
  <c r="W1181" i="1" s="1"/>
  <c r="V1182" i="1"/>
  <c r="W1182" i="1" s="1"/>
  <c r="V1183" i="1"/>
  <c r="W1183" i="1" s="1"/>
  <c r="V1184" i="1"/>
  <c r="W1184" i="1"/>
  <c r="V1185" i="1"/>
  <c r="W1185" i="1" s="1"/>
  <c r="V1186" i="1"/>
  <c r="W1186" i="1"/>
  <c r="V1187" i="1"/>
  <c r="W1187" i="1" s="1"/>
  <c r="V1188" i="1"/>
  <c r="W1188" i="1" s="1"/>
  <c r="V1189" i="1"/>
  <c r="W1189" i="1" s="1"/>
  <c r="V1190" i="1"/>
  <c r="W1190" i="1"/>
  <c r="V1191" i="1"/>
  <c r="W1191" i="1" s="1"/>
  <c r="V1192" i="1"/>
  <c r="W1192" i="1" s="1"/>
  <c r="V1193" i="1"/>
  <c r="W1193" i="1"/>
  <c r="V1194" i="1"/>
  <c r="W1194" i="1" s="1"/>
  <c r="V1195" i="1"/>
  <c r="W1195" i="1" s="1"/>
  <c r="V1196" i="1"/>
  <c r="W1196" i="1" s="1"/>
  <c r="V1197" i="1"/>
  <c r="W1197" i="1"/>
  <c r="V1198" i="1"/>
  <c r="W1198" i="1" s="1"/>
  <c r="V1199" i="1"/>
  <c r="W1199" i="1" s="1"/>
  <c r="V1200" i="1"/>
  <c r="W1200" i="1" s="1"/>
  <c r="V1201" i="1"/>
  <c r="W1201" i="1"/>
  <c r="V1202" i="1"/>
  <c r="W1202" i="1" s="1"/>
  <c r="V1203" i="1"/>
  <c r="W1203" i="1"/>
  <c r="V1204" i="1"/>
  <c r="W1204" i="1" s="1"/>
  <c r="V1205" i="1"/>
  <c r="W1205" i="1"/>
  <c r="V1206" i="1"/>
  <c r="W1206" i="1" s="1"/>
  <c r="V1207" i="1"/>
  <c r="W1207" i="1"/>
  <c r="V1208" i="1"/>
  <c r="W1208" i="1" s="1"/>
  <c r="V1209" i="1"/>
  <c r="W1209" i="1"/>
  <c r="V1210" i="1"/>
  <c r="W1210" i="1" s="1"/>
  <c r="V1211" i="1"/>
  <c r="W1211" i="1" s="1"/>
  <c r="V1212" i="1"/>
  <c r="W1212" i="1" s="1"/>
  <c r="V1213" i="1"/>
  <c r="W1213" i="1"/>
  <c r="V1214" i="1"/>
  <c r="W1214" i="1" s="1"/>
  <c r="V1215" i="1"/>
  <c r="W1215" i="1"/>
  <c r="V1216" i="1"/>
  <c r="W1216" i="1" s="1"/>
  <c r="V1217" i="1"/>
  <c r="W1217" i="1"/>
  <c r="V1218" i="1"/>
  <c r="W1218" i="1" s="1"/>
  <c r="V1219" i="1"/>
  <c r="W1219" i="1" s="1"/>
  <c r="V1220" i="1"/>
  <c r="W1220" i="1" s="1"/>
  <c r="V1221" i="1"/>
  <c r="W1221" i="1"/>
  <c r="V1222" i="1"/>
  <c r="W1222" i="1" s="1"/>
  <c r="V1223" i="1"/>
  <c r="W1223" i="1"/>
  <c r="V1224" i="1"/>
  <c r="W1224" i="1" s="1"/>
  <c r="V1225" i="1"/>
  <c r="W1225" i="1"/>
  <c r="V1226" i="1"/>
  <c r="W1226" i="1" s="1"/>
  <c r="V1227" i="1"/>
  <c r="W1227" i="1" s="1"/>
  <c r="V1228" i="1"/>
  <c r="W1228" i="1" s="1"/>
  <c r="V1229" i="1"/>
  <c r="W1229" i="1"/>
  <c r="V1230" i="1"/>
  <c r="W1230" i="1" s="1"/>
  <c r="V1231" i="1"/>
  <c r="W1231" i="1"/>
  <c r="V1232" i="1"/>
  <c r="W1232" i="1" s="1"/>
  <c r="V1233" i="1"/>
  <c r="W1233" i="1"/>
  <c r="V1234" i="1"/>
  <c r="W1234" i="1" s="1"/>
  <c r="V1235" i="1"/>
  <c r="W1235" i="1"/>
  <c r="V1236" i="1"/>
  <c r="W1236" i="1" s="1"/>
  <c r="V1237" i="1"/>
  <c r="W1237" i="1"/>
  <c r="V1238" i="1"/>
  <c r="W1238" i="1" s="1"/>
  <c r="V1239" i="1"/>
  <c r="W1239" i="1"/>
  <c r="V1240" i="1"/>
  <c r="W1240" i="1" s="1"/>
  <c r="V1241" i="1"/>
  <c r="W1241" i="1"/>
  <c r="V1242" i="1"/>
  <c r="W1242" i="1" s="1"/>
  <c r="V1243" i="1"/>
  <c r="W1243" i="1" s="1"/>
  <c r="V1244" i="1"/>
  <c r="W1244" i="1" s="1"/>
  <c r="V1245" i="1"/>
  <c r="W1245" i="1"/>
  <c r="V1246" i="1"/>
  <c r="W1246" i="1" s="1"/>
  <c r="V1247" i="1"/>
  <c r="W1247" i="1"/>
  <c r="V1248" i="1"/>
  <c r="W1248" i="1" s="1"/>
  <c r="V1249" i="1"/>
  <c r="W1249" i="1"/>
  <c r="V1250" i="1"/>
  <c r="W1250" i="1" s="1"/>
  <c r="V1251" i="1"/>
  <c r="W1251" i="1"/>
  <c r="V1252" i="1"/>
  <c r="W1252" i="1" s="1"/>
  <c r="V1253" i="1"/>
  <c r="W1253" i="1"/>
  <c r="V1254" i="1"/>
  <c r="W1254" i="1" s="1"/>
  <c r="V1255" i="1"/>
  <c r="W1255" i="1"/>
  <c r="V1256" i="1"/>
  <c r="W1256" i="1" s="1"/>
  <c r="V1257" i="1"/>
  <c r="W1257" i="1"/>
  <c r="V1258" i="1"/>
  <c r="W1258" i="1" s="1"/>
  <c r="V1259" i="1"/>
  <c r="W1259" i="1" s="1"/>
  <c r="V1260" i="1"/>
  <c r="W1260" i="1" s="1"/>
  <c r="V1261" i="1"/>
  <c r="W1261" i="1"/>
  <c r="V1262" i="1"/>
  <c r="W1262" i="1" s="1"/>
  <c r="V1263" i="1"/>
  <c r="W1263" i="1"/>
  <c r="V1264" i="1"/>
  <c r="W1264" i="1" s="1"/>
  <c r="V1265" i="1"/>
  <c r="W1265" i="1"/>
  <c r="V1266" i="1"/>
  <c r="W1266" i="1" s="1"/>
  <c r="V1267" i="1"/>
  <c r="W1267" i="1"/>
  <c r="V1268" i="1"/>
  <c r="W1268" i="1" s="1"/>
  <c r="V1269" i="1"/>
  <c r="W1269" i="1"/>
  <c r="V1270" i="1"/>
  <c r="W1270" i="1" s="1"/>
  <c r="V1271" i="1"/>
  <c r="W1271" i="1"/>
  <c r="V1272" i="1"/>
  <c r="W1272" i="1" s="1"/>
  <c r="V1273" i="1"/>
  <c r="W1273" i="1"/>
  <c r="V1274" i="1"/>
  <c r="W1274" i="1" s="1"/>
  <c r="V1275" i="1"/>
  <c r="W1275" i="1" s="1"/>
  <c r="V1276" i="1"/>
  <c r="W1276" i="1" s="1"/>
  <c r="V1277" i="1"/>
  <c r="W1277" i="1"/>
  <c r="V1278" i="1"/>
  <c r="W1278" i="1" s="1"/>
  <c r="V1279" i="1"/>
  <c r="W1279" i="1"/>
  <c r="V1280" i="1"/>
  <c r="W1280" i="1" s="1"/>
  <c r="V1281" i="1"/>
  <c r="W1281" i="1"/>
  <c r="V1282" i="1"/>
  <c r="W1282" i="1" s="1"/>
  <c r="V1283" i="1"/>
  <c r="W1283" i="1"/>
  <c r="V1284" i="1"/>
  <c r="W1284" i="1" s="1"/>
  <c r="V1285" i="1"/>
  <c r="W1285" i="1"/>
  <c r="V1286" i="1"/>
  <c r="W1286" i="1" s="1"/>
  <c r="V1287" i="1"/>
  <c r="W1287" i="1"/>
  <c r="V1288" i="1"/>
  <c r="W1288" i="1" s="1"/>
  <c r="V1289" i="1"/>
  <c r="W1289" i="1"/>
  <c r="V1290" i="1"/>
  <c r="W1290" i="1" s="1"/>
  <c r="V1291" i="1"/>
  <c r="W1291" i="1" s="1"/>
  <c r="V1292" i="1"/>
  <c r="W1292" i="1" s="1"/>
  <c r="V1293" i="1"/>
  <c r="W1293" i="1"/>
  <c r="V1294" i="1"/>
  <c r="W1294" i="1" s="1"/>
  <c r="V1295" i="1"/>
  <c r="W1295" i="1"/>
  <c r="V1296" i="1"/>
  <c r="W1296" i="1" s="1"/>
  <c r="V1297" i="1"/>
  <c r="W1297" i="1"/>
  <c r="V1298" i="1"/>
  <c r="W1298" i="1" s="1"/>
  <c r="V1299" i="1"/>
  <c r="W1299" i="1"/>
  <c r="V1300" i="1"/>
  <c r="W1300" i="1" s="1"/>
  <c r="V1301" i="1"/>
  <c r="W1301" i="1"/>
  <c r="V1302" i="1"/>
  <c r="W1302" i="1" s="1"/>
  <c r="V1303" i="1"/>
  <c r="W1303" i="1"/>
  <c r="V1304" i="1"/>
  <c r="W1304" i="1" s="1"/>
  <c r="V1305" i="1"/>
  <c r="W1305" i="1"/>
  <c r="V1306" i="1"/>
  <c r="W1306" i="1" s="1"/>
  <c r="V1307" i="1"/>
  <c r="W1307" i="1" s="1"/>
  <c r="V1308" i="1"/>
  <c r="W1308" i="1" s="1"/>
  <c r="V1309" i="1"/>
  <c r="W1309" i="1"/>
  <c r="V1310" i="1"/>
  <c r="W1310" i="1" s="1"/>
  <c r="V1311" i="1"/>
  <c r="W1311" i="1"/>
  <c r="V1312" i="1"/>
  <c r="W1312" i="1" s="1"/>
  <c r="V1313" i="1"/>
  <c r="W1313" i="1"/>
  <c r="V1314" i="1"/>
  <c r="W1314" i="1" s="1"/>
  <c r="V1315" i="1"/>
  <c r="W1315" i="1"/>
  <c r="V1316" i="1"/>
  <c r="W1316" i="1" s="1"/>
  <c r="V1317" i="1"/>
  <c r="W1317" i="1"/>
  <c r="V1318" i="1"/>
  <c r="W1318" i="1" s="1"/>
  <c r="V1319" i="1"/>
  <c r="W1319" i="1"/>
  <c r="V1320" i="1"/>
  <c r="W1320" i="1" s="1"/>
  <c r="V1321" i="1"/>
  <c r="W1321" i="1"/>
  <c r="V1322" i="1"/>
  <c r="W1322" i="1" s="1"/>
  <c r="V1323" i="1"/>
  <c r="W1323" i="1" s="1"/>
  <c r="V1324" i="1"/>
  <c r="W1324" i="1" s="1"/>
  <c r="V1325" i="1"/>
  <c r="W1325" i="1" s="1"/>
  <c r="V1326" i="1"/>
  <c r="W1326" i="1" s="1"/>
  <c r="V1327" i="1"/>
  <c r="W1327" i="1"/>
  <c r="V1328" i="1"/>
  <c r="W1328" i="1" s="1"/>
  <c r="V1329" i="1"/>
  <c r="W1329" i="1" s="1"/>
  <c r="V1330" i="1"/>
  <c r="W1330" i="1" s="1"/>
  <c r="V1331" i="1"/>
  <c r="W1331" i="1" s="1"/>
  <c r="V1332" i="1"/>
  <c r="W1332" i="1" s="1"/>
  <c r="V1333" i="1"/>
  <c r="W1333" i="1" s="1"/>
  <c r="V1334" i="1"/>
  <c r="W1334" i="1" s="1"/>
  <c r="V1335" i="1"/>
  <c r="W1335" i="1"/>
  <c r="V1336" i="1"/>
  <c r="W1336" i="1" s="1"/>
  <c r="V1337" i="1"/>
  <c r="W1337" i="1"/>
  <c r="V1338" i="1"/>
  <c r="W1338" i="1" s="1"/>
  <c r="V1339" i="1"/>
  <c r="W1339" i="1"/>
  <c r="V1340" i="1"/>
  <c r="W1340" i="1" s="1"/>
  <c r="V1341" i="1"/>
  <c r="W1341" i="1" s="1"/>
  <c r="V1342" i="1"/>
  <c r="W1342" i="1" s="1"/>
  <c r="V1343" i="1"/>
  <c r="W1343" i="1"/>
  <c r="V1344" i="1"/>
  <c r="W1344" i="1" s="1"/>
  <c r="V1345" i="1"/>
  <c r="W1345" i="1" s="1"/>
  <c r="V1346" i="1"/>
  <c r="W1346" i="1" s="1"/>
  <c r="V1347" i="1"/>
  <c r="W1347" i="1" s="1"/>
  <c r="V1348" i="1"/>
  <c r="W1348" i="1"/>
  <c r="V1349" i="1"/>
  <c r="W1349" i="1" s="1"/>
  <c r="V1350" i="1"/>
  <c r="W1350" i="1" s="1"/>
  <c r="V1351" i="1"/>
  <c r="W1351" i="1" s="1"/>
  <c r="V1352" i="1"/>
  <c r="W1352" i="1"/>
  <c r="V1353" i="1"/>
  <c r="W1353" i="1" s="1"/>
  <c r="V1354" i="1"/>
  <c r="W1354" i="1" s="1"/>
  <c r="V1355" i="1"/>
  <c r="W1355" i="1"/>
  <c r="V1356" i="1"/>
  <c r="W1356" i="1" s="1"/>
  <c r="V1357" i="1"/>
  <c r="W1357" i="1"/>
  <c r="V1358" i="1"/>
  <c r="W1358" i="1" s="1"/>
  <c r="V1359" i="1"/>
  <c r="W1359" i="1" s="1"/>
  <c r="V1360" i="1"/>
  <c r="W1360" i="1" s="1"/>
  <c r="V1361" i="1"/>
  <c r="W1361" i="1"/>
  <c r="V1362" i="1"/>
  <c r="W1362" i="1" s="1"/>
  <c r="V1363" i="1"/>
  <c r="W1363" i="1" s="1"/>
  <c r="V1364" i="1"/>
  <c r="W1364" i="1"/>
  <c r="V1365" i="1"/>
  <c r="W1365" i="1" s="1"/>
  <c r="V1366" i="1"/>
  <c r="W1366" i="1" s="1"/>
  <c r="V1367" i="1"/>
  <c r="W1367" i="1" s="1"/>
  <c r="V1368" i="1"/>
  <c r="W1368" i="1" s="1"/>
  <c r="V1369" i="1"/>
  <c r="W1369" i="1" s="1"/>
  <c r="V1370" i="1"/>
  <c r="W1370" i="1" s="1"/>
  <c r="V1371" i="1"/>
  <c r="W1371" i="1"/>
  <c r="V1372" i="1"/>
  <c r="W1372" i="1"/>
  <c r="V1373" i="1"/>
  <c r="W1373" i="1"/>
  <c r="V1374" i="1"/>
  <c r="W1374" i="1" s="1"/>
  <c r="V1375" i="1"/>
  <c r="W1375" i="1"/>
  <c r="V1376" i="1"/>
  <c r="W1376" i="1" s="1"/>
  <c r="V1377" i="1"/>
  <c r="W1377" i="1" s="1"/>
  <c r="V1378" i="1"/>
  <c r="W1378" i="1" s="1"/>
  <c r="V1379" i="1"/>
  <c r="W1379" i="1" s="1"/>
  <c r="V1380" i="1"/>
  <c r="W1380" i="1"/>
  <c r="V1381" i="1"/>
  <c r="W1381" i="1"/>
  <c r="V1382" i="1"/>
  <c r="W1382" i="1" s="1"/>
  <c r="V1383" i="1"/>
  <c r="W1383" i="1" s="1"/>
  <c r="V1384" i="1"/>
  <c r="W1384" i="1"/>
  <c r="V1385" i="1"/>
  <c r="W1385" i="1"/>
  <c r="V1386" i="1"/>
  <c r="W1386" i="1" s="1"/>
  <c r="V1387" i="1"/>
  <c r="W1387" i="1"/>
  <c r="V1388" i="1"/>
  <c r="W1388" i="1" s="1"/>
  <c r="V1389" i="1"/>
  <c r="W1389" i="1"/>
  <c r="V1390" i="1"/>
  <c r="W1390" i="1" s="1"/>
  <c r="V1391" i="1"/>
  <c r="W1391" i="1" s="1"/>
  <c r="V1392" i="1"/>
  <c r="W1392" i="1" s="1"/>
  <c r="V1393" i="1"/>
  <c r="W1393" i="1"/>
  <c r="V1394" i="1"/>
  <c r="W1394" i="1" s="1"/>
  <c r="V1395" i="1"/>
  <c r="W1395" i="1"/>
  <c r="V1396" i="1"/>
  <c r="W1396" i="1"/>
  <c r="V1397" i="1"/>
  <c r="W1397" i="1" s="1"/>
  <c r="V1398" i="1"/>
  <c r="W1398" i="1" s="1"/>
  <c r="V1399" i="1"/>
  <c r="W1399" i="1"/>
  <c r="V1400" i="1"/>
  <c r="W1400" i="1" s="1"/>
  <c r="V1401" i="1"/>
  <c r="W1401" i="1" s="1"/>
  <c r="V1402" i="1"/>
  <c r="W1402" i="1" s="1"/>
  <c r="V1403" i="1"/>
  <c r="W1403" i="1"/>
  <c r="V1404" i="1"/>
  <c r="W1404" i="1" s="1"/>
  <c r="V1405" i="1"/>
  <c r="W1405" i="1"/>
  <c r="V1406" i="1"/>
  <c r="W1406" i="1" s="1"/>
  <c r="V1407" i="1"/>
  <c r="W1407" i="1"/>
  <c r="V1408" i="1"/>
  <c r="W1408" i="1"/>
  <c r="V1409" i="1"/>
  <c r="W1409" i="1" s="1"/>
  <c r="V1410" i="1"/>
  <c r="W1410" i="1" s="1"/>
  <c r="V1411" i="1"/>
  <c r="W1411" i="1" s="1"/>
  <c r="V1412" i="1"/>
  <c r="W1412" i="1"/>
  <c r="V1413" i="1"/>
  <c r="W1413" i="1"/>
  <c r="V1414" i="1"/>
  <c r="W1414" i="1" s="1"/>
  <c r="V1415" i="1"/>
  <c r="W1415" i="1" s="1"/>
  <c r="V1416" i="1"/>
  <c r="W1416" i="1"/>
  <c r="V1417" i="1"/>
  <c r="W1417" i="1" s="1"/>
  <c r="V1418" i="1"/>
  <c r="W1418" i="1" s="1"/>
  <c r="V1419" i="1"/>
  <c r="W1419" i="1"/>
  <c r="V1420" i="1"/>
  <c r="W1420" i="1" s="1"/>
  <c r="V1421" i="1"/>
  <c r="W1421" i="1"/>
  <c r="V1422" i="1"/>
  <c r="W1422" i="1" s="1"/>
  <c r="V1423" i="1"/>
  <c r="W1423" i="1" s="1"/>
  <c r="V1424" i="1"/>
  <c r="W1424" i="1" s="1"/>
  <c r="V1425" i="1"/>
  <c r="W1425" i="1"/>
  <c r="V1426" i="1"/>
  <c r="W1426" i="1" s="1"/>
  <c r="V1427" i="1"/>
  <c r="W1427" i="1" s="1"/>
  <c r="V1428" i="1"/>
  <c r="W1428" i="1"/>
  <c r="V1429" i="1"/>
  <c r="W1429" i="1" s="1"/>
  <c r="V1430" i="1"/>
  <c r="W1430" i="1" s="1"/>
  <c r="V1431" i="1"/>
  <c r="W1431" i="1" s="1"/>
  <c r="V1432" i="1"/>
  <c r="W1432" i="1" s="1"/>
  <c r="V1433" i="1"/>
  <c r="W1433" i="1" s="1"/>
  <c r="V1434" i="1"/>
  <c r="W1434" i="1" s="1"/>
  <c r="V1435" i="1"/>
  <c r="W1435" i="1"/>
  <c r="V1436" i="1"/>
  <c r="W1436" i="1"/>
  <c r="V1437" i="1"/>
  <c r="W1437" i="1"/>
  <c r="V1438" i="1"/>
  <c r="W1438" i="1" s="1"/>
  <c r="V1439" i="1"/>
  <c r="W1439" i="1"/>
  <c r="V1440" i="1"/>
  <c r="W1440" i="1" s="1"/>
  <c r="V1441" i="1"/>
  <c r="W1441" i="1" s="1"/>
  <c r="V1442" i="1"/>
  <c r="W1442" i="1" s="1"/>
  <c r="V1443" i="1"/>
  <c r="W1443" i="1" s="1"/>
  <c r="V1444" i="1"/>
  <c r="W1444" i="1"/>
  <c r="V1445" i="1"/>
  <c r="W1445" i="1"/>
  <c r="V1446" i="1"/>
  <c r="W1446" i="1" s="1"/>
  <c r="V1447" i="1"/>
  <c r="W1447" i="1" s="1"/>
  <c r="V1448" i="1"/>
  <c r="W1448" i="1"/>
  <c r="V1449" i="1"/>
  <c r="W1449" i="1"/>
  <c r="V1450" i="1"/>
  <c r="W1450" i="1" s="1"/>
  <c r="V1451" i="1"/>
  <c r="W1451" i="1"/>
  <c r="V1452" i="1"/>
  <c r="W1452" i="1" s="1"/>
  <c r="V1453" i="1"/>
  <c r="W1453" i="1"/>
  <c r="V1454" i="1"/>
  <c r="W1454" i="1" s="1"/>
  <c r="V1455" i="1"/>
  <c r="W1455" i="1" s="1"/>
  <c r="V1456" i="1"/>
  <c r="W1456" i="1" s="1"/>
  <c r="V1457" i="1"/>
  <c r="W1457" i="1"/>
  <c r="V1458" i="1"/>
  <c r="W1458" i="1" s="1"/>
  <c r="V1459" i="1"/>
  <c r="W1459" i="1" s="1"/>
  <c r="V1460" i="1"/>
  <c r="W1460" i="1" s="1"/>
  <c r="V1461" i="1"/>
  <c r="W1461" i="1" s="1"/>
  <c r="V1462" i="1"/>
  <c r="W1462" i="1"/>
  <c r="V1463" i="1"/>
  <c r="W1463" i="1"/>
  <c r="V1464" i="1"/>
  <c r="W1464" i="1"/>
  <c r="V1465" i="1"/>
  <c r="W1465" i="1" s="1"/>
  <c r="V1466" i="1"/>
  <c r="W1466" i="1" s="1"/>
  <c r="V1467" i="1"/>
  <c r="W1467" i="1" s="1"/>
  <c r="V1468" i="1"/>
  <c r="W1468" i="1" s="1"/>
  <c r="V1469" i="1"/>
  <c r="W1469" i="1" s="1"/>
  <c r="V1470" i="1"/>
  <c r="W1470" i="1"/>
  <c r="V1471" i="1"/>
  <c r="W1471" i="1"/>
  <c r="V1472" i="1"/>
  <c r="W1472" i="1"/>
  <c r="V1473" i="1"/>
  <c r="W1473" i="1" s="1"/>
  <c r="V1474" i="1"/>
  <c r="W1474" i="1" s="1"/>
  <c r="V1475" i="1"/>
  <c r="W1475" i="1" s="1"/>
  <c r="V1476" i="1"/>
  <c r="W1476" i="1" s="1"/>
  <c r="V1477" i="1"/>
  <c r="W1477" i="1" s="1"/>
  <c r="V1478" i="1"/>
  <c r="W1478" i="1"/>
  <c r="V1479" i="1"/>
  <c r="W1479" i="1"/>
  <c r="V1480" i="1"/>
  <c r="W1480" i="1"/>
  <c r="V1481" i="1"/>
  <c r="W1481" i="1" s="1"/>
  <c r="V1482" i="1"/>
  <c r="W1482" i="1" s="1"/>
  <c r="V1483" i="1"/>
  <c r="W1483" i="1" s="1"/>
  <c r="V1484" i="1"/>
  <c r="W1484" i="1" s="1"/>
  <c r="V1485" i="1"/>
  <c r="W1485" i="1" s="1"/>
  <c r="V1486" i="1"/>
  <c r="W1486" i="1"/>
  <c r="V1487" i="1"/>
  <c r="W1487" i="1"/>
  <c r="V1488" i="1"/>
  <c r="W1488" i="1"/>
  <c r="V1489" i="1"/>
  <c r="W1489" i="1" s="1"/>
  <c r="V1490" i="1"/>
  <c r="W1490" i="1" s="1"/>
  <c r="V1491" i="1"/>
  <c r="W1491" i="1" s="1"/>
  <c r="V1492" i="1"/>
  <c r="W1492" i="1" s="1"/>
  <c r="V1493" i="1"/>
  <c r="W1493" i="1" s="1"/>
  <c r="V1494" i="1"/>
  <c r="W1494" i="1"/>
  <c r="V1495" i="1"/>
  <c r="W1495" i="1"/>
  <c r="V1496" i="1"/>
  <c r="W1496" i="1"/>
  <c r="V1497" i="1"/>
  <c r="W1497" i="1" s="1"/>
  <c r="V1498" i="1"/>
  <c r="W1498" i="1" s="1"/>
  <c r="V1499" i="1"/>
  <c r="W1499" i="1" s="1"/>
  <c r="V1500" i="1"/>
  <c r="W1500" i="1" s="1"/>
  <c r="V1501" i="1"/>
  <c r="W1501" i="1" s="1"/>
  <c r="V1502" i="1"/>
  <c r="W1502" i="1"/>
  <c r="V1503" i="1"/>
  <c r="W1503" i="1"/>
  <c r="V1504" i="1"/>
  <c r="W1504" i="1"/>
  <c r="V1505" i="1"/>
  <c r="W1505" i="1" s="1"/>
  <c r="V1506" i="1"/>
  <c r="W1506" i="1" s="1"/>
  <c r="V1507" i="1"/>
  <c r="W1507" i="1" s="1"/>
  <c r="V1508" i="1"/>
  <c r="W1508" i="1" s="1"/>
  <c r="V1509" i="1"/>
  <c r="W1509" i="1" s="1"/>
  <c r="V1510" i="1"/>
  <c r="W1510" i="1"/>
  <c r="V1511" i="1"/>
  <c r="W1511" i="1"/>
  <c r="V1512" i="1"/>
  <c r="W1512" i="1"/>
  <c r="V1513" i="1"/>
  <c r="W1513" i="1" s="1"/>
  <c r="V1514" i="1"/>
  <c r="W1514" i="1" s="1"/>
  <c r="V1515" i="1"/>
  <c r="W1515" i="1" s="1"/>
  <c r="V1516" i="1"/>
  <c r="W1516" i="1" s="1"/>
  <c r="V1517" i="1"/>
  <c r="W1517" i="1" s="1"/>
  <c r="V1518" i="1"/>
  <c r="W1518" i="1"/>
  <c r="V1519" i="1"/>
  <c r="W1519" i="1"/>
  <c r="V1520" i="1"/>
  <c r="W1520" i="1"/>
  <c r="V1521" i="1"/>
  <c r="W1521" i="1" s="1"/>
  <c r="V1522" i="1"/>
  <c r="W1522" i="1" s="1"/>
  <c r="V1523" i="1"/>
  <c r="W1523" i="1" s="1"/>
  <c r="V1524" i="1"/>
  <c r="W1524" i="1" s="1"/>
  <c r="V1525" i="1"/>
  <c r="W1525" i="1" s="1"/>
  <c r="V1526" i="1"/>
  <c r="W1526" i="1"/>
  <c r="V1527" i="1"/>
  <c r="W1527" i="1"/>
  <c r="V1528" i="1"/>
  <c r="W1528" i="1"/>
  <c r="V1529" i="1"/>
  <c r="W1529" i="1" s="1"/>
  <c r="V1530" i="1"/>
  <c r="W1530" i="1" s="1"/>
  <c r="V1531" i="1"/>
  <c r="W1531" i="1" s="1"/>
  <c r="V1532" i="1"/>
  <c r="W1532" i="1" s="1"/>
  <c r="V1533" i="1"/>
  <c r="W1533" i="1" s="1"/>
  <c r="V1534" i="1"/>
  <c r="W1534" i="1"/>
  <c r="V1535" i="1"/>
  <c r="W1535" i="1"/>
  <c r="V1536" i="1"/>
  <c r="W1536" i="1"/>
  <c r="V1537" i="1"/>
  <c r="W1537" i="1" s="1"/>
  <c r="V1538" i="1"/>
  <c r="W1538" i="1" s="1"/>
  <c r="V1539" i="1"/>
  <c r="W1539" i="1" s="1"/>
  <c r="V1540" i="1"/>
  <c r="W1540" i="1" s="1"/>
  <c r="V1541" i="1"/>
  <c r="W1541" i="1" s="1"/>
  <c r="V1542" i="1"/>
  <c r="W1542" i="1"/>
  <c r="V1543" i="1"/>
  <c r="W1543" i="1" s="1"/>
  <c r="V1544" i="1"/>
  <c r="W1544" i="1"/>
  <c r="V1545" i="1"/>
  <c r="W1545" i="1" s="1"/>
  <c r="V1546" i="1"/>
  <c r="W1546" i="1" s="1"/>
  <c r="V1547" i="1"/>
  <c r="W1547" i="1" s="1"/>
  <c r="V1548" i="1"/>
  <c r="W1548" i="1" s="1"/>
  <c r="V1549" i="1"/>
  <c r="W1549" i="1" s="1"/>
  <c r="V1550" i="1"/>
  <c r="W1550" i="1"/>
  <c r="V1551" i="1"/>
  <c r="W1551" i="1"/>
  <c r="V1552" i="1"/>
  <c r="W1552" i="1"/>
  <c r="V1553" i="1"/>
  <c r="W1553" i="1" s="1"/>
  <c r="V1554" i="1"/>
  <c r="W1554" i="1" s="1"/>
  <c r="V1555" i="1"/>
  <c r="W1555" i="1" s="1"/>
  <c r="V1556" i="1"/>
  <c r="W1556" i="1" s="1"/>
  <c r="V1557" i="1"/>
  <c r="W1557" i="1" s="1"/>
  <c r="V1558" i="1"/>
  <c r="W1558" i="1"/>
  <c r="V1559" i="1"/>
  <c r="W1559" i="1"/>
  <c r="V1560" i="1"/>
  <c r="W1560" i="1"/>
  <c r="V1561" i="1"/>
  <c r="W1561" i="1" s="1"/>
  <c r="V1562" i="1"/>
  <c r="W1562" i="1" s="1"/>
  <c r="V1563" i="1"/>
  <c r="W1563" i="1" s="1"/>
  <c r="V1564" i="1"/>
  <c r="W1564" i="1" s="1"/>
  <c r="V1565" i="1"/>
  <c r="W1565" i="1" s="1"/>
  <c r="V1566" i="1"/>
  <c r="W1566" i="1"/>
  <c r="V1567" i="1"/>
  <c r="W1567" i="1"/>
  <c r="V1568" i="1"/>
  <c r="W1568" i="1"/>
  <c r="V1569" i="1"/>
  <c r="W1569" i="1" s="1"/>
  <c r="V1570" i="1"/>
  <c r="W1570" i="1" s="1"/>
  <c r="V1571" i="1"/>
  <c r="W1571" i="1" s="1"/>
  <c r="V1572" i="1"/>
  <c r="W1572" i="1" s="1"/>
  <c r="V1573" i="1"/>
  <c r="W1573" i="1" s="1"/>
  <c r="V1574" i="1"/>
  <c r="W1574" i="1"/>
  <c r="V1575" i="1"/>
  <c r="W1575" i="1"/>
  <c r="V1576" i="1"/>
  <c r="W1576" i="1"/>
  <c r="V1577" i="1"/>
  <c r="W1577" i="1" s="1"/>
  <c r="V1578" i="1"/>
  <c r="W1578" i="1" s="1"/>
  <c r="V1579" i="1"/>
  <c r="W1579" i="1" s="1"/>
  <c r="V1580" i="1"/>
  <c r="W1580" i="1" s="1"/>
  <c r="V1581" i="1"/>
  <c r="W1581" i="1" s="1"/>
  <c r="V1582" i="1"/>
  <c r="W1582" i="1"/>
  <c r="V1583" i="1"/>
  <c r="W1583" i="1"/>
  <c r="V1584" i="1"/>
  <c r="W1584" i="1"/>
  <c r="V1585" i="1"/>
  <c r="W1585" i="1" s="1"/>
  <c r="V1586" i="1"/>
  <c r="W1586" i="1" s="1"/>
  <c r="V1587" i="1"/>
  <c r="W1587" i="1" s="1"/>
  <c r="V1588" i="1"/>
  <c r="W1588" i="1" s="1"/>
  <c r="V1589" i="1"/>
  <c r="W1589" i="1" s="1"/>
  <c r="V1590" i="1"/>
  <c r="W1590" i="1"/>
  <c r="V1591" i="1"/>
  <c r="W1591" i="1"/>
  <c r="V1592" i="1"/>
  <c r="W1592" i="1"/>
  <c r="V1593" i="1"/>
  <c r="W1593" i="1" s="1"/>
  <c r="V1594" i="1"/>
  <c r="W1594" i="1" s="1"/>
  <c r="V1595" i="1"/>
  <c r="W1595" i="1" s="1"/>
  <c r="V1596" i="1"/>
  <c r="W1596" i="1" s="1"/>
  <c r="V1597" i="1"/>
  <c r="W1597" i="1" s="1"/>
  <c r="V1598" i="1"/>
  <c r="W1598" i="1"/>
  <c r="V1599" i="1"/>
  <c r="W1599" i="1"/>
  <c r="V1600" i="1"/>
  <c r="W1600" i="1"/>
  <c r="V1601" i="1"/>
  <c r="W1601" i="1" s="1"/>
  <c r="V1602" i="1"/>
  <c r="W1602" i="1" s="1"/>
  <c r="V1603" i="1"/>
  <c r="W1603" i="1" s="1"/>
  <c r="V1604" i="1"/>
  <c r="W1604" i="1" s="1"/>
  <c r="V1605" i="1"/>
  <c r="W1605" i="1" s="1"/>
  <c r="V1606" i="1"/>
  <c r="W1606" i="1"/>
  <c r="V1607" i="1"/>
  <c r="W1607" i="1"/>
  <c r="V1608" i="1"/>
  <c r="W1608" i="1"/>
  <c r="V1609" i="1"/>
  <c r="W1609" i="1" s="1"/>
  <c r="V1610" i="1"/>
  <c r="W1610" i="1" s="1"/>
  <c r="V1611" i="1"/>
  <c r="W1611" i="1" s="1"/>
  <c r="V1612" i="1"/>
  <c r="W1612" i="1" s="1"/>
  <c r="V1613" i="1"/>
  <c r="W1613" i="1" s="1"/>
  <c r="V1614" i="1"/>
  <c r="W1614" i="1"/>
  <c r="V1615" i="1"/>
  <c r="W1615" i="1"/>
  <c r="V1616" i="1"/>
  <c r="W1616" i="1" s="1"/>
  <c r="V1617" i="1"/>
  <c r="W1617" i="1" s="1"/>
  <c r="V1618" i="1"/>
  <c r="W1618" i="1" s="1"/>
  <c r="V1619" i="1"/>
  <c r="W1619" i="1" s="1"/>
  <c r="V1620" i="1"/>
  <c r="W1620" i="1" s="1"/>
  <c r="V1621" i="1"/>
  <c r="W1621" i="1" s="1"/>
  <c r="V1622" i="1"/>
  <c r="W1622" i="1"/>
  <c r="V1623" i="1"/>
  <c r="W1623" i="1"/>
  <c r="V1624" i="1"/>
  <c r="W1624" i="1"/>
  <c r="V1625" i="1"/>
  <c r="W1625" i="1" s="1"/>
  <c r="V1626" i="1"/>
  <c r="W1626" i="1" s="1"/>
  <c r="V1627" i="1"/>
  <c r="W1627" i="1" s="1"/>
  <c r="V1628" i="1"/>
  <c r="W1628" i="1" s="1"/>
  <c r="V1629" i="1"/>
  <c r="W1629" i="1" s="1"/>
  <c r="V1630" i="1"/>
  <c r="W1630" i="1"/>
  <c r="V1631" i="1"/>
  <c r="W1631" i="1"/>
  <c r="V1632" i="1"/>
  <c r="W1632" i="1"/>
  <c r="V1633" i="1"/>
  <c r="W1633" i="1" s="1"/>
  <c r="V1634" i="1"/>
  <c r="W1634" i="1" s="1"/>
  <c r="V1635" i="1"/>
  <c r="W1635" i="1" s="1"/>
  <c r="V1636" i="1"/>
  <c r="W1636" i="1" s="1"/>
  <c r="V1637" i="1"/>
  <c r="W1637" i="1" s="1"/>
  <c r="V1638" i="1"/>
  <c r="W1638" i="1" s="1"/>
  <c r="V1639" i="1"/>
  <c r="W1639" i="1"/>
  <c r="V1640" i="1"/>
  <c r="W1640" i="1"/>
  <c r="V1641" i="1"/>
  <c r="W1641" i="1" s="1"/>
  <c r="V1642" i="1"/>
  <c r="W1642" i="1" s="1"/>
  <c r="V1643" i="1"/>
  <c r="W1643" i="1" s="1"/>
  <c r="V1644" i="1"/>
  <c r="W1644" i="1" s="1"/>
  <c r="V1645" i="1"/>
  <c r="W1645" i="1" s="1"/>
  <c r="V1646" i="1"/>
  <c r="W1646" i="1"/>
  <c r="V1647" i="1"/>
  <c r="W1647" i="1"/>
  <c r="V1648" i="1"/>
  <c r="W1648" i="1"/>
  <c r="V1649" i="1"/>
  <c r="W1649" i="1" s="1"/>
  <c r="V1650" i="1"/>
  <c r="W1650" i="1" s="1"/>
  <c r="V1651" i="1"/>
  <c r="W1651" i="1" s="1"/>
  <c r="V1652" i="1"/>
  <c r="W1652" i="1" s="1"/>
  <c r="V1653" i="1"/>
  <c r="W1653" i="1" s="1"/>
  <c r="V1654" i="1"/>
  <c r="W1654" i="1" s="1"/>
  <c r="V1655" i="1"/>
  <c r="W1655" i="1"/>
  <c r="V1656" i="1"/>
  <c r="W1656" i="1"/>
  <c r="V1657" i="1"/>
  <c r="W1657" i="1" s="1"/>
  <c r="V1658" i="1"/>
  <c r="W1658" i="1" s="1"/>
  <c r="V1659" i="1"/>
  <c r="W1659" i="1" s="1"/>
  <c r="V1660" i="1"/>
  <c r="W1660" i="1" s="1"/>
  <c r="V1661" i="1"/>
  <c r="W1661" i="1" s="1"/>
  <c r="V1662" i="1"/>
  <c r="W1662" i="1"/>
  <c r="V1663" i="1"/>
  <c r="W1663" i="1" s="1"/>
  <c r="V1664" i="1"/>
  <c r="W1664" i="1"/>
  <c r="V1665" i="1"/>
  <c r="W1665" i="1" s="1"/>
  <c r="V1666" i="1"/>
  <c r="W1666" i="1" s="1"/>
  <c r="V1667" i="1"/>
  <c r="W1667" i="1" s="1"/>
  <c r="V1668" i="1"/>
  <c r="W1668" i="1" s="1"/>
  <c r="V1669" i="1"/>
  <c r="W1669" i="1" s="1"/>
  <c r="V1670" i="1"/>
  <c r="W1670" i="1" s="1"/>
  <c r="V1671" i="1"/>
  <c r="W1671" i="1"/>
  <c r="V1672" i="1"/>
  <c r="W1672" i="1"/>
  <c r="V1673" i="1"/>
  <c r="W1673" i="1" s="1"/>
  <c r="V1674" i="1"/>
  <c r="W1674" i="1" s="1"/>
  <c r="V1675" i="1"/>
  <c r="W1675" i="1" s="1"/>
  <c r="V1676" i="1"/>
  <c r="W1676" i="1" s="1"/>
  <c r="V1677" i="1"/>
  <c r="W1677" i="1" s="1"/>
  <c r="V1678" i="1"/>
  <c r="W1678" i="1"/>
  <c r="V1679" i="1"/>
  <c r="W1679" i="1" s="1"/>
  <c r="V1680" i="1"/>
  <c r="W1680" i="1"/>
  <c r="V1681" i="1"/>
  <c r="W1681" i="1" s="1"/>
  <c r="V1682" i="1"/>
  <c r="W1682" i="1" s="1"/>
  <c r="V1683" i="1"/>
  <c r="W1683" i="1" s="1"/>
  <c r="V1684" i="1"/>
  <c r="W1684" i="1" s="1"/>
  <c r="V1685" i="1"/>
  <c r="W1685" i="1" s="1"/>
  <c r="V1686" i="1"/>
  <c r="W1686" i="1"/>
  <c r="V1687" i="1"/>
  <c r="W1687" i="1"/>
  <c r="V1688" i="1"/>
  <c r="W1688" i="1" s="1"/>
  <c r="V1689" i="1"/>
  <c r="W1689" i="1" s="1"/>
  <c r="V1690" i="1"/>
  <c r="W1690" i="1" s="1"/>
  <c r="V1691" i="1"/>
  <c r="W1691" i="1" s="1"/>
  <c r="V1692" i="1"/>
  <c r="W1692" i="1" s="1"/>
  <c r="V1693" i="1"/>
  <c r="W1693" i="1" s="1"/>
  <c r="V1694" i="1"/>
  <c r="W1694" i="1"/>
  <c r="V1695" i="1"/>
  <c r="W1695" i="1"/>
  <c r="V1696" i="1"/>
  <c r="W1696" i="1"/>
  <c r="V1697" i="1"/>
  <c r="W1697" i="1" s="1"/>
  <c r="V1698" i="1"/>
  <c r="W1698" i="1" s="1"/>
  <c r="V1699" i="1"/>
  <c r="W1699" i="1" s="1"/>
  <c r="V1700" i="1"/>
  <c r="W1700" i="1" s="1"/>
  <c r="V1701" i="1"/>
  <c r="W1701" i="1" s="1"/>
  <c r="V1702" i="1"/>
  <c r="W1702" i="1" s="1"/>
  <c r="V1703" i="1"/>
  <c r="W1703" i="1"/>
  <c r="V1704" i="1"/>
  <c r="W1704" i="1" s="1"/>
  <c r="V1705" i="1"/>
  <c r="W1705" i="1" s="1"/>
  <c r="V1706" i="1"/>
  <c r="W1706" i="1" s="1"/>
  <c r="V1707" i="1"/>
  <c r="W1707" i="1" s="1"/>
  <c r="V1708" i="1"/>
  <c r="W1708" i="1" s="1"/>
  <c r="V1709" i="1"/>
  <c r="W1709" i="1" s="1"/>
  <c r="V1710" i="1"/>
  <c r="W1710" i="1"/>
  <c r="V1711" i="1"/>
  <c r="W1711" i="1" s="1"/>
  <c r="V1712" i="1"/>
  <c r="W1712" i="1"/>
  <c r="V1713" i="1"/>
  <c r="W1713" i="1" s="1"/>
  <c r="V1714" i="1"/>
  <c r="W1714" i="1" s="1"/>
  <c r="V1715" i="1"/>
  <c r="W1715" i="1" s="1"/>
  <c r="V1716" i="1"/>
  <c r="W1716" i="1" s="1"/>
  <c r="V1717" i="1"/>
  <c r="W1717" i="1" s="1"/>
  <c r="V1718" i="1"/>
  <c r="W1718" i="1" s="1"/>
  <c r="V1719" i="1"/>
  <c r="W1719" i="1"/>
  <c r="V1720" i="1"/>
  <c r="W1720" i="1"/>
  <c r="V1721" i="1"/>
  <c r="W1721" i="1" s="1"/>
  <c r="V1722" i="1"/>
  <c r="W1722" i="1" s="1"/>
  <c r="V1723" i="1"/>
  <c r="W1723" i="1" s="1"/>
  <c r="V1724" i="1"/>
  <c r="W1724" i="1" s="1"/>
  <c r="V1725" i="1"/>
  <c r="W1725" i="1" s="1"/>
  <c r="V1726" i="1"/>
  <c r="W1726" i="1"/>
  <c r="V1727" i="1"/>
  <c r="W1727" i="1" s="1"/>
  <c r="V1728" i="1"/>
  <c r="W1728" i="1"/>
  <c r="V1729" i="1"/>
  <c r="W1729" i="1" s="1"/>
  <c r="V1730" i="1"/>
  <c r="W1730" i="1" s="1"/>
  <c r="V1731" i="1"/>
  <c r="W1731" i="1" s="1"/>
  <c r="V1732" i="1"/>
  <c r="W1732" i="1" s="1"/>
  <c r="V1733" i="1"/>
  <c r="W1733" i="1" s="1"/>
  <c r="V1734" i="1"/>
  <c r="W1734" i="1" s="1"/>
  <c r="V1735" i="1"/>
  <c r="W1735" i="1" s="1"/>
  <c r="V1736" i="1"/>
  <c r="W1736" i="1" s="1"/>
  <c r="V1737" i="1"/>
  <c r="W1737" i="1" s="1"/>
  <c r="V1738" i="1"/>
  <c r="W1738" i="1" s="1"/>
  <c r="V1739" i="1"/>
  <c r="W1739" i="1" s="1"/>
  <c r="V1740" i="1"/>
  <c r="W1740" i="1" s="1"/>
  <c r="V1741" i="1"/>
  <c r="W1741" i="1" s="1"/>
  <c r="V1742" i="1"/>
  <c r="W1742" i="1"/>
  <c r="V1743" i="1"/>
  <c r="W1743" i="1" s="1"/>
  <c r="V1744" i="1"/>
  <c r="W1744" i="1"/>
  <c r="V1745" i="1"/>
  <c r="W1745" i="1" s="1"/>
  <c r="V1746" i="1"/>
  <c r="W1746" i="1" s="1"/>
  <c r="V1747" i="1"/>
  <c r="W1747" i="1" s="1"/>
  <c r="V1748" i="1"/>
  <c r="W1748" i="1" s="1"/>
  <c r="V1749" i="1"/>
  <c r="W1749" i="1" s="1"/>
  <c r="V1750" i="1"/>
  <c r="W1750" i="1" s="1"/>
  <c r="V1751" i="1"/>
  <c r="W1751" i="1" s="1"/>
  <c r="V1752" i="1"/>
  <c r="W1752" i="1" s="1"/>
  <c r="V1753" i="1"/>
  <c r="W1753" i="1" s="1"/>
  <c r="V1754" i="1"/>
  <c r="W1754" i="1" s="1"/>
  <c r="V1755" i="1"/>
  <c r="W1755" i="1" s="1"/>
  <c r="V1756" i="1"/>
  <c r="W1756" i="1" s="1"/>
  <c r="V1757" i="1"/>
  <c r="W1757" i="1" s="1"/>
  <c r="V1758" i="1"/>
  <c r="W1758" i="1" s="1"/>
  <c r="V1759" i="1"/>
  <c r="W1759" i="1" s="1"/>
  <c r="V1760" i="1"/>
  <c r="W1760" i="1" s="1"/>
  <c r="V1761" i="1"/>
  <c r="W1761" i="1" s="1"/>
  <c r="V1762" i="1"/>
  <c r="W1762" i="1" s="1"/>
  <c r="V1763" i="1"/>
  <c r="W1763" i="1" s="1"/>
  <c r="V1764" i="1"/>
  <c r="W1764" i="1" s="1"/>
  <c r="V1765" i="1"/>
  <c r="W1765" i="1" s="1"/>
  <c r="V1766" i="1"/>
  <c r="W1766" i="1" s="1"/>
  <c r="V1767" i="1"/>
  <c r="W1767" i="1" s="1"/>
  <c r="V1768" i="1"/>
  <c r="W1768" i="1" s="1"/>
  <c r="V1769" i="1"/>
  <c r="W1769" i="1" s="1"/>
  <c r="V1770" i="1"/>
  <c r="W1770" i="1" s="1"/>
  <c r="V1771" i="1"/>
  <c r="W1771" i="1" s="1"/>
  <c r="V1772" i="1"/>
  <c r="W1772" i="1" s="1"/>
  <c r="V1773" i="1"/>
  <c r="W1773" i="1" s="1"/>
  <c r="V1774" i="1"/>
  <c r="W1774" i="1" s="1"/>
  <c r="V1775" i="1"/>
  <c r="W1775" i="1" s="1"/>
  <c r="V1776" i="1"/>
  <c r="W1776" i="1" s="1"/>
  <c r="V1777" i="1"/>
  <c r="W1777" i="1" s="1"/>
  <c r="V1778" i="1"/>
  <c r="W1778" i="1" s="1"/>
  <c r="V1779" i="1"/>
  <c r="W1779" i="1" s="1"/>
  <c r="V1780" i="1"/>
  <c r="W1780" i="1" s="1"/>
  <c r="V1781" i="1"/>
  <c r="W1781" i="1" s="1"/>
  <c r="V1782" i="1"/>
  <c r="W1782" i="1" s="1"/>
  <c r="V1783" i="1"/>
  <c r="W1783" i="1" s="1"/>
  <c r="V1784" i="1"/>
  <c r="W1784" i="1" s="1"/>
  <c r="V1785" i="1"/>
  <c r="W1785" i="1" s="1"/>
  <c r="V1786" i="1"/>
  <c r="W1786" i="1" s="1"/>
  <c r="V1787" i="1"/>
  <c r="W1787" i="1" s="1"/>
  <c r="V1788" i="1"/>
  <c r="W1788" i="1" s="1"/>
  <c r="V1789" i="1"/>
  <c r="W1789" i="1" s="1"/>
  <c r="V1790" i="1"/>
  <c r="W1790" i="1" s="1"/>
  <c r="V1791" i="1"/>
  <c r="W1791" i="1" s="1"/>
  <c r="V1792" i="1"/>
  <c r="W1792" i="1" s="1"/>
  <c r="V1793" i="1"/>
  <c r="W1793" i="1" s="1"/>
  <c r="V1794" i="1"/>
  <c r="W1794" i="1" s="1"/>
  <c r="V1795" i="1"/>
  <c r="W1795" i="1" s="1"/>
  <c r="V1796" i="1"/>
  <c r="W1796" i="1" s="1"/>
  <c r="V1797" i="1"/>
  <c r="W1797" i="1" s="1"/>
  <c r="V1798" i="1"/>
  <c r="W1798" i="1" s="1"/>
  <c r="V1799" i="1"/>
  <c r="W1799" i="1" s="1"/>
  <c r="V1800" i="1"/>
  <c r="W1800" i="1" s="1"/>
  <c r="V1801" i="1"/>
  <c r="W1801" i="1" s="1"/>
  <c r="V1802" i="1"/>
  <c r="W1802" i="1" s="1"/>
  <c r="V1803" i="1"/>
  <c r="W1803" i="1" s="1"/>
  <c r="V1804" i="1"/>
  <c r="W1804" i="1" s="1"/>
  <c r="V1805" i="1"/>
  <c r="W1805" i="1" s="1"/>
  <c r="V1806" i="1"/>
  <c r="W1806" i="1" s="1"/>
  <c r="V1807" i="1"/>
  <c r="W1807" i="1" s="1"/>
  <c r="V1808" i="1"/>
  <c r="W1808" i="1" s="1"/>
  <c r="V1809" i="1"/>
  <c r="W1809" i="1" s="1"/>
  <c r="V1810" i="1"/>
  <c r="W1810" i="1" s="1"/>
  <c r="V1811" i="1"/>
  <c r="W1811" i="1" s="1"/>
  <c r="V1812" i="1"/>
  <c r="W1812" i="1" s="1"/>
  <c r="V1813" i="1"/>
  <c r="W1813" i="1" s="1"/>
  <c r="V1814" i="1"/>
  <c r="W1814" i="1" s="1"/>
  <c r="V1815" i="1"/>
  <c r="W1815" i="1" s="1"/>
  <c r="V1816" i="1"/>
  <c r="W1816" i="1" s="1"/>
  <c r="V1817" i="1"/>
  <c r="W1817" i="1" s="1"/>
  <c r="V1818" i="1"/>
  <c r="W1818" i="1" s="1"/>
  <c r="V1819" i="1"/>
  <c r="W1819" i="1" s="1"/>
  <c r="V1820" i="1"/>
  <c r="W1820" i="1" s="1"/>
  <c r="V1821" i="1"/>
  <c r="W1821" i="1" s="1"/>
  <c r="V1822" i="1"/>
  <c r="W1822" i="1" s="1"/>
  <c r="V1823" i="1"/>
  <c r="W1823" i="1" s="1"/>
  <c r="V1824" i="1"/>
  <c r="W1824" i="1" s="1"/>
  <c r="V1825" i="1"/>
  <c r="W1825" i="1" s="1"/>
  <c r="V1826" i="1"/>
  <c r="W1826" i="1" s="1"/>
  <c r="V1827" i="1"/>
  <c r="W1827" i="1" s="1"/>
  <c r="V1828" i="1"/>
  <c r="W1828" i="1" s="1"/>
  <c r="V1829" i="1"/>
  <c r="W1829" i="1" s="1"/>
  <c r="V1830" i="1"/>
  <c r="W1830" i="1" s="1"/>
  <c r="V1831" i="1"/>
  <c r="W1831" i="1" s="1"/>
  <c r="V1832" i="1"/>
  <c r="W1832" i="1" s="1"/>
  <c r="V1833" i="1"/>
  <c r="W1833" i="1" s="1"/>
  <c r="V1834" i="1"/>
  <c r="W1834" i="1" s="1"/>
  <c r="V1835" i="1"/>
  <c r="W1835" i="1" s="1"/>
  <c r="V1836" i="1"/>
  <c r="W1836" i="1" s="1"/>
  <c r="V1837" i="1"/>
  <c r="W1837" i="1" s="1"/>
  <c r="V1838" i="1"/>
  <c r="W1838" i="1" s="1"/>
  <c r="V1839" i="1"/>
  <c r="W1839" i="1" s="1"/>
  <c r="V1840" i="1"/>
  <c r="W1840" i="1" s="1"/>
  <c r="V1841" i="1"/>
  <c r="W1841" i="1" s="1"/>
  <c r="V1842" i="1"/>
  <c r="W1842" i="1" s="1"/>
  <c r="V1843" i="1"/>
  <c r="W1843" i="1" s="1"/>
  <c r="V1844" i="1"/>
  <c r="W1844" i="1" s="1"/>
  <c r="V1845" i="1"/>
  <c r="W1845" i="1" s="1"/>
  <c r="V1846" i="1"/>
  <c r="W1846" i="1" s="1"/>
  <c r="V1847" i="1"/>
  <c r="W1847" i="1" s="1"/>
  <c r="V1848" i="1"/>
  <c r="W1848" i="1" s="1"/>
  <c r="V1849" i="1"/>
  <c r="W1849" i="1" s="1"/>
  <c r="V1850" i="1"/>
  <c r="W1850" i="1" s="1"/>
  <c r="V1851" i="1"/>
  <c r="W1851" i="1" s="1"/>
  <c r="V1852" i="1"/>
  <c r="W1852" i="1" s="1"/>
  <c r="V1853" i="1"/>
  <c r="W1853" i="1" s="1"/>
  <c r="V1854" i="1"/>
  <c r="W1854" i="1" s="1"/>
  <c r="V1855" i="1"/>
  <c r="W1855" i="1" s="1"/>
  <c r="V1856" i="1"/>
  <c r="W1856" i="1" s="1"/>
  <c r="V1857" i="1"/>
  <c r="W1857" i="1" s="1"/>
  <c r="V1858" i="1"/>
  <c r="W1858" i="1" s="1"/>
  <c r="V1859" i="1"/>
  <c r="W1859" i="1" s="1"/>
  <c r="V1860" i="1"/>
  <c r="W1860" i="1" s="1"/>
  <c r="V1861" i="1"/>
  <c r="W1861" i="1" s="1"/>
  <c r="V1862" i="1"/>
  <c r="W1862" i="1" s="1"/>
  <c r="V1863" i="1"/>
  <c r="W1863" i="1" s="1"/>
  <c r="V1864" i="1"/>
  <c r="W1864" i="1" s="1"/>
  <c r="V1865" i="1"/>
  <c r="W1865" i="1" s="1"/>
  <c r="V1866" i="1"/>
  <c r="W1866" i="1" s="1"/>
  <c r="V1867" i="1"/>
  <c r="W1867" i="1" s="1"/>
  <c r="V1868" i="1"/>
  <c r="W1868" i="1" s="1"/>
  <c r="V1869" i="1"/>
  <c r="W1869" i="1" s="1"/>
  <c r="V1870" i="1"/>
  <c r="W1870" i="1" s="1"/>
  <c r="V1871" i="1"/>
  <c r="W1871" i="1" s="1"/>
  <c r="V1872" i="1"/>
  <c r="W1872" i="1" s="1"/>
  <c r="V1873" i="1"/>
  <c r="W1873" i="1" s="1"/>
  <c r="V1874" i="1"/>
  <c r="W1874" i="1" s="1"/>
  <c r="V1875" i="1"/>
  <c r="W1875" i="1" s="1"/>
  <c r="V1876" i="1"/>
  <c r="W1876" i="1" s="1"/>
  <c r="V1877" i="1"/>
  <c r="W1877" i="1" s="1"/>
  <c r="V1878" i="1"/>
  <c r="W1878" i="1" s="1"/>
  <c r="V1879" i="1"/>
  <c r="W1879" i="1" s="1"/>
  <c r="V1880" i="1"/>
  <c r="W1880" i="1" s="1"/>
  <c r="V1881" i="1"/>
  <c r="W1881" i="1" s="1"/>
  <c r="V1882" i="1"/>
  <c r="W1882" i="1" s="1"/>
  <c r="V1883" i="1"/>
  <c r="W1883" i="1" s="1"/>
  <c r="V1884" i="1"/>
  <c r="W1884" i="1" s="1"/>
  <c r="V1885" i="1"/>
  <c r="W1885" i="1" s="1"/>
  <c r="V1886" i="1"/>
  <c r="W1886" i="1" s="1"/>
  <c r="V1887" i="1"/>
  <c r="W1887" i="1" s="1"/>
  <c r="V1888" i="1"/>
  <c r="W1888" i="1" s="1"/>
  <c r="V1889" i="1"/>
  <c r="W1889" i="1" s="1"/>
  <c r="V1890" i="1"/>
  <c r="W1890" i="1" s="1"/>
  <c r="V1891" i="1"/>
  <c r="W1891" i="1" s="1"/>
  <c r="V1892" i="1"/>
  <c r="W1892" i="1" s="1"/>
  <c r="V1893" i="1"/>
  <c r="W1893" i="1" s="1"/>
  <c r="V1894" i="1"/>
  <c r="W1894" i="1" s="1"/>
  <c r="V1895" i="1"/>
  <c r="W1895" i="1" s="1"/>
  <c r="V1896" i="1"/>
  <c r="W1896" i="1" s="1"/>
  <c r="V1897" i="1"/>
  <c r="W1897" i="1" s="1"/>
  <c r="V1898" i="1"/>
  <c r="W1898" i="1" s="1"/>
  <c r="V1899" i="1"/>
  <c r="W1899" i="1" s="1"/>
  <c r="V1900" i="1"/>
  <c r="W1900" i="1" s="1"/>
  <c r="V1901" i="1"/>
  <c r="W1901" i="1" s="1"/>
  <c r="V1902" i="1"/>
  <c r="W1902" i="1" s="1"/>
  <c r="V1903" i="1"/>
  <c r="W1903" i="1" s="1"/>
  <c r="V1904" i="1"/>
  <c r="W1904" i="1" s="1"/>
  <c r="V1905" i="1"/>
  <c r="W1905" i="1" s="1"/>
  <c r="V1906" i="1"/>
  <c r="W1906" i="1" s="1"/>
  <c r="V1907" i="1"/>
  <c r="W1907" i="1" s="1"/>
  <c r="V1908" i="1"/>
  <c r="W1908" i="1" s="1"/>
  <c r="V1909" i="1"/>
  <c r="W1909" i="1" s="1"/>
  <c r="V1910" i="1"/>
  <c r="W1910" i="1" s="1"/>
  <c r="V1911" i="1"/>
  <c r="W1911" i="1" s="1"/>
  <c r="V1912" i="1"/>
  <c r="W1912" i="1" s="1"/>
  <c r="V1913" i="1"/>
  <c r="W1913" i="1" s="1"/>
  <c r="V1914" i="1"/>
  <c r="W1914" i="1" s="1"/>
  <c r="V1915" i="1"/>
  <c r="W1915" i="1" s="1"/>
  <c r="V1916" i="1"/>
  <c r="W1916" i="1" s="1"/>
  <c r="V1917" i="1"/>
  <c r="W1917" i="1" s="1"/>
  <c r="V1918" i="1"/>
  <c r="W1918" i="1" s="1"/>
  <c r="V1919" i="1"/>
  <c r="W1919" i="1" s="1"/>
  <c r="V1920" i="1"/>
  <c r="W1920" i="1" s="1"/>
  <c r="V1921" i="1"/>
  <c r="W1921" i="1" s="1"/>
  <c r="V1922" i="1"/>
  <c r="W1922" i="1" s="1"/>
  <c r="V1923" i="1"/>
  <c r="W1923" i="1" s="1"/>
  <c r="V1924" i="1"/>
  <c r="W1924" i="1" s="1"/>
  <c r="V1925" i="1"/>
  <c r="W1925" i="1" s="1"/>
  <c r="V1926" i="1"/>
  <c r="W1926" i="1" s="1"/>
  <c r="V1927" i="1"/>
  <c r="W1927" i="1" s="1"/>
  <c r="V1928" i="1"/>
  <c r="W1928" i="1" s="1"/>
  <c r="V1929" i="1"/>
  <c r="W1929" i="1" s="1"/>
  <c r="V1930" i="1"/>
  <c r="W1930" i="1" s="1"/>
  <c r="V1931" i="1"/>
  <c r="W1931" i="1" s="1"/>
  <c r="V1932" i="1"/>
  <c r="W1932" i="1" s="1"/>
  <c r="V1933" i="1"/>
  <c r="W1933" i="1" s="1"/>
  <c r="V1934" i="1"/>
  <c r="W1934" i="1" s="1"/>
  <c r="V1935" i="1"/>
  <c r="W1935" i="1" s="1"/>
  <c r="V1936" i="1"/>
  <c r="W1936" i="1" s="1"/>
  <c r="V1937" i="1"/>
  <c r="W1937" i="1" s="1"/>
  <c r="V1938" i="1"/>
  <c r="W1938" i="1" s="1"/>
  <c r="V1939" i="1"/>
  <c r="W1939" i="1" s="1"/>
  <c r="V1940" i="1"/>
  <c r="W1940" i="1" s="1"/>
  <c r="V1941" i="1"/>
  <c r="W1941" i="1" s="1"/>
  <c r="V1942" i="1"/>
  <c r="W1942" i="1" s="1"/>
  <c r="V1943" i="1"/>
  <c r="W1943" i="1" s="1"/>
  <c r="V1944" i="1"/>
  <c r="W1944" i="1" s="1"/>
  <c r="V1945" i="1"/>
  <c r="W1945" i="1" s="1"/>
  <c r="V1946" i="1"/>
  <c r="W1946" i="1" s="1"/>
  <c r="V1947" i="1"/>
  <c r="W1947" i="1" s="1"/>
  <c r="V1948" i="1"/>
  <c r="W1948" i="1" s="1"/>
  <c r="V1949" i="1"/>
  <c r="W1949" i="1" s="1"/>
  <c r="V1950" i="1"/>
  <c r="W1950" i="1" s="1"/>
  <c r="V1951" i="1"/>
  <c r="W1951" i="1" s="1"/>
  <c r="V1952" i="1"/>
  <c r="W1952" i="1" s="1"/>
  <c r="V1953" i="1"/>
  <c r="W1953" i="1" s="1"/>
  <c r="V1954" i="1"/>
  <c r="W1954" i="1" s="1"/>
  <c r="V1955" i="1"/>
  <c r="W1955" i="1" s="1"/>
  <c r="V1956" i="1"/>
  <c r="W1956" i="1" s="1"/>
  <c r="V1957" i="1"/>
  <c r="W1957" i="1" s="1"/>
  <c r="V1958" i="1"/>
  <c r="W1958" i="1" s="1"/>
  <c r="V1959" i="1"/>
  <c r="W1959" i="1" s="1"/>
  <c r="V1960" i="1"/>
  <c r="W1960" i="1" s="1"/>
  <c r="V1961" i="1"/>
  <c r="W1961" i="1" s="1"/>
  <c r="V1962" i="1"/>
  <c r="W1962" i="1" s="1"/>
  <c r="V1963" i="1"/>
  <c r="W1963" i="1" s="1"/>
  <c r="V1964" i="1"/>
  <c r="W1964" i="1" s="1"/>
  <c r="V1965" i="1"/>
  <c r="W1965" i="1" s="1"/>
  <c r="V1966" i="1"/>
  <c r="W1966" i="1"/>
  <c r="V1967" i="1"/>
  <c r="W1967" i="1" s="1"/>
  <c r="V1968" i="1"/>
  <c r="W1968" i="1" s="1"/>
  <c r="V1969" i="1"/>
  <c r="W1969" i="1" s="1"/>
  <c r="V1970" i="1"/>
  <c r="W1970" i="1" s="1"/>
  <c r="V1971" i="1"/>
  <c r="W1971" i="1" s="1"/>
  <c r="V1972" i="1"/>
  <c r="W1972" i="1" s="1"/>
  <c r="V1973" i="1"/>
  <c r="W1973" i="1" s="1"/>
  <c r="V1974" i="1"/>
  <c r="W1974" i="1" s="1"/>
  <c r="V1975" i="1"/>
  <c r="W1975" i="1" s="1"/>
  <c r="V1976" i="1"/>
  <c r="W1976" i="1" s="1"/>
  <c r="V1977" i="1"/>
  <c r="W1977" i="1" s="1"/>
  <c r="V1978" i="1"/>
  <c r="W1978" i="1" s="1"/>
  <c r="V1979" i="1"/>
  <c r="W1979" i="1" s="1"/>
  <c r="V1980" i="1"/>
  <c r="W1980" i="1" s="1"/>
  <c r="V1981" i="1"/>
  <c r="W1981" i="1" s="1"/>
  <c r="V1982" i="1"/>
  <c r="W1982" i="1" s="1"/>
  <c r="V1983" i="1"/>
  <c r="W1983" i="1" s="1"/>
  <c r="V1984" i="1"/>
  <c r="W1984" i="1" s="1"/>
  <c r="V1985" i="1"/>
  <c r="W1985" i="1" s="1"/>
  <c r="V1986" i="1"/>
  <c r="W1986" i="1" s="1"/>
  <c r="V1987" i="1"/>
  <c r="W1987" i="1" s="1"/>
  <c r="V1988" i="1"/>
  <c r="W1988" i="1" s="1"/>
  <c r="V1989" i="1"/>
  <c r="W1989" i="1" s="1"/>
  <c r="V1990" i="1"/>
  <c r="W1990" i="1" s="1"/>
  <c r="V1991" i="1"/>
  <c r="W1991" i="1" s="1"/>
  <c r="V1992" i="1"/>
  <c r="W1992" i="1" s="1"/>
  <c r="V1993" i="1"/>
  <c r="W1993" i="1" s="1"/>
  <c r="V1994" i="1"/>
  <c r="W1994" i="1" s="1"/>
  <c r="V1995" i="1"/>
  <c r="W1995" i="1" s="1"/>
  <c r="V1996" i="1"/>
  <c r="W1996" i="1" s="1"/>
  <c r="V1997" i="1"/>
  <c r="W1997" i="1" s="1"/>
  <c r="V1998" i="1"/>
  <c r="W1998" i="1" s="1"/>
  <c r="V1999" i="1"/>
  <c r="W1999" i="1" s="1"/>
  <c r="V2000" i="1"/>
  <c r="W2000" i="1" s="1"/>
  <c r="V2001" i="1"/>
  <c r="W2001" i="1" s="1"/>
  <c r="V2002" i="1"/>
  <c r="W2002" i="1" s="1"/>
  <c r="V2003" i="1"/>
  <c r="W2003" i="1" s="1"/>
  <c r="V2004" i="1"/>
  <c r="W2004" i="1" s="1"/>
  <c r="V2005" i="1"/>
  <c r="W2005" i="1" s="1"/>
  <c r="V2006" i="1"/>
  <c r="W2006" i="1" s="1"/>
  <c r="V2007" i="1"/>
  <c r="W2007" i="1" s="1"/>
  <c r="V2008" i="1"/>
  <c r="W2008" i="1" s="1"/>
  <c r="V2009" i="1"/>
  <c r="W2009" i="1" s="1"/>
  <c r="V2010" i="1"/>
  <c r="W2010" i="1" s="1"/>
  <c r="V2011" i="1"/>
  <c r="W2011" i="1" s="1"/>
  <c r="V2012" i="1"/>
  <c r="W2012" i="1" s="1"/>
  <c r="V2013" i="1"/>
  <c r="W2013" i="1" s="1"/>
  <c r="V2014" i="1"/>
  <c r="W2014" i="1" s="1"/>
  <c r="V2015" i="1"/>
  <c r="W2015" i="1" s="1"/>
  <c r="V2016" i="1"/>
  <c r="W2016" i="1" s="1"/>
  <c r="V2017" i="1"/>
  <c r="W2017" i="1" s="1"/>
  <c r="V2018" i="1"/>
  <c r="W2018" i="1" s="1"/>
  <c r="V2019" i="1"/>
  <c r="W2019" i="1" s="1"/>
  <c r="V2020" i="1"/>
  <c r="W2020" i="1" s="1"/>
  <c r="V2021" i="1"/>
  <c r="W2021" i="1" s="1"/>
  <c r="V2022" i="1"/>
  <c r="W2022" i="1" s="1"/>
  <c r="V2023" i="1"/>
  <c r="W2023" i="1" s="1"/>
  <c r="V2024" i="1"/>
  <c r="W2024" i="1" s="1"/>
  <c r="V2025" i="1"/>
  <c r="W2025" i="1" s="1"/>
  <c r="V2026" i="1"/>
  <c r="W2026" i="1" s="1"/>
  <c r="V2027" i="1"/>
  <c r="W2027" i="1" s="1"/>
  <c r="V2028" i="1"/>
  <c r="W2028" i="1" s="1"/>
  <c r="V2029" i="1"/>
  <c r="W2029" i="1" s="1"/>
  <c r="V2030" i="1"/>
  <c r="W2030" i="1" s="1"/>
  <c r="V2031" i="1"/>
  <c r="W2031" i="1" s="1"/>
  <c r="V2032" i="1"/>
  <c r="W2032" i="1" s="1"/>
  <c r="V2033" i="1"/>
  <c r="W2033" i="1" s="1"/>
  <c r="V2034" i="1"/>
  <c r="W2034" i="1" s="1"/>
  <c r="V2035" i="1"/>
  <c r="W2035" i="1" s="1"/>
  <c r="V2036" i="1"/>
  <c r="W2036" i="1" s="1"/>
  <c r="V2037" i="1"/>
  <c r="W2037" i="1" s="1"/>
  <c r="V2038" i="1"/>
  <c r="W2038" i="1" s="1"/>
  <c r="V2039" i="1"/>
  <c r="W2039" i="1" s="1"/>
  <c r="V2040" i="1"/>
  <c r="W2040" i="1" s="1"/>
  <c r="V2041" i="1"/>
  <c r="W2041" i="1" s="1"/>
  <c r="V2042" i="1"/>
  <c r="W2042" i="1" s="1"/>
  <c r="V2043" i="1"/>
  <c r="W2043" i="1" s="1"/>
  <c r="V2044" i="1"/>
  <c r="W2044" i="1" s="1"/>
  <c r="V2045" i="1"/>
  <c r="W2045" i="1" s="1"/>
  <c r="V2046" i="1"/>
  <c r="W2046" i="1" s="1"/>
  <c r="V2047" i="1"/>
  <c r="W2047" i="1" s="1"/>
  <c r="V2048" i="1"/>
  <c r="W2048" i="1" s="1"/>
  <c r="V2049" i="1"/>
  <c r="W2049" i="1" s="1"/>
  <c r="V2050" i="1"/>
  <c r="W2050" i="1" s="1"/>
  <c r="V2051" i="1"/>
  <c r="W2051" i="1" s="1"/>
  <c r="V2052" i="1"/>
  <c r="W2052" i="1" s="1"/>
  <c r="V2053" i="1"/>
  <c r="W2053" i="1" s="1"/>
  <c r="V2054" i="1"/>
  <c r="W2054" i="1" s="1"/>
  <c r="V2055" i="1"/>
  <c r="W2055" i="1" s="1"/>
  <c r="V2056" i="1"/>
  <c r="W2056" i="1" s="1"/>
  <c r="V2057" i="1"/>
  <c r="W2057" i="1" s="1"/>
  <c r="V2058" i="1"/>
  <c r="W2058" i="1" s="1"/>
  <c r="V2059" i="1"/>
  <c r="W2059" i="1" s="1"/>
  <c r="V2060" i="1"/>
  <c r="W2060" i="1" s="1"/>
  <c r="V2061" i="1"/>
  <c r="W2061" i="1" s="1"/>
  <c r="V2062" i="1"/>
  <c r="W2062" i="1" s="1"/>
  <c r="V2063" i="1"/>
  <c r="W2063" i="1" s="1"/>
  <c r="V2064" i="1"/>
  <c r="W2064" i="1" s="1"/>
  <c r="V2065" i="1"/>
  <c r="W2065" i="1" s="1"/>
  <c r="V2066" i="1"/>
  <c r="W2066" i="1" s="1"/>
  <c r="V2067" i="1"/>
  <c r="W2067" i="1" s="1"/>
  <c r="V2068" i="1"/>
  <c r="W2068" i="1" s="1"/>
  <c r="V2069" i="1"/>
  <c r="W2069" i="1" s="1"/>
  <c r="V2070" i="1"/>
  <c r="W2070" i="1" s="1"/>
  <c r="V2071" i="1"/>
  <c r="W2071" i="1" s="1"/>
  <c r="V2072" i="1"/>
  <c r="W2072" i="1" s="1"/>
  <c r="V2073" i="1"/>
  <c r="W2073" i="1" s="1"/>
  <c r="V2074" i="1"/>
  <c r="W2074" i="1" s="1"/>
  <c r="V2075" i="1"/>
  <c r="W2075" i="1" s="1"/>
  <c r="V2076" i="1"/>
  <c r="W2076" i="1" s="1"/>
  <c r="V2077" i="1"/>
  <c r="W2077" i="1" s="1"/>
  <c r="V2078" i="1"/>
  <c r="W2078" i="1" s="1"/>
  <c r="V2079" i="1"/>
  <c r="W2079" i="1" s="1"/>
  <c r="V2080" i="1"/>
  <c r="W2080" i="1" s="1"/>
  <c r="V2081" i="1"/>
  <c r="W2081" i="1" s="1"/>
  <c r="V2082" i="1"/>
  <c r="W2082" i="1" s="1"/>
  <c r="V2083" i="1"/>
  <c r="W2083" i="1" s="1"/>
  <c r="V2084" i="1"/>
  <c r="W2084" i="1" s="1"/>
  <c r="V2085" i="1"/>
  <c r="W2085" i="1" s="1"/>
  <c r="V2086" i="1"/>
  <c r="W2086" i="1" s="1"/>
  <c r="V2087" i="1"/>
  <c r="W2087" i="1" s="1"/>
  <c r="V2088" i="1"/>
  <c r="W2088" i="1" s="1"/>
  <c r="V2089" i="1"/>
  <c r="W2089" i="1" s="1"/>
  <c r="V2090" i="1"/>
  <c r="W2090" i="1" s="1"/>
  <c r="V2091" i="1"/>
  <c r="W2091" i="1" s="1"/>
  <c r="V2092" i="1"/>
  <c r="W2092" i="1" s="1"/>
  <c r="V2093" i="1"/>
  <c r="W2093" i="1" s="1"/>
  <c r="V2094" i="1"/>
  <c r="W2094" i="1" s="1"/>
  <c r="V2095" i="1"/>
  <c r="W2095" i="1" s="1"/>
  <c r="V2096" i="1"/>
  <c r="W2096" i="1" s="1"/>
  <c r="V2097" i="1"/>
  <c r="W2097" i="1" s="1"/>
  <c r="V2098" i="1"/>
  <c r="W2098" i="1" s="1"/>
  <c r="V2099" i="1"/>
  <c r="W2099" i="1" s="1"/>
  <c r="V2100" i="1"/>
  <c r="W2100" i="1" s="1"/>
  <c r="V2101" i="1"/>
  <c r="W2101" i="1" s="1"/>
  <c r="V2102" i="1"/>
  <c r="W2102" i="1" s="1"/>
  <c r="V2103" i="1"/>
  <c r="W2103" i="1" s="1"/>
  <c r="V2104" i="1"/>
  <c r="W2104" i="1" s="1"/>
  <c r="V2105" i="1"/>
  <c r="W2105" i="1" s="1"/>
  <c r="V2106" i="1"/>
  <c r="W2106" i="1" s="1"/>
  <c r="V2107" i="1"/>
  <c r="W2107" i="1" s="1"/>
  <c r="V2108" i="1"/>
  <c r="W2108" i="1" s="1"/>
  <c r="V2109" i="1"/>
  <c r="W2109" i="1" s="1"/>
  <c r="V2110" i="1"/>
  <c r="W2110" i="1" s="1"/>
  <c r="V2111" i="1"/>
  <c r="W2111" i="1" s="1"/>
  <c r="V2112" i="1"/>
  <c r="W2112" i="1" s="1"/>
  <c r="V2113" i="1"/>
  <c r="W2113" i="1" s="1"/>
  <c r="V2114" i="1"/>
  <c r="W2114" i="1" s="1"/>
  <c r="V2115" i="1"/>
  <c r="W2115" i="1" s="1"/>
  <c r="V2116" i="1"/>
  <c r="W2116" i="1" s="1"/>
  <c r="V2117" i="1"/>
  <c r="W2117" i="1" s="1"/>
  <c r="V2118" i="1"/>
  <c r="W2118" i="1" s="1"/>
  <c r="V2119" i="1"/>
  <c r="W2119" i="1" s="1"/>
  <c r="V2120" i="1"/>
  <c r="W2120" i="1" s="1"/>
  <c r="V2121" i="1"/>
  <c r="W2121" i="1" s="1"/>
  <c r="V2122" i="1"/>
  <c r="W2122" i="1" s="1"/>
  <c r="V2123" i="1"/>
  <c r="W2123" i="1" s="1"/>
  <c r="V2124" i="1"/>
  <c r="W2124" i="1" s="1"/>
  <c r="V2125" i="1"/>
  <c r="W2125" i="1" s="1"/>
  <c r="V2126" i="1"/>
  <c r="W2126" i="1" s="1"/>
  <c r="V2127" i="1"/>
  <c r="W2127" i="1" s="1"/>
  <c r="V2128" i="1"/>
  <c r="W2128" i="1" s="1"/>
  <c r="V2129" i="1"/>
  <c r="W2129" i="1" s="1"/>
  <c r="V2130" i="1"/>
  <c r="W2130" i="1" s="1"/>
  <c r="V2131" i="1"/>
  <c r="W2131" i="1" s="1"/>
  <c r="V2132" i="1"/>
  <c r="W2132" i="1" s="1"/>
  <c r="V2133" i="1"/>
  <c r="W2133" i="1" s="1"/>
  <c r="V2134" i="1"/>
  <c r="W2134" i="1" s="1"/>
  <c r="V2135" i="1"/>
  <c r="W2135" i="1" s="1"/>
  <c r="V2136" i="1"/>
  <c r="W2136" i="1" s="1"/>
  <c r="V2137" i="1"/>
  <c r="W2137" i="1" s="1"/>
  <c r="V2138" i="1"/>
  <c r="W2138" i="1" s="1"/>
  <c r="V2139" i="1"/>
  <c r="W2139" i="1" s="1"/>
  <c r="V2140" i="1"/>
  <c r="W2140" i="1" s="1"/>
  <c r="V2141" i="1"/>
  <c r="W2141" i="1" s="1"/>
  <c r="V2142" i="1"/>
  <c r="W2142" i="1" s="1"/>
  <c r="V2143" i="1"/>
  <c r="W2143" i="1" s="1"/>
  <c r="V2144" i="1"/>
  <c r="W2144" i="1" s="1"/>
  <c r="V2145" i="1"/>
  <c r="W2145" i="1" s="1"/>
  <c r="V2146" i="1"/>
  <c r="W2146" i="1" s="1"/>
  <c r="V2147" i="1"/>
  <c r="W2147" i="1" s="1"/>
  <c r="V2148" i="1"/>
  <c r="W2148" i="1" s="1"/>
  <c r="V2149" i="1"/>
  <c r="W2149" i="1" s="1"/>
  <c r="V2150" i="1"/>
  <c r="W2150" i="1" s="1"/>
  <c r="V2151" i="1"/>
  <c r="W2151" i="1" s="1"/>
  <c r="V2152" i="1"/>
  <c r="W2152" i="1" s="1"/>
  <c r="V2153" i="1"/>
  <c r="W2153" i="1" s="1"/>
  <c r="V2154" i="1"/>
  <c r="W2154" i="1" s="1"/>
  <c r="V2155" i="1"/>
  <c r="W2155" i="1" s="1"/>
  <c r="V2156" i="1"/>
  <c r="W2156" i="1" s="1"/>
  <c r="V2157" i="1"/>
  <c r="W2157" i="1" s="1"/>
  <c r="V2158" i="1"/>
  <c r="W2158" i="1" s="1"/>
  <c r="V2159" i="1"/>
  <c r="W2159" i="1" s="1"/>
  <c r="V2160" i="1"/>
  <c r="W2160" i="1" s="1"/>
  <c r="V2161" i="1"/>
  <c r="W2161" i="1" s="1"/>
  <c r="V2162" i="1"/>
  <c r="W2162" i="1" s="1"/>
  <c r="V2163" i="1"/>
  <c r="W2163" i="1" s="1"/>
  <c r="V2164" i="1"/>
  <c r="W2164" i="1" s="1"/>
  <c r="V2165" i="1"/>
  <c r="W2165" i="1" s="1"/>
  <c r="V2166" i="1"/>
  <c r="W2166" i="1" s="1"/>
  <c r="V2167" i="1"/>
  <c r="W2167" i="1" s="1"/>
  <c r="V2168" i="1"/>
  <c r="W2168" i="1" s="1"/>
  <c r="V2169" i="1"/>
  <c r="W2169" i="1" s="1"/>
  <c r="V2170" i="1"/>
  <c r="W2170" i="1" s="1"/>
  <c r="V2171" i="1"/>
  <c r="W2171" i="1" s="1"/>
  <c r="V2172" i="1"/>
  <c r="W2172" i="1" s="1"/>
  <c r="V2173" i="1"/>
  <c r="W2173" i="1" s="1"/>
  <c r="V2174" i="1"/>
  <c r="W2174" i="1" s="1"/>
  <c r="V2175" i="1"/>
  <c r="W2175" i="1" s="1"/>
  <c r="V2176" i="1"/>
  <c r="W2176" i="1" s="1"/>
  <c r="V2177" i="1"/>
  <c r="W2177" i="1" s="1"/>
  <c r="V2178" i="1"/>
  <c r="W2178" i="1" s="1"/>
  <c r="V2179" i="1"/>
  <c r="W2179" i="1" s="1"/>
  <c r="V2180" i="1"/>
  <c r="W2180" i="1" s="1"/>
  <c r="V2181" i="1"/>
  <c r="W2181" i="1" s="1"/>
  <c r="V2182" i="1"/>
  <c r="W2182" i="1" s="1"/>
  <c r="V2183" i="1"/>
  <c r="W2183" i="1" s="1"/>
  <c r="V2184" i="1"/>
  <c r="W2184" i="1" s="1"/>
  <c r="V2185" i="1"/>
  <c r="W2185" i="1" s="1"/>
  <c r="V2186" i="1"/>
  <c r="W2186" i="1" s="1"/>
  <c r="V2187" i="1"/>
  <c r="W2187" i="1" s="1"/>
  <c r="V2188" i="1"/>
  <c r="W2188" i="1" s="1"/>
  <c r="V2189" i="1"/>
  <c r="W2189" i="1" s="1"/>
  <c r="V2190" i="1"/>
  <c r="W2190" i="1" s="1"/>
  <c r="V2191" i="1"/>
  <c r="W2191" i="1" s="1"/>
  <c r="V2192" i="1"/>
  <c r="W2192" i="1" s="1"/>
  <c r="V2193" i="1"/>
  <c r="W2193" i="1" s="1"/>
  <c r="V2194" i="1"/>
  <c r="W2194" i="1" s="1"/>
  <c r="V2195" i="1"/>
  <c r="W2195" i="1" s="1"/>
  <c r="V2196" i="1"/>
  <c r="W2196" i="1" s="1"/>
  <c r="V2197" i="1"/>
  <c r="W2197" i="1" s="1"/>
  <c r="V2198" i="1"/>
  <c r="W2198" i="1" s="1"/>
  <c r="V2199" i="1"/>
  <c r="W2199" i="1" s="1"/>
  <c r="V2200" i="1"/>
  <c r="W2200" i="1" s="1"/>
  <c r="V2201" i="1"/>
  <c r="W2201" i="1" s="1"/>
  <c r="V2202" i="1"/>
  <c r="W2202" i="1" s="1"/>
  <c r="V2203" i="1"/>
  <c r="W2203" i="1" s="1"/>
  <c r="V2204" i="1"/>
  <c r="W2204" i="1" s="1"/>
  <c r="V2205" i="1"/>
  <c r="W2205" i="1" s="1"/>
  <c r="V2206" i="1"/>
  <c r="W2206" i="1" s="1"/>
  <c r="V2207" i="1"/>
  <c r="W2207" i="1" s="1"/>
  <c r="V2208" i="1"/>
  <c r="W2208" i="1" s="1"/>
  <c r="V2209" i="1"/>
  <c r="W2209" i="1" s="1"/>
  <c r="V2210" i="1"/>
  <c r="W2210" i="1" s="1"/>
  <c r="V2211" i="1"/>
  <c r="W2211" i="1" s="1"/>
  <c r="V2212" i="1"/>
  <c r="W2212" i="1" s="1"/>
  <c r="V2213" i="1"/>
  <c r="W2213" i="1" s="1"/>
  <c r="V2214" i="1"/>
  <c r="W2214" i="1" s="1"/>
  <c r="V2215" i="1"/>
  <c r="W2215" i="1" s="1"/>
  <c r="V2216" i="1"/>
  <c r="W2216" i="1" s="1"/>
  <c r="V2217" i="1"/>
  <c r="W2217" i="1" s="1"/>
  <c r="V2218" i="1"/>
  <c r="W2218" i="1" s="1"/>
  <c r="V2219" i="1"/>
  <c r="W2219" i="1" s="1"/>
  <c r="V2220" i="1"/>
  <c r="W2220" i="1" s="1"/>
  <c r="V2221" i="1"/>
  <c r="W2221" i="1" s="1"/>
  <c r="V2222" i="1"/>
  <c r="W2222" i="1" s="1"/>
  <c r="V2223" i="1"/>
  <c r="W2223" i="1" s="1"/>
  <c r="V2224" i="1"/>
  <c r="W2224" i="1" s="1"/>
  <c r="V2225" i="1"/>
  <c r="W2225" i="1" s="1"/>
  <c r="V2226" i="1"/>
  <c r="W2226" i="1" s="1"/>
  <c r="V2227" i="1"/>
  <c r="W2227" i="1" s="1"/>
  <c r="V2228" i="1"/>
  <c r="W2228" i="1" s="1"/>
  <c r="V2229" i="1"/>
  <c r="W2229" i="1" s="1"/>
  <c r="V2230" i="1"/>
  <c r="W2230" i="1" s="1"/>
  <c r="V2231" i="1"/>
  <c r="W2231" i="1" s="1"/>
  <c r="V2232" i="1"/>
  <c r="W2232" i="1" s="1"/>
  <c r="V2233" i="1"/>
  <c r="W2233" i="1" s="1"/>
  <c r="V2234" i="1"/>
  <c r="W2234" i="1" s="1"/>
  <c r="V2235" i="1"/>
  <c r="W2235" i="1" s="1"/>
  <c r="V2236" i="1"/>
  <c r="W2236" i="1" s="1"/>
  <c r="V2237" i="1"/>
  <c r="W2237" i="1" s="1"/>
  <c r="V2238" i="1"/>
  <c r="W2238" i="1" s="1"/>
  <c r="V2239" i="1"/>
  <c r="W2239" i="1" s="1"/>
  <c r="V2240" i="1"/>
  <c r="W2240" i="1" s="1"/>
  <c r="V2241" i="1"/>
  <c r="W2241" i="1" s="1"/>
  <c r="V2242" i="1"/>
  <c r="W2242" i="1" s="1"/>
  <c r="V2243" i="1"/>
  <c r="W2243" i="1" s="1"/>
  <c r="V2244" i="1"/>
  <c r="W2244" i="1" s="1"/>
  <c r="V2245" i="1"/>
  <c r="W2245" i="1" s="1"/>
  <c r="V2246" i="1"/>
  <c r="W2246" i="1" s="1"/>
  <c r="V2247" i="1"/>
  <c r="W2247" i="1" s="1"/>
  <c r="V2248" i="1"/>
  <c r="W2248" i="1" s="1"/>
  <c r="V2249" i="1"/>
  <c r="W2249" i="1" s="1"/>
  <c r="V2250" i="1"/>
  <c r="W2250" i="1" s="1"/>
  <c r="V2251" i="1"/>
  <c r="W2251" i="1" s="1"/>
  <c r="V2252" i="1"/>
  <c r="W2252" i="1" s="1"/>
  <c r="V2253" i="1"/>
  <c r="W2253" i="1" s="1"/>
  <c r="V2254" i="1"/>
  <c r="W2254" i="1" s="1"/>
  <c r="V2255" i="1"/>
  <c r="W2255" i="1" s="1"/>
  <c r="V2256" i="1"/>
  <c r="W2256" i="1" s="1"/>
  <c r="V2257" i="1"/>
  <c r="W2257" i="1" s="1"/>
  <c r="V2258" i="1"/>
  <c r="W2258" i="1" s="1"/>
  <c r="V2259" i="1"/>
  <c r="W2259" i="1" s="1"/>
  <c r="V2260" i="1"/>
  <c r="W2260" i="1" s="1"/>
  <c r="V2261" i="1"/>
  <c r="W2261" i="1" s="1"/>
  <c r="V2262" i="1"/>
  <c r="W2262" i="1" s="1"/>
  <c r="V2263" i="1"/>
  <c r="W2263" i="1" s="1"/>
  <c r="V2264" i="1"/>
  <c r="W2264" i="1" s="1"/>
  <c r="V2265" i="1"/>
  <c r="W2265" i="1" s="1"/>
  <c r="V2266" i="1"/>
  <c r="W2266" i="1" s="1"/>
  <c r="V2267" i="1"/>
  <c r="W2267" i="1" s="1"/>
  <c r="V2268" i="1"/>
  <c r="W2268" i="1" s="1"/>
  <c r="V2269" i="1"/>
  <c r="W2269" i="1" s="1"/>
  <c r="V2270" i="1"/>
  <c r="W2270" i="1" s="1"/>
  <c r="V2271" i="1"/>
  <c r="W2271" i="1" s="1"/>
  <c r="V2272" i="1"/>
  <c r="W2272" i="1" s="1"/>
  <c r="V2273" i="1"/>
  <c r="W2273" i="1" s="1"/>
  <c r="V2274" i="1"/>
  <c r="W2274" i="1" s="1"/>
  <c r="V2275" i="1"/>
  <c r="W2275" i="1" s="1"/>
  <c r="V2276" i="1"/>
  <c r="W2276" i="1" s="1"/>
  <c r="V2277" i="1"/>
  <c r="W2277" i="1" s="1"/>
  <c r="V2278" i="1"/>
  <c r="W2278" i="1" s="1"/>
  <c r="V2279" i="1"/>
  <c r="W2279" i="1" s="1"/>
  <c r="V2280" i="1"/>
  <c r="W2280" i="1" s="1"/>
  <c r="V2281" i="1"/>
  <c r="W2281" i="1" s="1"/>
  <c r="V2282" i="1"/>
  <c r="W2282" i="1" s="1"/>
  <c r="V2283" i="1"/>
  <c r="W2283" i="1" s="1"/>
  <c r="V2284" i="1"/>
  <c r="W2284" i="1" s="1"/>
  <c r="V2285" i="1"/>
  <c r="W2285" i="1" s="1"/>
  <c r="V2286" i="1"/>
  <c r="W2286" i="1" s="1"/>
  <c r="V2287" i="1"/>
  <c r="W2287" i="1" s="1"/>
  <c r="V2288" i="1"/>
  <c r="W2288" i="1" s="1"/>
  <c r="V2289" i="1"/>
  <c r="W2289" i="1" s="1"/>
  <c r="V2290" i="1"/>
  <c r="W2290" i="1" s="1"/>
  <c r="V2291" i="1"/>
  <c r="W2291" i="1" s="1"/>
  <c r="V2292" i="1"/>
  <c r="W2292" i="1" s="1"/>
  <c r="V2293" i="1"/>
  <c r="W2293" i="1" s="1"/>
  <c r="V2294" i="1"/>
  <c r="W2294" i="1" s="1"/>
  <c r="V2295" i="1"/>
  <c r="W2295" i="1" s="1"/>
  <c r="V2296" i="1"/>
  <c r="W2296" i="1" s="1"/>
  <c r="V2297" i="1"/>
  <c r="W2297" i="1" s="1"/>
  <c r="V2298" i="1"/>
  <c r="W2298" i="1" s="1"/>
  <c r="V2299" i="1"/>
  <c r="W2299" i="1" s="1"/>
  <c r="V2300" i="1"/>
  <c r="W2300" i="1" s="1"/>
  <c r="V2301" i="1"/>
  <c r="W2301" i="1" s="1"/>
  <c r="V2302" i="1"/>
  <c r="W2302" i="1" s="1"/>
  <c r="V2303" i="1"/>
  <c r="W2303" i="1" s="1"/>
  <c r="V2304" i="1"/>
  <c r="W2304" i="1" s="1"/>
  <c r="V2305" i="1"/>
  <c r="W2305" i="1" s="1"/>
  <c r="V2306" i="1"/>
  <c r="W2306" i="1" s="1"/>
  <c r="V2307" i="1"/>
  <c r="W2307" i="1" s="1"/>
  <c r="V2308" i="1"/>
  <c r="W2308" i="1" s="1"/>
  <c r="V2309" i="1"/>
  <c r="W2309" i="1" s="1"/>
  <c r="V2310" i="1"/>
  <c r="W2310" i="1" s="1"/>
  <c r="V2311" i="1"/>
  <c r="W2311" i="1" s="1"/>
  <c r="V2312" i="1"/>
  <c r="W2312" i="1" s="1"/>
  <c r="V2313" i="1"/>
  <c r="W2313" i="1" s="1"/>
  <c r="V2314" i="1"/>
  <c r="W2314" i="1" s="1"/>
  <c r="V2315" i="1"/>
  <c r="W2315" i="1" s="1"/>
  <c r="V2316" i="1"/>
  <c r="W2316" i="1" s="1"/>
  <c r="V2317" i="1"/>
  <c r="W2317" i="1" s="1"/>
  <c r="V2318" i="1"/>
  <c r="W2318" i="1" s="1"/>
  <c r="V2319" i="1"/>
  <c r="W2319" i="1" s="1"/>
  <c r="V2320" i="1"/>
  <c r="W2320" i="1" s="1"/>
  <c r="V2321" i="1"/>
  <c r="W2321" i="1" s="1"/>
  <c r="V2322" i="1"/>
  <c r="W2322" i="1" s="1"/>
  <c r="V2323" i="1"/>
  <c r="W2323" i="1" s="1"/>
  <c r="V2324" i="1"/>
  <c r="W2324" i="1" s="1"/>
  <c r="V2325" i="1"/>
  <c r="W2325" i="1" s="1"/>
  <c r="V2326" i="1"/>
  <c r="W2326" i="1" s="1"/>
  <c r="V2327" i="1"/>
  <c r="W2327" i="1" s="1"/>
  <c r="V2328" i="1"/>
  <c r="W2328" i="1" s="1"/>
  <c r="V2329" i="1"/>
  <c r="W2329" i="1" s="1"/>
  <c r="V2330" i="1"/>
  <c r="W2330" i="1" s="1"/>
  <c r="V2331" i="1"/>
  <c r="W2331" i="1" s="1"/>
  <c r="V2332" i="1"/>
  <c r="W2332" i="1" s="1"/>
  <c r="V2333" i="1"/>
  <c r="W2333" i="1" s="1"/>
  <c r="V2334" i="1"/>
  <c r="W2334" i="1" s="1"/>
  <c r="V2335" i="1"/>
  <c r="W2335" i="1" s="1"/>
  <c r="V2336" i="1"/>
  <c r="W2336" i="1" s="1"/>
  <c r="V2337" i="1"/>
  <c r="W2337" i="1" s="1"/>
  <c r="V2338" i="1"/>
  <c r="W2338" i="1" s="1"/>
  <c r="V2339" i="1"/>
  <c r="W2339" i="1" s="1"/>
  <c r="V2340" i="1"/>
  <c r="W2340" i="1" s="1"/>
  <c r="V2341" i="1"/>
  <c r="W2341" i="1" s="1"/>
  <c r="V2342" i="1"/>
  <c r="W2342" i="1" s="1"/>
  <c r="V2343" i="1"/>
  <c r="W2343" i="1" s="1"/>
  <c r="V2344" i="1"/>
  <c r="W2344" i="1" s="1"/>
  <c r="V2345" i="1"/>
  <c r="W2345" i="1" s="1"/>
  <c r="V2346" i="1"/>
  <c r="W2346" i="1" s="1"/>
  <c r="V2347" i="1"/>
  <c r="W2347" i="1" s="1"/>
  <c r="V2348" i="1"/>
  <c r="W2348" i="1" s="1"/>
  <c r="V2349" i="1"/>
  <c r="W2349" i="1" s="1"/>
  <c r="V2350" i="1"/>
  <c r="W2350" i="1" s="1"/>
  <c r="V2351" i="1"/>
  <c r="W2351" i="1" s="1"/>
  <c r="V2352" i="1"/>
  <c r="W2352" i="1" s="1"/>
  <c r="V2353" i="1"/>
  <c r="W2353" i="1" s="1"/>
  <c r="V2354" i="1"/>
  <c r="W2354" i="1" s="1"/>
  <c r="V2355" i="1"/>
  <c r="W2355" i="1" s="1"/>
  <c r="V2356" i="1"/>
  <c r="W2356" i="1" s="1"/>
  <c r="V2357" i="1"/>
  <c r="W2357" i="1" s="1"/>
  <c r="V2358" i="1"/>
  <c r="W2358" i="1" s="1"/>
  <c r="V2359" i="1"/>
  <c r="W2359" i="1" s="1"/>
  <c r="V2360" i="1"/>
  <c r="W2360" i="1" s="1"/>
  <c r="V2361" i="1"/>
  <c r="W2361" i="1" s="1"/>
  <c r="V2362" i="1"/>
  <c r="W2362" i="1" s="1"/>
  <c r="V2363" i="1"/>
  <c r="W2363" i="1" s="1"/>
  <c r="V2364" i="1"/>
  <c r="W2364" i="1" s="1"/>
  <c r="V2365" i="1"/>
  <c r="W2365" i="1" s="1"/>
  <c r="V2366" i="1"/>
  <c r="W2366" i="1" s="1"/>
  <c r="V2367" i="1"/>
  <c r="W2367" i="1" s="1"/>
  <c r="V2368" i="1"/>
  <c r="W2368" i="1" s="1"/>
  <c r="V2369" i="1"/>
  <c r="W2369" i="1" s="1"/>
  <c r="V2370" i="1"/>
  <c r="W2370" i="1" s="1"/>
  <c r="V2371" i="1"/>
  <c r="W2371" i="1" s="1"/>
  <c r="V2372" i="1"/>
  <c r="W2372" i="1" s="1"/>
  <c r="V2373" i="1"/>
  <c r="W2373" i="1" s="1"/>
  <c r="V2374" i="1"/>
  <c r="W2374" i="1" s="1"/>
  <c r="V2375" i="1"/>
  <c r="W2375" i="1" s="1"/>
  <c r="V2376" i="1"/>
  <c r="W2376" i="1" s="1"/>
  <c r="V2377" i="1"/>
  <c r="W2377" i="1" s="1"/>
  <c r="V2378" i="1"/>
  <c r="W2378" i="1" s="1"/>
  <c r="V2379" i="1"/>
  <c r="W2379" i="1" s="1"/>
  <c r="V2380" i="1"/>
  <c r="W2380" i="1" s="1"/>
  <c r="V2381" i="1"/>
  <c r="W2381" i="1" s="1"/>
  <c r="V2382" i="1"/>
  <c r="W2382" i="1" s="1"/>
  <c r="V2383" i="1"/>
  <c r="W2383" i="1" s="1"/>
  <c r="V2384" i="1"/>
  <c r="W2384" i="1" s="1"/>
  <c r="V2385" i="1"/>
  <c r="W2385" i="1" s="1"/>
  <c r="V2386" i="1"/>
  <c r="W2386" i="1" s="1"/>
  <c r="V2387" i="1"/>
  <c r="W2387" i="1" s="1"/>
  <c r="V2388" i="1"/>
  <c r="W2388" i="1" s="1"/>
  <c r="V2389" i="1"/>
  <c r="W2389" i="1" s="1"/>
  <c r="V2390" i="1"/>
  <c r="W2390" i="1" s="1"/>
  <c r="V2391" i="1"/>
  <c r="W2391" i="1" s="1"/>
  <c r="V2392" i="1"/>
  <c r="W2392" i="1" s="1"/>
  <c r="V2393" i="1"/>
  <c r="W2393" i="1" s="1"/>
  <c r="V2394" i="1"/>
  <c r="W2394" i="1" s="1"/>
  <c r="V2395" i="1"/>
  <c r="W2395" i="1" s="1"/>
  <c r="V2396" i="1"/>
  <c r="W2396" i="1" s="1"/>
  <c r="V2397" i="1"/>
  <c r="W2397" i="1" s="1"/>
  <c r="V2398" i="1"/>
  <c r="W2398" i="1" s="1"/>
  <c r="V2399" i="1"/>
  <c r="W2399" i="1" s="1"/>
  <c r="V2400" i="1"/>
  <c r="W2400" i="1" s="1"/>
  <c r="V2401" i="1"/>
  <c r="W2401" i="1" s="1"/>
  <c r="V2402" i="1"/>
  <c r="W2402" i="1" s="1"/>
  <c r="V2403" i="1"/>
  <c r="W2403" i="1" s="1"/>
  <c r="V2404" i="1"/>
  <c r="W2404" i="1" s="1"/>
  <c r="V2405" i="1"/>
  <c r="W2405" i="1" s="1"/>
  <c r="V2406" i="1"/>
  <c r="W2406" i="1" s="1"/>
  <c r="V2407" i="1"/>
  <c r="W2407" i="1" s="1"/>
  <c r="V2408" i="1"/>
  <c r="W2408" i="1" s="1"/>
  <c r="V2409" i="1"/>
  <c r="W2409" i="1" s="1"/>
  <c r="V2410" i="1"/>
  <c r="W2410" i="1" s="1"/>
  <c r="V2411" i="1"/>
  <c r="W2411" i="1" s="1"/>
  <c r="V2412" i="1"/>
  <c r="W2412" i="1" s="1"/>
  <c r="V2413" i="1"/>
  <c r="W2413" i="1" s="1"/>
  <c r="V2414" i="1"/>
  <c r="W2414" i="1" s="1"/>
  <c r="V2415" i="1"/>
  <c r="W2415" i="1" s="1"/>
  <c r="V2416" i="1"/>
  <c r="W2416" i="1" s="1"/>
  <c r="V2417" i="1"/>
  <c r="W2417" i="1" s="1"/>
  <c r="V2418" i="1"/>
  <c r="W2418" i="1" s="1"/>
  <c r="V2419" i="1"/>
  <c r="W2419" i="1" s="1"/>
  <c r="V2420" i="1"/>
  <c r="W2420" i="1" s="1"/>
  <c r="V2421" i="1"/>
  <c r="W2421" i="1" s="1"/>
  <c r="V2422" i="1"/>
  <c r="W2422" i="1" s="1"/>
  <c r="V2423" i="1"/>
  <c r="W2423" i="1" s="1"/>
  <c r="V2424" i="1"/>
  <c r="W2424" i="1" s="1"/>
  <c r="V2425" i="1"/>
  <c r="W2425" i="1" s="1"/>
  <c r="V2426" i="1"/>
  <c r="W2426" i="1" s="1"/>
  <c r="V2427" i="1"/>
  <c r="W2427" i="1" s="1"/>
  <c r="V2428" i="1"/>
  <c r="W2428" i="1" s="1"/>
  <c r="V2429" i="1"/>
  <c r="W2429" i="1" s="1"/>
  <c r="V2430" i="1"/>
  <c r="W2430" i="1" s="1"/>
  <c r="V2431" i="1"/>
  <c r="W2431" i="1" s="1"/>
  <c r="V2432" i="1"/>
  <c r="W2432" i="1" s="1"/>
  <c r="V2433" i="1"/>
  <c r="W2433" i="1" s="1"/>
  <c r="V2434" i="1"/>
  <c r="W2434" i="1" s="1"/>
  <c r="V2435" i="1"/>
  <c r="W2435" i="1" s="1"/>
  <c r="V2436" i="1"/>
  <c r="W2436" i="1" s="1"/>
  <c r="V2437" i="1"/>
  <c r="W2437" i="1" s="1"/>
  <c r="V2438" i="1"/>
  <c r="W2438" i="1" s="1"/>
  <c r="V2439" i="1"/>
  <c r="W2439" i="1" s="1"/>
  <c r="V2440" i="1"/>
  <c r="W2440" i="1" s="1"/>
  <c r="V2441" i="1"/>
  <c r="W2441" i="1" s="1"/>
  <c r="V2442" i="1"/>
  <c r="W2442" i="1" s="1"/>
  <c r="V2443" i="1"/>
  <c r="W2443" i="1" s="1"/>
  <c r="V2444" i="1"/>
  <c r="W2444" i="1" s="1"/>
  <c r="V2445" i="1"/>
  <c r="W2445" i="1" s="1"/>
  <c r="V2446" i="1"/>
  <c r="W2446" i="1" s="1"/>
  <c r="V2447" i="1"/>
  <c r="W2447" i="1" s="1"/>
  <c r="V2448" i="1"/>
  <c r="W2448" i="1" s="1"/>
  <c r="V2449" i="1"/>
  <c r="W2449" i="1" s="1"/>
  <c r="V2450" i="1"/>
  <c r="W2450" i="1" s="1"/>
  <c r="V2451" i="1"/>
  <c r="W2451" i="1" s="1"/>
  <c r="V2452" i="1"/>
  <c r="W2452" i="1" s="1"/>
  <c r="V2453" i="1"/>
  <c r="W2453" i="1" s="1"/>
  <c r="V2454" i="1"/>
  <c r="W2454" i="1" s="1"/>
  <c r="V2455" i="1"/>
  <c r="W2455" i="1" s="1"/>
  <c r="V2456" i="1"/>
  <c r="W2456" i="1" s="1"/>
  <c r="V2457" i="1"/>
  <c r="W2457" i="1" s="1"/>
  <c r="V2458" i="1"/>
  <c r="W2458" i="1" s="1"/>
  <c r="V2459" i="1"/>
  <c r="W2459" i="1" s="1"/>
  <c r="V2460" i="1"/>
  <c r="W2460" i="1" s="1"/>
  <c r="V2461" i="1"/>
  <c r="W2461" i="1" s="1"/>
  <c r="V2462" i="1"/>
  <c r="W2462" i="1" s="1"/>
  <c r="V2463" i="1"/>
  <c r="W2463" i="1" s="1"/>
  <c r="V2464" i="1"/>
  <c r="W2464" i="1" s="1"/>
  <c r="V2465" i="1"/>
  <c r="W2465" i="1" s="1"/>
  <c r="V2466" i="1"/>
  <c r="W2466" i="1" s="1"/>
  <c r="V2467" i="1"/>
  <c r="W2467" i="1" s="1"/>
  <c r="V2468" i="1"/>
  <c r="W2468" i="1" s="1"/>
  <c r="V2469" i="1"/>
  <c r="W2469" i="1" s="1"/>
  <c r="V2470" i="1"/>
  <c r="W2470" i="1" s="1"/>
  <c r="V2471" i="1"/>
  <c r="W2471" i="1" s="1"/>
  <c r="V2472" i="1"/>
  <c r="W2472" i="1" s="1"/>
  <c r="V2473" i="1"/>
  <c r="W2473" i="1" s="1"/>
  <c r="V2474" i="1"/>
  <c r="W2474" i="1" s="1"/>
  <c r="V2475" i="1"/>
  <c r="W2475" i="1" s="1"/>
  <c r="V2476" i="1"/>
  <c r="W2476" i="1" s="1"/>
  <c r="V2477" i="1"/>
  <c r="W2477" i="1" s="1"/>
  <c r="V2478" i="1"/>
  <c r="W2478" i="1" s="1"/>
  <c r="V2479" i="1"/>
  <c r="W2479" i="1" s="1"/>
  <c r="V2480" i="1"/>
  <c r="W2480" i="1" s="1"/>
  <c r="V2481" i="1"/>
  <c r="W2481" i="1" s="1"/>
  <c r="V2482" i="1"/>
  <c r="W2482" i="1" s="1"/>
  <c r="V2483" i="1"/>
  <c r="W2483" i="1" s="1"/>
  <c r="V2484" i="1"/>
  <c r="W2484" i="1" s="1"/>
  <c r="V2485" i="1"/>
  <c r="W2485" i="1" s="1"/>
  <c r="V2486" i="1"/>
  <c r="W2486" i="1" s="1"/>
  <c r="V2487" i="1"/>
  <c r="W2487" i="1" s="1"/>
  <c r="V2488" i="1"/>
  <c r="W2488" i="1" s="1"/>
  <c r="V2489" i="1"/>
  <c r="W2489" i="1" s="1"/>
  <c r="V2490" i="1"/>
  <c r="W2490" i="1" s="1"/>
  <c r="V2491" i="1"/>
  <c r="W2491" i="1" s="1"/>
  <c r="V2492" i="1"/>
  <c r="W2492" i="1" s="1"/>
  <c r="V2493" i="1"/>
  <c r="W2493" i="1" s="1"/>
  <c r="V2494" i="1"/>
  <c r="W2494" i="1" s="1"/>
  <c r="V2495" i="1"/>
  <c r="W2495" i="1" s="1"/>
  <c r="V2496" i="1"/>
  <c r="W2496" i="1" s="1"/>
  <c r="V2497" i="1"/>
  <c r="W2497" i="1" s="1"/>
  <c r="V2498" i="1"/>
  <c r="W2498" i="1" s="1"/>
  <c r="V2499" i="1"/>
  <c r="W2499" i="1" s="1"/>
  <c r="V2500" i="1"/>
  <c r="W2500" i="1" s="1"/>
  <c r="V2501" i="1"/>
  <c r="W2501" i="1" s="1"/>
  <c r="V2502" i="1"/>
  <c r="W2502" i="1" s="1"/>
  <c r="V2503" i="1"/>
  <c r="W2503" i="1" s="1"/>
  <c r="V2504" i="1"/>
  <c r="W2504" i="1" s="1"/>
  <c r="V2505" i="1"/>
  <c r="W2505" i="1" s="1"/>
  <c r="V2506" i="1"/>
  <c r="W2506" i="1" s="1"/>
  <c r="V2507" i="1"/>
  <c r="W2507" i="1" s="1"/>
  <c r="V2508" i="1"/>
  <c r="W2508" i="1" s="1"/>
  <c r="V2509" i="1"/>
  <c r="W2509" i="1" s="1"/>
  <c r="V2510" i="1"/>
  <c r="W2510" i="1" s="1"/>
  <c r="V2511" i="1"/>
  <c r="W2511" i="1" s="1"/>
  <c r="V2512" i="1"/>
  <c r="W2512" i="1" s="1"/>
  <c r="V2513" i="1"/>
  <c r="W2513" i="1" s="1"/>
  <c r="V2514" i="1"/>
  <c r="W2514" i="1" s="1"/>
  <c r="V2515" i="1"/>
  <c r="W2515" i="1" s="1"/>
  <c r="V2516" i="1"/>
  <c r="W2516" i="1" s="1"/>
  <c r="V2517" i="1"/>
  <c r="W2517" i="1" s="1"/>
  <c r="V2518" i="1"/>
  <c r="W2518" i="1" s="1"/>
  <c r="V2519" i="1"/>
  <c r="W2519" i="1" s="1"/>
  <c r="V2520" i="1"/>
  <c r="W2520" i="1" s="1"/>
  <c r="V2521" i="1"/>
  <c r="W2521" i="1" s="1"/>
  <c r="V2522" i="1"/>
  <c r="W2522" i="1" s="1"/>
  <c r="V2523" i="1"/>
  <c r="W2523" i="1" s="1"/>
  <c r="V2524" i="1"/>
  <c r="W2524" i="1" s="1"/>
  <c r="V2525" i="1"/>
  <c r="W2525" i="1" s="1"/>
  <c r="V2526" i="1"/>
  <c r="W2526" i="1" s="1"/>
  <c r="V2527" i="1"/>
  <c r="W2527" i="1" s="1"/>
  <c r="V2528" i="1"/>
  <c r="W2528" i="1" s="1"/>
  <c r="V2529" i="1"/>
  <c r="W2529" i="1" s="1"/>
  <c r="V2530" i="1"/>
  <c r="W2530" i="1" s="1"/>
  <c r="V2531" i="1"/>
  <c r="W2531" i="1" s="1"/>
  <c r="V2532" i="1"/>
  <c r="W2532" i="1" s="1"/>
  <c r="V2533" i="1"/>
  <c r="W2533" i="1" s="1"/>
  <c r="V2534" i="1"/>
  <c r="W2534" i="1" s="1"/>
  <c r="V2535" i="1"/>
  <c r="W2535" i="1" s="1"/>
  <c r="V2536" i="1"/>
  <c r="W2536" i="1" s="1"/>
  <c r="V2537" i="1"/>
  <c r="W2537" i="1" s="1"/>
  <c r="V2538" i="1"/>
  <c r="W2538" i="1" s="1"/>
  <c r="V2539" i="1"/>
  <c r="W2539" i="1" s="1"/>
  <c r="V2540" i="1"/>
  <c r="W2540" i="1" s="1"/>
  <c r="V2541" i="1"/>
  <c r="W2541" i="1" s="1"/>
  <c r="V2542" i="1"/>
  <c r="W2542" i="1" s="1"/>
  <c r="V2543" i="1"/>
  <c r="W2543" i="1" s="1"/>
  <c r="V2544" i="1"/>
  <c r="W2544" i="1" s="1"/>
  <c r="V2545" i="1"/>
  <c r="W2545" i="1" s="1"/>
  <c r="V2546" i="1"/>
  <c r="W2546" i="1" s="1"/>
  <c r="V2547" i="1"/>
  <c r="W2547" i="1" s="1"/>
  <c r="V2548" i="1"/>
  <c r="W2548" i="1" s="1"/>
  <c r="V2549" i="1"/>
  <c r="W2549" i="1" s="1"/>
  <c r="V2550" i="1"/>
  <c r="W2550" i="1" s="1"/>
  <c r="V2551" i="1"/>
  <c r="W2551" i="1" s="1"/>
  <c r="V2552" i="1"/>
  <c r="W2552" i="1" s="1"/>
  <c r="V2553" i="1"/>
  <c r="W2553" i="1" s="1"/>
  <c r="V2554" i="1"/>
  <c r="W2554" i="1" s="1"/>
  <c r="V2555" i="1"/>
  <c r="W2555" i="1" s="1"/>
  <c r="V2556" i="1"/>
  <c r="W2556" i="1" s="1"/>
  <c r="V2557" i="1"/>
  <c r="W2557" i="1" s="1"/>
  <c r="V2558" i="1"/>
  <c r="W2558" i="1" s="1"/>
  <c r="V2559" i="1"/>
  <c r="W2559" i="1" s="1"/>
  <c r="V2560" i="1"/>
  <c r="W2560" i="1" s="1"/>
  <c r="V2561" i="1"/>
  <c r="W2561" i="1" s="1"/>
  <c r="V2562" i="1"/>
  <c r="W2562" i="1" s="1"/>
  <c r="V2563" i="1"/>
  <c r="W2563" i="1" s="1"/>
  <c r="V2564" i="1"/>
  <c r="W2564" i="1" s="1"/>
  <c r="V2565" i="1"/>
  <c r="W2565" i="1" s="1"/>
  <c r="V2566" i="1"/>
  <c r="W2566" i="1" s="1"/>
  <c r="V2567" i="1"/>
  <c r="W2567" i="1" s="1"/>
  <c r="V2568" i="1"/>
  <c r="W2568" i="1" s="1"/>
  <c r="V2569" i="1"/>
  <c r="W2569" i="1" s="1"/>
  <c r="V2570" i="1"/>
  <c r="W2570" i="1" s="1"/>
  <c r="V2571" i="1"/>
  <c r="W2571" i="1" s="1"/>
  <c r="V2572" i="1"/>
  <c r="W2572" i="1" s="1"/>
  <c r="V2573" i="1"/>
  <c r="W2573" i="1" s="1"/>
  <c r="V2574" i="1"/>
  <c r="W2574" i="1" s="1"/>
  <c r="V2575" i="1"/>
  <c r="W2575" i="1"/>
  <c r="V2576" i="1"/>
  <c r="W2576" i="1" s="1"/>
  <c r="V2577" i="1"/>
  <c r="W2577" i="1" s="1"/>
  <c r="V2578" i="1"/>
  <c r="W2578" i="1" s="1"/>
  <c r="V2579" i="1"/>
  <c r="W2579" i="1"/>
  <c r="V2580" i="1"/>
  <c r="W2580" i="1"/>
  <c r="V2581" i="1"/>
  <c r="W2581" i="1" s="1"/>
  <c r="V2582" i="1"/>
  <c r="W2582" i="1" s="1"/>
  <c r="V2583" i="1"/>
  <c r="W2583" i="1"/>
  <c r="V2584" i="1"/>
  <c r="W2584" i="1"/>
  <c r="V2585" i="1"/>
  <c r="W2585" i="1" s="1"/>
  <c r="V2586" i="1"/>
  <c r="W2586" i="1" s="1"/>
  <c r="V2587" i="1"/>
  <c r="W2587" i="1" s="1"/>
  <c r="V2588" i="1"/>
  <c r="W2588" i="1"/>
  <c r="V2589" i="1"/>
  <c r="W2589" i="1" s="1"/>
  <c r="V2590" i="1"/>
  <c r="W2590" i="1" s="1"/>
  <c r="V2591" i="1"/>
  <c r="W2591" i="1"/>
  <c r="V2592" i="1"/>
  <c r="W2592" i="1" s="1"/>
  <c r="V2593" i="1"/>
  <c r="W2593" i="1" s="1"/>
  <c r="V2594" i="1"/>
  <c r="W2594" i="1" s="1"/>
  <c r="V2595" i="1"/>
  <c r="W2595" i="1"/>
  <c r="V2596" i="1"/>
  <c r="W2596" i="1"/>
  <c r="V2597" i="1"/>
  <c r="W2597" i="1" s="1"/>
  <c r="V2598" i="1"/>
  <c r="W2598" i="1" s="1"/>
  <c r="V2599" i="1"/>
  <c r="W2599" i="1"/>
  <c r="V2600" i="1"/>
  <c r="W2600" i="1"/>
  <c r="V2601" i="1"/>
  <c r="W2601" i="1" s="1"/>
  <c r="V2602" i="1"/>
  <c r="W2602" i="1" s="1"/>
  <c r="V2603" i="1"/>
  <c r="W2603" i="1" s="1"/>
  <c r="V2604" i="1"/>
  <c r="W2604" i="1"/>
  <c r="V2605" i="1"/>
  <c r="W2605" i="1" s="1"/>
  <c r="V2606" i="1"/>
  <c r="W2606" i="1" s="1"/>
  <c r="V2607" i="1"/>
  <c r="W2607" i="1"/>
  <c r="V2608" i="1"/>
  <c r="W2608" i="1" s="1"/>
  <c r="V2609" i="1"/>
  <c r="W2609" i="1" s="1"/>
  <c r="V2610" i="1"/>
  <c r="W2610" i="1" s="1"/>
  <c r="V2611" i="1"/>
  <c r="W2611" i="1"/>
  <c r="V2612" i="1"/>
  <c r="W2612" i="1"/>
  <c r="V2613" i="1"/>
  <c r="W2613" i="1" s="1"/>
  <c r="V2614" i="1"/>
  <c r="W2614" i="1" s="1"/>
  <c r="V2615" i="1"/>
  <c r="W2615" i="1"/>
  <c r="V2616" i="1"/>
  <c r="W2616" i="1"/>
  <c r="V2617" i="1"/>
  <c r="W2617" i="1" s="1"/>
  <c r="V2618" i="1"/>
  <c r="W2618" i="1" s="1"/>
  <c r="V2619" i="1"/>
  <c r="W2619" i="1" s="1"/>
  <c r="V2620" i="1"/>
  <c r="W2620" i="1"/>
  <c r="V2621" i="1"/>
  <c r="W2621" i="1" s="1"/>
  <c r="V2622" i="1"/>
  <c r="W2622" i="1" s="1"/>
  <c r="V2623" i="1"/>
  <c r="W2623" i="1"/>
  <c r="V2624" i="1"/>
  <c r="W2624" i="1" s="1"/>
  <c r="V2625" i="1"/>
  <c r="W2625" i="1" s="1"/>
  <c r="V2626" i="1"/>
  <c r="W2626" i="1" s="1"/>
  <c r="V2627" i="1"/>
  <c r="W2627" i="1"/>
  <c r="V2628" i="1"/>
  <c r="W2628" i="1"/>
  <c r="V2629" i="1"/>
  <c r="W2629" i="1" s="1"/>
  <c r="V2630" i="1"/>
  <c r="W2630" i="1" s="1"/>
  <c r="V2631" i="1"/>
  <c r="W2631" i="1"/>
  <c r="V2632" i="1"/>
  <c r="W2632" i="1"/>
  <c r="V2633" i="1"/>
  <c r="W2633" i="1" s="1"/>
  <c r="V2634" i="1"/>
  <c r="W2634" i="1" s="1"/>
  <c r="V2635" i="1"/>
  <c r="W2635" i="1" s="1"/>
  <c r="V2636" i="1"/>
  <c r="W2636" i="1"/>
  <c r="V2637" i="1"/>
  <c r="W2637" i="1" s="1"/>
  <c r="V2638" i="1"/>
  <c r="W2638" i="1" s="1"/>
  <c r="V2639" i="1"/>
  <c r="W2639" i="1"/>
  <c r="V2640" i="1"/>
  <c r="W2640" i="1" s="1"/>
  <c r="V2641" i="1"/>
  <c r="W2641" i="1" s="1"/>
  <c r="V2642" i="1"/>
  <c r="W2642" i="1" s="1"/>
  <c r="V2643" i="1"/>
  <c r="W2643" i="1"/>
  <c r="V2644" i="1"/>
  <c r="W2644" i="1"/>
  <c r="V2645" i="1"/>
  <c r="W2645" i="1" s="1"/>
  <c r="V2646" i="1"/>
  <c r="W2646" i="1" s="1"/>
  <c r="V2647" i="1"/>
  <c r="W2647" i="1"/>
  <c r="V2648" i="1"/>
  <c r="W2648" i="1"/>
  <c r="V2649" i="1"/>
  <c r="W2649" i="1" s="1"/>
  <c r="V2650" i="1"/>
  <c r="W2650" i="1" s="1"/>
  <c r="V2651" i="1"/>
  <c r="W2651" i="1"/>
  <c r="V2652" i="1"/>
  <c r="W2652" i="1" s="1"/>
  <c r="V2653" i="1"/>
  <c r="W2653" i="1" s="1"/>
  <c r="V2654" i="1"/>
  <c r="W2654" i="1" s="1"/>
  <c r="V2655" i="1"/>
  <c r="W2655" i="1"/>
  <c r="V2656" i="1"/>
  <c r="W2656" i="1" s="1"/>
  <c r="V2657" i="1"/>
  <c r="W2657" i="1" s="1"/>
  <c r="V2658" i="1"/>
  <c r="W2658" i="1" s="1"/>
  <c r="V2659" i="1"/>
  <c r="W2659" i="1"/>
  <c r="V2660" i="1"/>
  <c r="W2660" i="1" s="1"/>
  <c r="V2661" i="1"/>
  <c r="W2661" i="1" s="1"/>
  <c r="V2662" i="1"/>
  <c r="W2662" i="1" s="1"/>
  <c r="V2663" i="1"/>
  <c r="W2663" i="1"/>
  <c r="V2664" i="1"/>
  <c r="W2664" i="1" s="1"/>
  <c r="V2665" i="1"/>
  <c r="W2665" i="1" s="1"/>
  <c r="V2666" i="1"/>
  <c r="W2666" i="1" s="1"/>
  <c r="V2667" i="1"/>
  <c r="W2667" i="1"/>
  <c r="V2668" i="1"/>
  <c r="W2668" i="1" s="1"/>
  <c r="V2669" i="1"/>
  <c r="W2669" i="1" s="1"/>
  <c r="V2670" i="1"/>
  <c r="W2670" i="1" s="1"/>
  <c r="V2671" i="1"/>
  <c r="W2671" i="1"/>
  <c r="V2672" i="1"/>
  <c r="W2672" i="1" s="1"/>
  <c r="V2673" i="1"/>
  <c r="W2673" i="1" s="1"/>
  <c r="V2674" i="1"/>
  <c r="W2674" i="1" s="1"/>
  <c r="V2675" i="1"/>
  <c r="W2675" i="1"/>
  <c r="V2676" i="1"/>
  <c r="W2676" i="1" s="1"/>
  <c r="V2677" i="1"/>
  <c r="W2677" i="1" s="1"/>
  <c r="V2678" i="1"/>
  <c r="W2678" i="1" s="1"/>
  <c r="V2679" i="1"/>
  <c r="W2679" i="1"/>
  <c r="V2680" i="1"/>
  <c r="W2680" i="1" s="1"/>
  <c r="V2681" i="1"/>
  <c r="W2681" i="1" s="1"/>
  <c r="V2682" i="1"/>
  <c r="W2682" i="1" s="1"/>
  <c r="V2683" i="1"/>
  <c r="W2683" i="1"/>
  <c r="V2684" i="1"/>
  <c r="W2684" i="1" s="1"/>
  <c r="V2685" i="1"/>
  <c r="W2685" i="1" s="1"/>
  <c r="V2686" i="1"/>
  <c r="W2686" i="1" s="1"/>
  <c r="V2687" i="1"/>
  <c r="W2687" i="1"/>
  <c r="V2688" i="1"/>
  <c r="W2688" i="1" s="1"/>
  <c r="V2689" i="1"/>
  <c r="W2689" i="1" s="1"/>
  <c r="V2690" i="1"/>
  <c r="W2690" i="1" s="1"/>
  <c r="V2691" i="1"/>
  <c r="W2691" i="1"/>
  <c r="V2692" i="1"/>
  <c r="W2692" i="1" s="1"/>
  <c r="V2693" i="1"/>
  <c r="W2693" i="1" s="1"/>
  <c r="V2694" i="1"/>
  <c r="W2694" i="1" s="1"/>
  <c r="V2695" i="1"/>
  <c r="W2695" i="1"/>
  <c r="V2696" i="1"/>
  <c r="W2696" i="1" s="1"/>
  <c r="V2697" i="1"/>
  <c r="W2697" i="1" s="1"/>
  <c r="V2698" i="1"/>
  <c r="W2698" i="1" s="1"/>
  <c r="V2699" i="1"/>
  <c r="W2699" i="1"/>
  <c r="V2700" i="1"/>
  <c r="W2700" i="1" s="1"/>
  <c r="V2701" i="1"/>
  <c r="W2701" i="1" s="1"/>
  <c r="V2702" i="1"/>
  <c r="W2702" i="1" s="1"/>
  <c r="V2703" i="1"/>
  <c r="W2703" i="1"/>
  <c r="V2704" i="1"/>
  <c r="W2704" i="1" s="1"/>
  <c r="V2705" i="1"/>
  <c r="W2705" i="1" s="1"/>
  <c r="V2706" i="1"/>
  <c r="W2706" i="1" s="1"/>
  <c r="V2707" i="1"/>
  <c r="W2707" i="1"/>
  <c r="V2708" i="1"/>
  <c r="W2708" i="1" s="1"/>
  <c r="V2709" i="1"/>
  <c r="W2709" i="1" s="1"/>
  <c r="V2710" i="1"/>
  <c r="W2710" i="1" s="1"/>
  <c r="V2711" i="1"/>
  <c r="W2711" i="1"/>
  <c r="V2712" i="1"/>
  <c r="W2712" i="1" s="1"/>
  <c r="V2713" i="1"/>
  <c r="W2713" i="1" s="1"/>
  <c r="V2714" i="1"/>
  <c r="W2714" i="1" s="1"/>
  <c r="V2715" i="1"/>
  <c r="W2715" i="1"/>
  <c r="V2716" i="1"/>
  <c r="W2716" i="1" s="1"/>
  <c r="V2717" i="1"/>
  <c r="W2717" i="1" s="1"/>
  <c r="V2718" i="1"/>
  <c r="W2718" i="1" s="1"/>
  <c r="V2719" i="1"/>
  <c r="W2719" i="1"/>
  <c r="V2720" i="1"/>
  <c r="W2720" i="1" s="1"/>
  <c r="V2721" i="1"/>
  <c r="W2721" i="1" s="1"/>
  <c r="V2722" i="1"/>
  <c r="W2722" i="1" s="1"/>
  <c r="V2723" i="1"/>
  <c r="W2723" i="1"/>
  <c r="V2724" i="1"/>
  <c r="W2724" i="1" s="1"/>
  <c r="V2725" i="1"/>
  <c r="W2725" i="1" s="1"/>
  <c r="V2726" i="1"/>
  <c r="W2726" i="1" s="1"/>
  <c r="V2727" i="1"/>
  <c r="W2727" i="1"/>
  <c r="V2728" i="1"/>
  <c r="W2728" i="1" s="1"/>
  <c r="V2729" i="1"/>
  <c r="W2729" i="1" s="1"/>
  <c r="V2730" i="1"/>
  <c r="W2730" i="1" s="1"/>
  <c r="V2731" i="1"/>
  <c r="W2731" i="1"/>
  <c r="V2732" i="1"/>
  <c r="W2732" i="1" s="1"/>
  <c r="V2733" i="1"/>
  <c r="W2733" i="1" s="1"/>
  <c r="V2734" i="1"/>
  <c r="W2734" i="1" s="1"/>
  <c r="V2735" i="1"/>
  <c r="W2735" i="1"/>
  <c r="V2736" i="1"/>
  <c r="W2736" i="1" s="1"/>
  <c r="V2737" i="1"/>
  <c r="W2737" i="1" s="1"/>
  <c r="V2738" i="1"/>
  <c r="W2738" i="1" s="1"/>
  <c r="V2739" i="1"/>
  <c r="W2739" i="1"/>
  <c r="V2740" i="1"/>
  <c r="W2740" i="1" s="1"/>
  <c r="V2741" i="1"/>
  <c r="W2741" i="1" s="1"/>
  <c r="V2742" i="1"/>
  <c r="W2742" i="1" s="1"/>
  <c r="V2743" i="1"/>
  <c r="W2743" i="1"/>
  <c r="V2744" i="1"/>
  <c r="W2744" i="1" s="1"/>
  <c r="V2745" i="1"/>
  <c r="W2745" i="1" s="1"/>
  <c r="V2746" i="1"/>
  <c r="W2746" i="1" s="1"/>
  <c r="V2747" i="1"/>
  <c r="W2747" i="1"/>
  <c r="V2748" i="1"/>
  <c r="W2748" i="1" s="1"/>
  <c r="V2749" i="1"/>
  <c r="W2749" i="1" s="1"/>
  <c r="V2750" i="1"/>
  <c r="W2750" i="1" s="1"/>
  <c r="V2751" i="1"/>
  <c r="W2751" i="1"/>
  <c r="V2752" i="1"/>
  <c r="W2752" i="1" s="1"/>
  <c r="V2753" i="1"/>
  <c r="W2753" i="1" s="1"/>
  <c r="V2754" i="1"/>
  <c r="W2754" i="1" s="1"/>
  <c r="V2755" i="1"/>
  <c r="W2755" i="1"/>
  <c r="V2756" i="1"/>
  <c r="W2756" i="1" s="1"/>
  <c r="V2757" i="1"/>
  <c r="W2757" i="1" s="1"/>
  <c r="V2758" i="1"/>
  <c r="W2758" i="1" s="1"/>
  <c r="V2759" i="1"/>
  <c r="W2759" i="1"/>
  <c r="V2760" i="1"/>
  <c r="W2760" i="1" s="1"/>
  <c r="V2761" i="1"/>
  <c r="W2761" i="1" s="1"/>
  <c r="V2762" i="1"/>
  <c r="W2762" i="1" s="1"/>
  <c r="V2763" i="1"/>
  <c r="W2763" i="1"/>
  <c r="V2764" i="1"/>
  <c r="W2764" i="1" s="1"/>
  <c r="V2765" i="1"/>
  <c r="W2765" i="1" s="1"/>
  <c r="V2766" i="1"/>
  <c r="W2766" i="1" s="1"/>
  <c r="V2767" i="1"/>
  <c r="W2767" i="1"/>
  <c r="V2768" i="1"/>
  <c r="W2768" i="1" s="1"/>
  <c r="V2769" i="1"/>
  <c r="W2769" i="1" s="1"/>
  <c r="V2770" i="1"/>
  <c r="W2770" i="1" s="1"/>
  <c r="V2771" i="1"/>
  <c r="W2771" i="1"/>
  <c r="V2772" i="1"/>
  <c r="W2772" i="1" s="1"/>
  <c r="V2773" i="1"/>
  <c r="W2773" i="1" s="1"/>
  <c r="V2774" i="1"/>
  <c r="W2774" i="1" s="1"/>
  <c r="V2775" i="1"/>
  <c r="W2775" i="1"/>
  <c r="V2776" i="1"/>
  <c r="W2776" i="1" s="1"/>
  <c r="V2777" i="1"/>
  <c r="W2777" i="1" s="1"/>
  <c r="V2778" i="1"/>
  <c r="W2778" i="1" s="1"/>
  <c r="V2779" i="1"/>
  <c r="W2779" i="1"/>
  <c r="V2780" i="1"/>
  <c r="W2780" i="1" s="1"/>
  <c r="V2781" i="1"/>
  <c r="W2781" i="1" s="1"/>
  <c r="V2782" i="1"/>
  <c r="W2782" i="1" s="1"/>
  <c r="V2783" i="1"/>
  <c r="W2783" i="1"/>
  <c r="V2784" i="1"/>
  <c r="W2784" i="1" s="1"/>
  <c r="V2785" i="1"/>
  <c r="W2785" i="1" s="1"/>
  <c r="V2786" i="1"/>
  <c r="W2786" i="1" s="1"/>
  <c r="V2787" i="1"/>
  <c r="W2787" i="1"/>
  <c r="V2788" i="1"/>
  <c r="W2788" i="1" s="1"/>
  <c r="V2789" i="1"/>
  <c r="W2789" i="1" s="1"/>
  <c r="V2790" i="1"/>
  <c r="W2790" i="1" s="1"/>
  <c r="V2791" i="1"/>
  <c r="W2791" i="1"/>
  <c r="V2792" i="1"/>
  <c r="W2792" i="1" s="1"/>
  <c r="V2793" i="1"/>
  <c r="W2793" i="1" s="1"/>
  <c r="V2794" i="1"/>
  <c r="W2794" i="1" s="1"/>
  <c r="V2795" i="1"/>
  <c r="W2795" i="1"/>
  <c r="V2796" i="1"/>
  <c r="W2796" i="1" s="1"/>
  <c r="V2797" i="1"/>
  <c r="W2797" i="1" s="1"/>
  <c r="V2798" i="1"/>
  <c r="W2798" i="1" s="1"/>
  <c r="V2799" i="1"/>
  <c r="W2799" i="1"/>
  <c r="V2800" i="1"/>
  <c r="W2800" i="1" s="1"/>
  <c r="V2801" i="1"/>
  <c r="W2801" i="1" s="1"/>
  <c r="V2802" i="1"/>
  <c r="W2802" i="1" s="1"/>
  <c r="V2803" i="1"/>
  <c r="W2803" i="1"/>
  <c r="V2804" i="1"/>
  <c r="W2804" i="1" s="1"/>
  <c r="V2805" i="1"/>
  <c r="W2805" i="1" s="1"/>
  <c r="V2806" i="1"/>
  <c r="W2806" i="1" s="1"/>
  <c r="V2807" i="1"/>
  <c r="W2807" i="1"/>
  <c r="V2808" i="1"/>
  <c r="W2808" i="1" s="1"/>
  <c r="V2809" i="1"/>
  <c r="W2809" i="1" s="1"/>
  <c r="V2810" i="1"/>
  <c r="W2810" i="1" s="1"/>
  <c r="V2811" i="1"/>
  <c r="W2811" i="1"/>
  <c r="V2812" i="1"/>
  <c r="W2812" i="1" s="1"/>
  <c r="V2813" i="1"/>
  <c r="W2813" i="1" s="1"/>
  <c r="V2814" i="1"/>
  <c r="W2814" i="1" s="1"/>
  <c r="V2815" i="1"/>
  <c r="W2815" i="1"/>
  <c r="V2816" i="1"/>
  <c r="W2816" i="1" s="1"/>
  <c r="V2817" i="1"/>
  <c r="W2817" i="1" s="1"/>
  <c r="V2818" i="1"/>
  <c r="W2818" i="1" s="1"/>
  <c r="V2819" i="1"/>
  <c r="W2819" i="1"/>
  <c r="V2820" i="1"/>
  <c r="W2820" i="1" s="1"/>
  <c r="V2821" i="1"/>
  <c r="W2821" i="1" s="1"/>
  <c r="V2822" i="1"/>
  <c r="W2822" i="1" s="1"/>
  <c r="V2823" i="1"/>
  <c r="W2823" i="1"/>
  <c r="V2824" i="1"/>
  <c r="W2824" i="1" s="1"/>
  <c r="V2825" i="1"/>
  <c r="W2825" i="1" s="1"/>
  <c r="V2826" i="1"/>
  <c r="W2826" i="1" s="1"/>
  <c r="V2827" i="1"/>
  <c r="W2827" i="1"/>
  <c r="V2828" i="1"/>
  <c r="W2828" i="1" s="1"/>
  <c r="V2829" i="1"/>
  <c r="W2829" i="1" s="1"/>
  <c r="V2830" i="1"/>
  <c r="W2830" i="1" s="1"/>
  <c r="V2831" i="1"/>
  <c r="W2831" i="1"/>
  <c r="V2832" i="1"/>
  <c r="W2832" i="1" s="1"/>
  <c r="V2833" i="1"/>
  <c r="W2833" i="1" s="1"/>
  <c r="V2834" i="1"/>
  <c r="W2834" i="1" s="1"/>
  <c r="V2835" i="1"/>
  <c r="W2835" i="1"/>
  <c r="V2836" i="1"/>
  <c r="W2836" i="1" s="1"/>
  <c r="V2837" i="1"/>
  <c r="W2837" i="1" s="1"/>
  <c r="V2838" i="1"/>
  <c r="W2838" i="1" s="1"/>
  <c r="V2839" i="1"/>
  <c r="W2839" i="1"/>
  <c r="V2840" i="1"/>
  <c r="W2840" i="1" s="1"/>
  <c r="V2841" i="1"/>
  <c r="W2841" i="1" s="1"/>
  <c r="V2842" i="1"/>
  <c r="W2842" i="1" s="1"/>
  <c r="V2843" i="1"/>
  <c r="W2843" i="1"/>
  <c r="V2844" i="1"/>
  <c r="W2844" i="1" s="1"/>
  <c r="V2845" i="1"/>
  <c r="W2845" i="1" s="1"/>
  <c r="V2846" i="1"/>
  <c r="W2846" i="1" s="1"/>
  <c r="V2847" i="1"/>
  <c r="W2847" i="1"/>
  <c r="V2848" i="1"/>
  <c r="W2848" i="1" s="1"/>
  <c r="V2849" i="1"/>
  <c r="W2849" i="1" s="1"/>
  <c r="V2850" i="1"/>
  <c r="W2850" i="1" s="1"/>
  <c r="V2851" i="1"/>
  <c r="W2851" i="1"/>
  <c r="V2852" i="1"/>
  <c r="W2852" i="1" s="1"/>
  <c r="V2853" i="1"/>
  <c r="W2853" i="1" s="1"/>
  <c r="V2854" i="1"/>
  <c r="W2854" i="1" s="1"/>
  <c r="V2855" i="1"/>
  <c r="W2855" i="1"/>
  <c r="V2856" i="1"/>
  <c r="W2856" i="1" s="1"/>
  <c r="V2857" i="1"/>
  <c r="W2857" i="1" s="1"/>
  <c r="V2858" i="1"/>
  <c r="W2858" i="1" s="1"/>
  <c r="V2859" i="1"/>
  <c r="W2859" i="1"/>
  <c r="V2860" i="1"/>
  <c r="W2860" i="1" s="1"/>
  <c r="V2861" i="1"/>
  <c r="W2861" i="1" s="1"/>
  <c r="V2862" i="1"/>
  <c r="W2862" i="1" s="1"/>
  <c r="V2863" i="1"/>
  <c r="W2863" i="1"/>
  <c r="V2864" i="1"/>
  <c r="W2864" i="1" s="1"/>
  <c r="V2865" i="1"/>
  <c r="W2865" i="1" s="1"/>
  <c r="V2866" i="1"/>
  <c r="W2866" i="1" s="1"/>
  <c r="V2867" i="1"/>
  <c r="W2867" i="1"/>
  <c r="V2868" i="1"/>
  <c r="W2868" i="1" s="1"/>
  <c r="V2869" i="1"/>
  <c r="W2869" i="1" s="1"/>
  <c r="V2870" i="1"/>
  <c r="W2870" i="1" s="1"/>
  <c r="V2871" i="1"/>
  <c r="W2871" i="1"/>
  <c r="V2872" i="1"/>
  <c r="W2872" i="1" s="1"/>
  <c r="V2873" i="1"/>
  <c r="W2873" i="1" s="1"/>
  <c r="V2874" i="1"/>
  <c r="W2874" i="1" s="1"/>
  <c r="V2875" i="1"/>
  <c r="W2875" i="1"/>
  <c r="V2876" i="1"/>
  <c r="W2876" i="1" s="1"/>
  <c r="V2877" i="1"/>
  <c r="W2877" i="1" s="1"/>
  <c r="V2878" i="1"/>
  <c r="W2878" i="1" s="1"/>
  <c r="V2879" i="1"/>
  <c r="W2879" i="1"/>
  <c r="V2880" i="1"/>
  <c r="W2880" i="1" s="1"/>
  <c r="V2881" i="1"/>
  <c r="W2881" i="1" s="1"/>
  <c r="V2882" i="1"/>
  <c r="W2882" i="1" s="1"/>
  <c r="V2883" i="1"/>
  <c r="W2883" i="1"/>
  <c r="V2884" i="1"/>
  <c r="W2884" i="1" s="1"/>
  <c r="V2885" i="1"/>
  <c r="W2885" i="1" s="1"/>
  <c r="V2886" i="1"/>
  <c r="W2886" i="1" s="1"/>
  <c r="V2887" i="1"/>
  <c r="W2887" i="1"/>
  <c r="V2888" i="1"/>
  <c r="W2888" i="1" s="1"/>
  <c r="V2889" i="1"/>
  <c r="W2889" i="1" s="1"/>
  <c r="V2890" i="1"/>
  <c r="W2890" i="1" s="1"/>
  <c r="V2891" i="1"/>
  <c r="W2891" i="1"/>
  <c r="V2892" i="1"/>
  <c r="W2892" i="1" s="1"/>
  <c r="V2893" i="1"/>
  <c r="W2893" i="1" s="1"/>
  <c r="V2894" i="1"/>
  <c r="W2894" i="1" s="1"/>
  <c r="V2895" i="1"/>
  <c r="W2895" i="1"/>
  <c r="V2896" i="1"/>
  <c r="W2896" i="1" s="1"/>
  <c r="V2897" i="1"/>
  <c r="W2897" i="1" s="1"/>
  <c r="V2898" i="1"/>
  <c r="W2898" i="1" s="1"/>
  <c r="V2899" i="1"/>
  <c r="W2899" i="1"/>
  <c r="V2900" i="1"/>
  <c r="W2900" i="1" s="1"/>
  <c r="V2901" i="1"/>
  <c r="W2901" i="1" s="1"/>
  <c r="V2902" i="1"/>
  <c r="W2902" i="1" s="1"/>
  <c r="V2903" i="1"/>
  <c r="W2903" i="1"/>
  <c r="V2904" i="1"/>
  <c r="W2904" i="1" s="1"/>
  <c r="V2905" i="1"/>
  <c r="W2905" i="1" s="1"/>
  <c r="V2906" i="1"/>
  <c r="W2906" i="1" s="1"/>
  <c r="V2907" i="1"/>
  <c r="W2907" i="1"/>
  <c r="V2908" i="1"/>
  <c r="W2908" i="1" s="1"/>
  <c r="V2909" i="1"/>
  <c r="W2909" i="1" s="1"/>
  <c r="V2910" i="1"/>
  <c r="W2910" i="1" s="1"/>
  <c r="V2911" i="1"/>
  <c r="W2911" i="1"/>
  <c r="V2912" i="1"/>
  <c r="W2912" i="1" s="1"/>
  <c r="V2913" i="1"/>
  <c r="W2913" i="1" s="1"/>
  <c r="V2914" i="1"/>
  <c r="W2914" i="1" s="1"/>
  <c r="V2915" i="1"/>
  <c r="W2915" i="1"/>
  <c r="V2916" i="1"/>
  <c r="W2916" i="1" s="1"/>
  <c r="V2917" i="1"/>
  <c r="W2917" i="1" s="1"/>
  <c r="V2918" i="1"/>
  <c r="W2918" i="1" s="1"/>
  <c r="V2919" i="1"/>
  <c r="W2919" i="1"/>
  <c r="V2920" i="1"/>
  <c r="W2920" i="1" s="1"/>
  <c r="V2921" i="1"/>
  <c r="W2921" i="1" s="1"/>
  <c r="V2922" i="1"/>
  <c r="W2922" i="1" s="1"/>
  <c r="V2923" i="1"/>
  <c r="W2923" i="1" s="1"/>
  <c r="V2924" i="1"/>
  <c r="W2924" i="1" s="1"/>
  <c r="V2925" i="1"/>
  <c r="W2925" i="1" s="1"/>
  <c r="V2926" i="1"/>
  <c r="W2926" i="1" s="1"/>
  <c r="V2927" i="1"/>
  <c r="W2927" i="1" s="1"/>
  <c r="V2928" i="1"/>
  <c r="W2928" i="1" s="1"/>
  <c r="V2929" i="1"/>
  <c r="W2929" i="1" s="1"/>
  <c r="V2930" i="1"/>
  <c r="W2930" i="1" s="1"/>
  <c r="V2931" i="1"/>
  <c r="W2931" i="1" s="1"/>
  <c r="V2932" i="1"/>
  <c r="W2932" i="1" s="1"/>
  <c r="V2933" i="1"/>
  <c r="W2933" i="1" s="1"/>
  <c r="V2934" i="1"/>
  <c r="W2934" i="1" s="1"/>
  <c r="V2935" i="1"/>
  <c r="W2935" i="1" s="1"/>
  <c r="V2936" i="1"/>
  <c r="W2936" i="1" s="1"/>
  <c r="V2937" i="1"/>
  <c r="W2937" i="1" s="1"/>
  <c r="V2938" i="1"/>
  <c r="W2938" i="1" s="1"/>
  <c r="V2939" i="1"/>
  <c r="W2939" i="1" s="1"/>
  <c r="V2940" i="1"/>
  <c r="W2940" i="1" s="1"/>
  <c r="V2941" i="1"/>
  <c r="W2941" i="1" s="1"/>
  <c r="V2942" i="1"/>
  <c r="W2942" i="1" s="1"/>
  <c r="V2943" i="1"/>
  <c r="W2943" i="1" s="1"/>
  <c r="V2944" i="1"/>
  <c r="W2944" i="1" s="1"/>
  <c r="V2945" i="1"/>
  <c r="W2945" i="1" s="1"/>
  <c r="V2946" i="1"/>
  <c r="W2946" i="1" s="1"/>
  <c r="V2947" i="1"/>
  <c r="W2947" i="1" s="1"/>
  <c r="V2948" i="1"/>
  <c r="W2948" i="1" s="1"/>
  <c r="V2949" i="1"/>
  <c r="W2949" i="1" s="1"/>
  <c r="V2950" i="1"/>
  <c r="W2950" i="1" s="1"/>
  <c r="V2951" i="1"/>
  <c r="W2951" i="1" s="1"/>
  <c r="V2952" i="1"/>
  <c r="W2952" i="1" s="1"/>
  <c r="V2953" i="1"/>
  <c r="W2953" i="1" s="1"/>
  <c r="V2954" i="1"/>
  <c r="W2954" i="1" s="1"/>
  <c r="V2955" i="1"/>
  <c r="W2955" i="1" s="1"/>
  <c r="V2956" i="1"/>
  <c r="W2956" i="1" s="1"/>
  <c r="V2957" i="1"/>
  <c r="W2957" i="1" s="1"/>
  <c r="V2958" i="1"/>
  <c r="W2958" i="1" s="1"/>
  <c r="V2959" i="1"/>
  <c r="W2959" i="1" s="1"/>
  <c r="V2960" i="1"/>
  <c r="W2960" i="1" s="1"/>
  <c r="V2961" i="1"/>
  <c r="W2961" i="1" s="1"/>
  <c r="V2962" i="1"/>
  <c r="W2962" i="1" s="1"/>
  <c r="V2963" i="1"/>
  <c r="W2963" i="1" s="1"/>
  <c r="V2964" i="1"/>
  <c r="W2964" i="1" s="1"/>
  <c r="V2965" i="1"/>
  <c r="W2965" i="1" s="1"/>
  <c r="V2966" i="1"/>
  <c r="W2966" i="1" s="1"/>
  <c r="V2967" i="1"/>
  <c r="W2967" i="1" s="1"/>
  <c r="V2968" i="1"/>
  <c r="W2968" i="1" s="1"/>
  <c r="V2969" i="1"/>
  <c r="W2969" i="1" s="1"/>
  <c r="V2970" i="1"/>
  <c r="W2970" i="1" s="1"/>
  <c r="V2971" i="1"/>
  <c r="W2971" i="1" s="1"/>
  <c r="V2972" i="1"/>
  <c r="W2972" i="1" s="1"/>
  <c r="V2973" i="1"/>
  <c r="W2973" i="1" s="1"/>
  <c r="V2974" i="1"/>
  <c r="W2974" i="1" s="1"/>
  <c r="V2975" i="1"/>
  <c r="W2975" i="1" s="1"/>
  <c r="V2976" i="1"/>
  <c r="W2976" i="1" s="1"/>
  <c r="V2977" i="1"/>
  <c r="W2977" i="1" s="1"/>
  <c r="V2978" i="1"/>
  <c r="W2978" i="1" s="1"/>
  <c r="V2979" i="1"/>
  <c r="W2979" i="1" s="1"/>
  <c r="V2980" i="1"/>
  <c r="W2980" i="1" s="1"/>
  <c r="V2981" i="1"/>
  <c r="W2981" i="1" s="1"/>
  <c r="V2982" i="1"/>
  <c r="W2982" i="1" s="1"/>
  <c r="V2983" i="1"/>
  <c r="W2983" i="1" s="1"/>
  <c r="V2984" i="1"/>
  <c r="W2984" i="1" s="1"/>
  <c r="V2985" i="1"/>
  <c r="W2985" i="1" s="1"/>
  <c r="V2986" i="1"/>
  <c r="W2986" i="1" s="1"/>
  <c r="V2987" i="1"/>
  <c r="W2987" i="1" s="1"/>
  <c r="V2988" i="1"/>
  <c r="W2988" i="1" s="1"/>
  <c r="V2989" i="1"/>
  <c r="W2989" i="1" s="1"/>
  <c r="V2990" i="1"/>
  <c r="W2990" i="1" s="1"/>
  <c r="V2991" i="1"/>
  <c r="W2991" i="1" s="1"/>
  <c r="V2992" i="1"/>
  <c r="W2992" i="1" s="1"/>
  <c r="V2993" i="1"/>
  <c r="W2993" i="1" s="1"/>
  <c r="V2994" i="1"/>
  <c r="W2994" i="1" s="1"/>
  <c r="V2995" i="1"/>
  <c r="W2995" i="1" s="1"/>
  <c r="V2996" i="1"/>
  <c r="W2996" i="1" s="1"/>
  <c r="V2997" i="1"/>
  <c r="W2997" i="1" s="1"/>
  <c r="V2998" i="1"/>
  <c r="W2998" i="1" s="1"/>
  <c r="V2999" i="1"/>
  <c r="W2999" i="1" s="1"/>
  <c r="V3000" i="1"/>
  <c r="W3000" i="1" s="1"/>
  <c r="V3001" i="1"/>
  <c r="W3001" i="1" s="1"/>
  <c r="W2" i="1"/>
  <c r="V2" i="1"/>
  <c r="T3" i="1"/>
  <c r="U3" i="1"/>
  <c r="T4" i="1"/>
  <c r="U4" i="1"/>
  <c r="T5" i="1"/>
  <c r="U5" i="1"/>
  <c r="T6" i="1"/>
  <c r="U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T30" i="1"/>
  <c r="U30"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T46" i="1"/>
  <c r="U46" i="1"/>
  <c r="T47" i="1"/>
  <c r="U47" i="1"/>
  <c r="T48" i="1"/>
  <c r="U48" i="1"/>
  <c r="T49" i="1"/>
  <c r="U49" i="1"/>
  <c r="T50" i="1"/>
  <c r="U50" i="1"/>
  <c r="T51" i="1"/>
  <c r="U51" i="1"/>
  <c r="T52" i="1"/>
  <c r="U52" i="1"/>
  <c r="T53" i="1"/>
  <c r="U53" i="1"/>
  <c r="T54" i="1"/>
  <c r="U54" i="1"/>
  <c r="T55" i="1"/>
  <c r="U55" i="1"/>
  <c r="T56" i="1"/>
  <c r="U56" i="1"/>
  <c r="T57" i="1"/>
  <c r="U57" i="1"/>
  <c r="T58" i="1"/>
  <c r="U58" i="1"/>
  <c r="T59" i="1"/>
  <c r="U59" i="1"/>
  <c r="T60" i="1"/>
  <c r="U60" i="1"/>
  <c r="T61" i="1"/>
  <c r="U61" i="1"/>
  <c r="T62" i="1"/>
  <c r="U62" i="1"/>
  <c r="T63" i="1"/>
  <c r="U63" i="1"/>
  <c r="T64" i="1"/>
  <c r="U64" i="1"/>
  <c r="T65" i="1"/>
  <c r="U65" i="1"/>
  <c r="T66" i="1"/>
  <c r="U66" i="1"/>
  <c r="T67" i="1"/>
  <c r="U67" i="1"/>
  <c r="T68" i="1"/>
  <c r="U68" i="1"/>
  <c r="T69" i="1"/>
  <c r="U69" i="1"/>
  <c r="T70" i="1"/>
  <c r="U70" i="1"/>
  <c r="T71" i="1"/>
  <c r="U71" i="1"/>
  <c r="T72" i="1"/>
  <c r="U72" i="1"/>
  <c r="T73" i="1"/>
  <c r="U73" i="1"/>
  <c r="T74" i="1"/>
  <c r="U74" i="1"/>
  <c r="T75" i="1"/>
  <c r="U75" i="1"/>
  <c r="T76" i="1"/>
  <c r="U76" i="1"/>
  <c r="T77" i="1"/>
  <c r="U77" i="1"/>
  <c r="T78" i="1"/>
  <c r="U78" i="1"/>
  <c r="T79" i="1"/>
  <c r="U79" i="1"/>
  <c r="T80" i="1"/>
  <c r="U80" i="1"/>
  <c r="T81" i="1"/>
  <c r="U81" i="1"/>
  <c r="T82" i="1"/>
  <c r="U82" i="1"/>
  <c r="T83" i="1"/>
  <c r="U83" i="1"/>
  <c r="T84" i="1"/>
  <c r="U84" i="1"/>
  <c r="T85" i="1"/>
  <c r="U85" i="1"/>
  <c r="T86" i="1"/>
  <c r="U86" i="1"/>
  <c r="T87" i="1"/>
  <c r="U87" i="1"/>
  <c r="T88" i="1"/>
  <c r="U88" i="1"/>
  <c r="T89" i="1"/>
  <c r="U89" i="1"/>
  <c r="T90" i="1"/>
  <c r="U90" i="1"/>
  <c r="T91" i="1"/>
  <c r="U91" i="1"/>
  <c r="T92" i="1"/>
  <c r="U92" i="1"/>
  <c r="T93" i="1"/>
  <c r="U93" i="1"/>
  <c r="T94" i="1"/>
  <c r="U94" i="1"/>
  <c r="T95" i="1"/>
  <c r="U95" i="1"/>
  <c r="T96" i="1"/>
  <c r="U96" i="1"/>
  <c r="T97" i="1"/>
  <c r="U97" i="1"/>
  <c r="T98" i="1"/>
  <c r="U98" i="1"/>
  <c r="T99" i="1"/>
  <c r="U99" i="1"/>
  <c r="T100" i="1"/>
  <c r="U100" i="1"/>
  <c r="T101" i="1"/>
  <c r="U101" i="1"/>
  <c r="T102" i="1"/>
  <c r="U102" i="1"/>
  <c r="T103" i="1"/>
  <c r="U103" i="1"/>
  <c r="T104" i="1"/>
  <c r="U104" i="1"/>
  <c r="T105" i="1"/>
  <c r="U105" i="1"/>
  <c r="T106" i="1"/>
  <c r="U106" i="1"/>
  <c r="T107" i="1"/>
  <c r="U107" i="1"/>
  <c r="T108" i="1"/>
  <c r="U108" i="1"/>
  <c r="T109" i="1"/>
  <c r="U109" i="1"/>
  <c r="T110" i="1"/>
  <c r="U110" i="1"/>
  <c r="T111" i="1"/>
  <c r="U111" i="1"/>
  <c r="T112" i="1"/>
  <c r="U112" i="1"/>
  <c r="T113" i="1"/>
  <c r="U113" i="1"/>
  <c r="T114" i="1"/>
  <c r="U114" i="1"/>
  <c r="T115" i="1"/>
  <c r="U115" i="1"/>
  <c r="T116" i="1"/>
  <c r="U116" i="1"/>
  <c r="T117" i="1"/>
  <c r="U117" i="1"/>
  <c r="T118" i="1"/>
  <c r="U118" i="1"/>
  <c r="T119" i="1"/>
  <c r="U119" i="1"/>
  <c r="T120" i="1"/>
  <c r="U120" i="1"/>
  <c r="T121" i="1"/>
  <c r="U121" i="1"/>
  <c r="T122" i="1"/>
  <c r="U122" i="1"/>
  <c r="T123" i="1"/>
  <c r="U123" i="1"/>
  <c r="T124" i="1"/>
  <c r="U124" i="1"/>
  <c r="T125" i="1"/>
  <c r="U125" i="1"/>
  <c r="T126" i="1"/>
  <c r="U126" i="1"/>
  <c r="T127" i="1"/>
  <c r="U127" i="1"/>
  <c r="T128" i="1"/>
  <c r="U128" i="1"/>
  <c r="T129" i="1"/>
  <c r="U129" i="1"/>
  <c r="T130" i="1"/>
  <c r="U130" i="1"/>
  <c r="T131" i="1"/>
  <c r="U131" i="1"/>
  <c r="T132" i="1"/>
  <c r="U132" i="1"/>
  <c r="T133" i="1"/>
  <c r="U133" i="1"/>
  <c r="T134" i="1"/>
  <c r="U134" i="1"/>
  <c r="T135" i="1"/>
  <c r="U135" i="1"/>
  <c r="T136" i="1"/>
  <c r="U136" i="1"/>
  <c r="T137" i="1"/>
  <c r="U137" i="1"/>
  <c r="T138" i="1"/>
  <c r="U138" i="1"/>
  <c r="T139" i="1"/>
  <c r="U139" i="1"/>
  <c r="T140" i="1"/>
  <c r="U140" i="1"/>
  <c r="T141" i="1"/>
  <c r="U141" i="1"/>
  <c r="T142" i="1"/>
  <c r="U142" i="1"/>
  <c r="T143" i="1"/>
  <c r="U143" i="1"/>
  <c r="T144" i="1"/>
  <c r="U144" i="1"/>
  <c r="T145" i="1"/>
  <c r="U145" i="1"/>
  <c r="T146" i="1"/>
  <c r="U146" i="1"/>
  <c r="T147" i="1"/>
  <c r="U147" i="1"/>
  <c r="T148" i="1"/>
  <c r="U148" i="1"/>
  <c r="T149" i="1"/>
  <c r="U149"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T163" i="1"/>
  <c r="U163" i="1"/>
  <c r="T164" i="1"/>
  <c r="U164" i="1"/>
  <c r="T165" i="1"/>
  <c r="U165" i="1"/>
  <c r="T166" i="1"/>
  <c r="U166" i="1"/>
  <c r="T167" i="1"/>
  <c r="U167" i="1"/>
  <c r="T168" i="1"/>
  <c r="U168" i="1"/>
  <c r="T169" i="1"/>
  <c r="U169" i="1"/>
  <c r="T170" i="1"/>
  <c r="U170" i="1"/>
  <c r="T171" i="1"/>
  <c r="U171" i="1"/>
  <c r="T172" i="1"/>
  <c r="U172" i="1"/>
  <c r="T173" i="1"/>
  <c r="U173" i="1"/>
  <c r="T174" i="1"/>
  <c r="U174" i="1"/>
  <c r="T175" i="1"/>
  <c r="U175" i="1"/>
  <c r="T176" i="1"/>
  <c r="U176" i="1"/>
  <c r="T177" i="1"/>
  <c r="U177" i="1"/>
  <c r="T178" i="1"/>
  <c r="U178" i="1"/>
  <c r="T179" i="1"/>
  <c r="U179" i="1"/>
  <c r="T180" i="1"/>
  <c r="U180" i="1"/>
  <c r="T181" i="1"/>
  <c r="U181" i="1"/>
  <c r="T182" i="1"/>
  <c r="U182" i="1"/>
  <c r="T183" i="1"/>
  <c r="U183" i="1"/>
  <c r="T184" i="1"/>
  <c r="U184" i="1"/>
  <c r="T185" i="1"/>
  <c r="U185" i="1"/>
  <c r="T186" i="1"/>
  <c r="U186" i="1"/>
  <c r="T187" i="1"/>
  <c r="U187" i="1"/>
  <c r="T188" i="1"/>
  <c r="U188" i="1"/>
  <c r="T189" i="1"/>
  <c r="U189" i="1"/>
  <c r="T190" i="1"/>
  <c r="U190" i="1"/>
  <c r="T191" i="1"/>
  <c r="U191" i="1"/>
  <c r="T192" i="1"/>
  <c r="U192" i="1"/>
  <c r="T193" i="1"/>
  <c r="U193" i="1"/>
  <c r="T194" i="1"/>
  <c r="U194" i="1"/>
  <c r="T195" i="1"/>
  <c r="U195" i="1"/>
  <c r="T196" i="1"/>
  <c r="U196" i="1"/>
  <c r="T197" i="1"/>
  <c r="U197" i="1"/>
  <c r="T198" i="1"/>
  <c r="U198" i="1"/>
  <c r="T199" i="1"/>
  <c r="U199" i="1"/>
  <c r="T200" i="1"/>
  <c r="U200" i="1"/>
  <c r="T201" i="1"/>
  <c r="U201" i="1"/>
  <c r="T202" i="1"/>
  <c r="U202" i="1"/>
  <c r="T203" i="1"/>
  <c r="U203" i="1"/>
  <c r="T204" i="1"/>
  <c r="U204" i="1"/>
  <c r="T205" i="1"/>
  <c r="U205" i="1"/>
  <c r="T206" i="1"/>
  <c r="U206" i="1"/>
  <c r="T207" i="1"/>
  <c r="U207" i="1"/>
  <c r="T208" i="1"/>
  <c r="U208" i="1"/>
  <c r="T209" i="1"/>
  <c r="U209" i="1"/>
  <c r="T210" i="1"/>
  <c r="U210" i="1"/>
  <c r="T211" i="1"/>
  <c r="U211" i="1"/>
  <c r="T212" i="1"/>
  <c r="U212" i="1"/>
  <c r="T213" i="1"/>
  <c r="U213" i="1"/>
  <c r="T214" i="1"/>
  <c r="U214" i="1"/>
  <c r="T215" i="1"/>
  <c r="U215" i="1"/>
  <c r="T216" i="1"/>
  <c r="U216" i="1"/>
  <c r="T217" i="1"/>
  <c r="U217" i="1"/>
  <c r="T218" i="1"/>
  <c r="U218" i="1"/>
  <c r="T219" i="1"/>
  <c r="U219" i="1"/>
  <c r="T220" i="1"/>
  <c r="U220" i="1"/>
  <c r="T221" i="1"/>
  <c r="U221" i="1"/>
  <c r="T222" i="1"/>
  <c r="U222" i="1"/>
  <c r="T223" i="1"/>
  <c r="U223" i="1"/>
  <c r="T224" i="1"/>
  <c r="U224" i="1"/>
  <c r="T225" i="1"/>
  <c r="U225" i="1"/>
  <c r="T226" i="1"/>
  <c r="U226" i="1"/>
  <c r="T227" i="1"/>
  <c r="U227" i="1"/>
  <c r="T228" i="1"/>
  <c r="U228" i="1"/>
  <c r="T229" i="1"/>
  <c r="U229" i="1"/>
  <c r="T230" i="1"/>
  <c r="U230" i="1"/>
  <c r="T231" i="1"/>
  <c r="U231" i="1"/>
  <c r="T232" i="1"/>
  <c r="U232" i="1"/>
  <c r="T233" i="1"/>
  <c r="U233" i="1"/>
  <c r="T234" i="1"/>
  <c r="U234" i="1"/>
  <c r="T235" i="1"/>
  <c r="U235" i="1"/>
  <c r="T236" i="1"/>
  <c r="U236"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T284" i="1"/>
  <c r="U284"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T348" i="1"/>
  <c r="U348" i="1"/>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T364" i="1"/>
  <c r="U364" i="1"/>
  <c r="T365" i="1"/>
  <c r="U365" i="1"/>
  <c r="T366" i="1"/>
  <c r="U366" i="1"/>
  <c r="T367" i="1"/>
  <c r="U367" i="1"/>
  <c r="T368" i="1"/>
  <c r="U368" i="1"/>
  <c r="T369" i="1"/>
  <c r="U369" i="1"/>
  <c r="T370" i="1"/>
  <c r="U370" i="1"/>
  <c r="T371" i="1"/>
  <c r="U371" i="1"/>
  <c r="T372" i="1"/>
  <c r="U372" i="1"/>
  <c r="T373" i="1"/>
  <c r="U373" i="1"/>
  <c r="T374" i="1"/>
  <c r="U374" i="1"/>
  <c r="T375" i="1"/>
  <c r="U375" i="1"/>
  <c r="T376" i="1"/>
  <c r="U376" i="1"/>
  <c r="T377" i="1"/>
  <c r="U377" i="1"/>
  <c r="T378" i="1"/>
  <c r="U378" i="1"/>
  <c r="T379" i="1"/>
  <c r="U379" i="1"/>
  <c r="T380" i="1"/>
  <c r="U380" i="1"/>
  <c r="T381" i="1"/>
  <c r="U381" i="1"/>
  <c r="T382" i="1"/>
  <c r="U382" i="1"/>
  <c r="T383" i="1"/>
  <c r="U383" i="1"/>
  <c r="T384" i="1"/>
  <c r="U384" i="1"/>
  <c r="T385" i="1"/>
  <c r="U385" i="1"/>
  <c r="T386" i="1"/>
  <c r="U386" i="1"/>
  <c r="T387" i="1"/>
  <c r="U387" i="1"/>
  <c r="T388" i="1"/>
  <c r="U388" i="1"/>
  <c r="T389" i="1"/>
  <c r="U389" i="1"/>
  <c r="T390" i="1"/>
  <c r="U390" i="1"/>
  <c r="T391" i="1"/>
  <c r="U391" i="1"/>
  <c r="T392" i="1"/>
  <c r="U392" i="1"/>
  <c r="T393" i="1"/>
  <c r="U393" i="1"/>
  <c r="T394" i="1"/>
  <c r="U394" i="1"/>
  <c r="T395" i="1"/>
  <c r="U395" i="1"/>
  <c r="T396" i="1"/>
  <c r="U396" i="1"/>
  <c r="T397" i="1"/>
  <c r="U397" i="1"/>
  <c r="T398" i="1"/>
  <c r="U398" i="1"/>
  <c r="T399" i="1"/>
  <c r="U399" i="1"/>
  <c r="T400" i="1"/>
  <c r="U400" i="1"/>
  <c r="T401" i="1"/>
  <c r="U401" i="1"/>
  <c r="T402" i="1"/>
  <c r="U402" i="1"/>
  <c r="T403" i="1"/>
  <c r="U403" i="1"/>
  <c r="T404" i="1"/>
  <c r="U404" i="1"/>
  <c r="T405" i="1"/>
  <c r="U405" i="1"/>
  <c r="T406" i="1"/>
  <c r="U406" i="1"/>
  <c r="T407" i="1"/>
  <c r="U407" i="1"/>
  <c r="T408" i="1"/>
  <c r="U408" i="1"/>
  <c r="T409" i="1"/>
  <c r="U409" i="1"/>
  <c r="T410" i="1"/>
  <c r="U410" i="1"/>
  <c r="T411" i="1"/>
  <c r="U411" i="1"/>
  <c r="T412" i="1"/>
  <c r="U412" i="1"/>
  <c r="T413" i="1"/>
  <c r="U413" i="1"/>
  <c r="T414" i="1"/>
  <c r="U414" i="1"/>
  <c r="T415" i="1"/>
  <c r="U415" i="1"/>
  <c r="T416" i="1"/>
  <c r="U416" i="1"/>
  <c r="T417" i="1"/>
  <c r="U417" i="1"/>
  <c r="T418" i="1"/>
  <c r="U418" i="1"/>
  <c r="T419" i="1"/>
  <c r="U419" i="1"/>
  <c r="T420" i="1"/>
  <c r="U420" i="1"/>
  <c r="T421" i="1"/>
  <c r="U421" i="1"/>
  <c r="T422" i="1"/>
  <c r="U422" i="1"/>
  <c r="T423" i="1"/>
  <c r="U423" i="1"/>
  <c r="T424" i="1"/>
  <c r="U424" i="1"/>
  <c r="T425" i="1"/>
  <c r="U425" i="1"/>
  <c r="T426" i="1"/>
  <c r="U426" i="1"/>
  <c r="T427" i="1"/>
  <c r="U427" i="1"/>
  <c r="T428" i="1"/>
  <c r="U428" i="1"/>
  <c r="T429" i="1"/>
  <c r="U429" i="1"/>
  <c r="T430" i="1"/>
  <c r="U430" i="1"/>
  <c r="T431" i="1"/>
  <c r="U431" i="1"/>
  <c r="T432" i="1"/>
  <c r="U432" i="1"/>
  <c r="T433" i="1"/>
  <c r="U433" i="1"/>
  <c r="T434" i="1"/>
  <c r="U434" i="1"/>
  <c r="T435" i="1"/>
  <c r="U435" i="1"/>
  <c r="T436" i="1"/>
  <c r="U436" i="1"/>
  <c r="T437" i="1"/>
  <c r="U437" i="1"/>
  <c r="T438" i="1"/>
  <c r="U438" i="1"/>
  <c r="T439" i="1"/>
  <c r="U439" i="1"/>
  <c r="T440" i="1"/>
  <c r="U440" i="1"/>
  <c r="T441" i="1"/>
  <c r="U441" i="1"/>
  <c r="T442" i="1"/>
  <c r="U442" i="1"/>
  <c r="T443" i="1"/>
  <c r="U443" i="1"/>
  <c r="T444" i="1"/>
  <c r="U444" i="1"/>
  <c r="T445" i="1"/>
  <c r="U445" i="1"/>
  <c r="T446" i="1"/>
  <c r="U446" i="1"/>
  <c r="T447" i="1"/>
  <c r="U447" i="1"/>
  <c r="T448" i="1"/>
  <c r="U448" i="1"/>
  <c r="T449" i="1"/>
  <c r="U449" i="1"/>
  <c r="T450" i="1"/>
  <c r="U450" i="1"/>
  <c r="T451" i="1"/>
  <c r="U451" i="1"/>
  <c r="T452" i="1"/>
  <c r="U452" i="1"/>
  <c r="T453" i="1"/>
  <c r="U453" i="1"/>
  <c r="T454" i="1"/>
  <c r="U454" i="1"/>
  <c r="T455" i="1"/>
  <c r="U455" i="1"/>
  <c r="T456" i="1"/>
  <c r="U456" i="1"/>
  <c r="T457" i="1"/>
  <c r="U457" i="1"/>
  <c r="T458" i="1"/>
  <c r="U458" i="1"/>
  <c r="T459" i="1"/>
  <c r="U459" i="1"/>
  <c r="T460" i="1"/>
  <c r="U460" i="1"/>
  <c r="T461" i="1"/>
  <c r="U461" i="1"/>
  <c r="T462" i="1"/>
  <c r="U462" i="1"/>
  <c r="T463" i="1"/>
  <c r="U463" i="1"/>
  <c r="T464" i="1"/>
  <c r="U464" i="1"/>
  <c r="T465" i="1"/>
  <c r="U465" i="1"/>
  <c r="T466" i="1"/>
  <c r="U466" i="1"/>
  <c r="T467" i="1"/>
  <c r="U467" i="1"/>
  <c r="T468" i="1"/>
  <c r="U468" i="1"/>
  <c r="T469" i="1"/>
  <c r="U469" i="1"/>
  <c r="T470" i="1"/>
  <c r="U470" i="1"/>
  <c r="T471" i="1"/>
  <c r="U471" i="1"/>
  <c r="T472" i="1"/>
  <c r="U472" i="1"/>
  <c r="T473" i="1"/>
  <c r="U473" i="1"/>
  <c r="T474" i="1"/>
  <c r="U474" i="1"/>
  <c r="T475" i="1"/>
  <c r="U475" i="1"/>
  <c r="T476" i="1"/>
  <c r="U476" i="1"/>
  <c r="T477" i="1"/>
  <c r="U477" i="1"/>
  <c r="T478" i="1"/>
  <c r="U478" i="1"/>
  <c r="T479" i="1"/>
  <c r="U479" i="1"/>
  <c r="T480" i="1"/>
  <c r="U480" i="1"/>
  <c r="T481" i="1"/>
  <c r="U481" i="1"/>
  <c r="T482" i="1"/>
  <c r="U482" i="1"/>
  <c r="T483" i="1"/>
  <c r="U483" i="1"/>
  <c r="T484" i="1"/>
  <c r="U484" i="1"/>
  <c r="T485" i="1"/>
  <c r="U485" i="1"/>
  <c r="T486" i="1"/>
  <c r="U486" i="1"/>
  <c r="T487" i="1"/>
  <c r="U487" i="1"/>
  <c r="T488" i="1"/>
  <c r="U488" i="1"/>
  <c r="T489" i="1"/>
  <c r="U489" i="1"/>
  <c r="T490" i="1"/>
  <c r="U490" i="1"/>
  <c r="T491" i="1"/>
  <c r="U491" i="1"/>
  <c r="T492" i="1"/>
  <c r="U492" i="1"/>
  <c r="T493" i="1"/>
  <c r="U493" i="1"/>
  <c r="T494" i="1"/>
  <c r="U494" i="1"/>
  <c r="T495" i="1"/>
  <c r="U495" i="1"/>
  <c r="T496" i="1"/>
  <c r="U496" i="1"/>
  <c r="T497" i="1"/>
  <c r="U497" i="1"/>
  <c r="T498" i="1"/>
  <c r="U498" i="1"/>
  <c r="T499" i="1"/>
  <c r="U499" i="1"/>
  <c r="T500" i="1"/>
  <c r="U500" i="1"/>
  <c r="T501" i="1"/>
  <c r="U501" i="1"/>
  <c r="T502" i="1"/>
  <c r="U502" i="1"/>
  <c r="T503" i="1"/>
  <c r="U503" i="1"/>
  <c r="T504" i="1"/>
  <c r="U504" i="1"/>
  <c r="T505" i="1"/>
  <c r="U505" i="1"/>
  <c r="T506" i="1"/>
  <c r="U506" i="1"/>
  <c r="T507" i="1"/>
  <c r="U507" i="1"/>
  <c r="T508" i="1"/>
  <c r="U508" i="1"/>
  <c r="T509" i="1"/>
  <c r="U509" i="1"/>
  <c r="T510" i="1"/>
  <c r="U510" i="1"/>
  <c r="T511" i="1"/>
  <c r="U511" i="1"/>
  <c r="T512" i="1"/>
  <c r="U512" i="1"/>
  <c r="T513" i="1"/>
  <c r="U513" i="1"/>
  <c r="T514" i="1"/>
  <c r="U514" i="1"/>
  <c r="T515" i="1"/>
  <c r="U515" i="1"/>
  <c r="T516" i="1"/>
  <c r="U516" i="1"/>
  <c r="T517" i="1"/>
  <c r="U517" i="1"/>
  <c r="T518" i="1"/>
  <c r="U518" i="1"/>
  <c r="T519" i="1"/>
  <c r="U519" i="1"/>
  <c r="T520" i="1"/>
  <c r="U520" i="1"/>
  <c r="T521" i="1"/>
  <c r="U521" i="1"/>
  <c r="T522" i="1"/>
  <c r="U522" i="1"/>
  <c r="T523" i="1"/>
  <c r="U523" i="1"/>
  <c r="T524" i="1"/>
  <c r="U524" i="1"/>
  <c r="T525" i="1"/>
  <c r="U525" i="1"/>
  <c r="T526" i="1"/>
  <c r="U526" i="1"/>
  <c r="T527" i="1"/>
  <c r="U527" i="1"/>
  <c r="T528" i="1"/>
  <c r="U528" i="1"/>
  <c r="T529" i="1"/>
  <c r="U529" i="1"/>
  <c r="T530" i="1"/>
  <c r="U530" i="1"/>
  <c r="T531" i="1"/>
  <c r="U531" i="1"/>
  <c r="T532" i="1"/>
  <c r="U532" i="1"/>
  <c r="T533" i="1"/>
  <c r="U533" i="1"/>
  <c r="T534" i="1"/>
  <c r="U534" i="1"/>
  <c r="T535" i="1"/>
  <c r="U535" i="1"/>
  <c r="T536" i="1"/>
  <c r="U536" i="1"/>
  <c r="T537" i="1"/>
  <c r="U537" i="1"/>
  <c r="T538" i="1"/>
  <c r="U538" i="1"/>
  <c r="T539" i="1"/>
  <c r="U539" i="1"/>
  <c r="T540" i="1"/>
  <c r="U540" i="1"/>
  <c r="T541" i="1"/>
  <c r="U541" i="1"/>
  <c r="T542" i="1"/>
  <c r="U542" i="1"/>
  <c r="T543" i="1"/>
  <c r="U543" i="1"/>
  <c r="T544" i="1"/>
  <c r="U544" i="1"/>
  <c r="T545" i="1"/>
  <c r="U545" i="1"/>
  <c r="T546" i="1"/>
  <c r="U546" i="1"/>
  <c r="T547" i="1"/>
  <c r="U547" i="1"/>
  <c r="T548" i="1"/>
  <c r="U548" i="1"/>
  <c r="T549" i="1"/>
  <c r="U549" i="1"/>
  <c r="T550" i="1"/>
  <c r="U550" i="1"/>
  <c r="T551" i="1"/>
  <c r="U551" i="1"/>
  <c r="T552" i="1"/>
  <c r="U552" i="1"/>
  <c r="T553" i="1"/>
  <c r="U553" i="1"/>
  <c r="T554" i="1"/>
  <c r="U554" i="1"/>
  <c r="T555" i="1"/>
  <c r="U555" i="1"/>
  <c r="T556" i="1"/>
  <c r="U556" i="1"/>
  <c r="T557" i="1"/>
  <c r="U557" i="1"/>
  <c r="T558" i="1"/>
  <c r="U558" i="1"/>
  <c r="T559" i="1"/>
  <c r="U559" i="1"/>
  <c r="T560" i="1"/>
  <c r="U560" i="1"/>
  <c r="T561" i="1"/>
  <c r="U561" i="1"/>
  <c r="T562" i="1"/>
  <c r="U562" i="1"/>
  <c r="T563" i="1"/>
  <c r="U563" i="1"/>
  <c r="T564" i="1"/>
  <c r="U564" i="1"/>
  <c r="T565" i="1"/>
  <c r="U565" i="1"/>
  <c r="T566" i="1"/>
  <c r="U566" i="1"/>
  <c r="T567" i="1"/>
  <c r="U567" i="1"/>
  <c r="T568" i="1"/>
  <c r="U568" i="1"/>
  <c r="T569" i="1"/>
  <c r="U569" i="1"/>
  <c r="T570" i="1"/>
  <c r="U570" i="1"/>
  <c r="T571" i="1"/>
  <c r="U571" i="1"/>
  <c r="T572" i="1"/>
  <c r="U572" i="1"/>
  <c r="T573" i="1"/>
  <c r="U573" i="1"/>
  <c r="T574" i="1"/>
  <c r="U574" i="1"/>
  <c r="T575" i="1"/>
  <c r="U575" i="1"/>
  <c r="T576" i="1"/>
  <c r="U576" i="1"/>
  <c r="T577" i="1"/>
  <c r="U577" i="1"/>
  <c r="T578" i="1"/>
  <c r="U578" i="1"/>
  <c r="T579" i="1"/>
  <c r="U579" i="1"/>
  <c r="T580" i="1"/>
  <c r="U580" i="1"/>
  <c r="T581" i="1"/>
  <c r="U581" i="1"/>
  <c r="T582" i="1"/>
  <c r="U582" i="1"/>
  <c r="T583" i="1"/>
  <c r="U583" i="1"/>
  <c r="T584" i="1"/>
  <c r="U584" i="1"/>
  <c r="T585" i="1"/>
  <c r="U585" i="1"/>
  <c r="T586" i="1"/>
  <c r="U586" i="1"/>
  <c r="T587" i="1"/>
  <c r="U587" i="1"/>
  <c r="T588" i="1"/>
  <c r="U588" i="1"/>
  <c r="T589" i="1"/>
  <c r="U589" i="1"/>
  <c r="T590" i="1"/>
  <c r="U590" i="1"/>
  <c r="T591" i="1"/>
  <c r="U591" i="1"/>
  <c r="T592" i="1"/>
  <c r="U592" i="1"/>
  <c r="T593" i="1"/>
  <c r="U593" i="1"/>
  <c r="T594" i="1"/>
  <c r="U594" i="1"/>
  <c r="T595" i="1"/>
  <c r="U595" i="1"/>
  <c r="T596" i="1"/>
  <c r="U596" i="1"/>
  <c r="T597" i="1"/>
  <c r="U597" i="1"/>
  <c r="T598" i="1"/>
  <c r="U598" i="1"/>
  <c r="T599" i="1"/>
  <c r="U599" i="1"/>
  <c r="T600" i="1"/>
  <c r="U600" i="1"/>
  <c r="T601" i="1"/>
  <c r="U601" i="1"/>
  <c r="T602" i="1"/>
  <c r="U602" i="1"/>
  <c r="T603" i="1"/>
  <c r="U603" i="1"/>
  <c r="T604" i="1"/>
  <c r="U604" i="1"/>
  <c r="T605" i="1"/>
  <c r="U605" i="1"/>
  <c r="T606" i="1"/>
  <c r="U606" i="1"/>
  <c r="T607" i="1"/>
  <c r="U607" i="1"/>
  <c r="T608" i="1"/>
  <c r="U608" i="1"/>
  <c r="T609" i="1"/>
  <c r="U609" i="1"/>
  <c r="T610" i="1"/>
  <c r="U610" i="1"/>
  <c r="T611" i="1"/>
  <c r="U611" i="1"/>
  <c r="T612" i="1"/>
  <c r="U612" i="1"/>
  <c r="T613" i="1"/>
  <c r="U613" i="1"/>
  <c r="T614" i="1"/>
  <c r="U614" i="1"/>
  <c r="T615" i="1"/>
  <c r="U615" i="1"/>
  <c r="T616" i="1"/>
  <c r="U616" i="1"/>
  <c r="T617" i="1"/>
  <c r="U617" i="1"/>
  <c r="T618" i="1"/>
  <c r="U618" i="1"/>
  <c r="T619" i="1"/>
  <c r="U619" i="1"/>
  <c r="T620" i="1"/>
  <c r="U620" i="1"/>
  <c r="T621" i="1"/>
  <c r="U621" i="1"/>
  <c r="T622" i="1"/>
  <c r="U622" i="1"/>
  <c r="T623" i="1"/>
  <c r="U623" i="1"/>
  <c r="T624" i="1"/>
  <c r="U624" i="1"/>
  <c r="T625" i="1"/>
  <c r="U625" i="1"/>
  <c r="T626" i="1"/>
  <c r="U626" i="1"/>
  <c r="T627" i="1"/>
  <c r="U627" i="1"/>
  <c r="T628" i="1"/>
  <c r="U628" i="1"/>
  <c r="T629" i="1"/>
  <c r="U629" i="1"/>
  <c r="T630" i="1"/>
  <c r="U630" i="1"/>
  <c r="T631" i="1"/>
  <c r="U631" i="1"/>
  <c r="T632" i="1"/>
  <c r="U632" i="1"/>
  <c r="T633" i="1"/>
  <c r="U633" i="1"/>
  <c r="T634" i="1"/>
  <c r="U634" i="1"/>
  <c r="T635" i="1"/>
  <c r="U635" i="1"/>
  <c r="T636" i="1"/>
  <c r="U636" i="1"/>
  <c r="T637" i="1"/>
  <c r="U637" i="1"/>
  <c r="T638" i="1"/>
  <c r="U638" i="1"/>
  <c r="T639" i="1"/>
  <c r="U639" i="1"/>
  <c r="T640" i="1"/>
  <c r="U640" i="1"/>
  <c r="T641" i="1"/>
  <c r="U641" i="1"/>
  <c r="T642" i="1"/>
  <c r="U642" i="1"/>
  <c r="T643" i="1"/>
  <c r="U643" i="1"/>
  <c r="T644" i="1"/>
  <c r="U644" i="1"/>
  <c r="T645" i="1"/>
  <c r="U645" i="1"/>
  <c r="T646" i="1"/>
  <c r="U646" i="1"/>
  <c r="T647" i="1"/>
  <c r="U647" i="1"/>
  <c r="T648" i="1"/>
  <c r="U648" i="1"/>
  <c r="T649" i="1"/>
  <c r="U649" i="1"/>
  <c r="T650" i="1"/>
  <c r="U650" i="1"/>
  <c r="T651" i="1"/>
  <c r="U651" i="1"/>
  <c r="T652" i="1"/>
  <c r="U652" i="1"/>
  <c r="T653" i="1"/>
  <c r="U653" i="1"/>
  <c r="T654" i="1"/>
  <c r="U654" i="1"/>
  <c r="T655" i="1"/>
  <c r="U655" i="1"/>
  <c r="T656" i="1"/>
  <c r="U656" i="1"/>
  <c r="T657" i="1"/>
  <c r="U657" i="1"/>
  <c r="T658" i="1"/>
  <c r="U658" i="1"/>
  <c r="T659" i="1"/>
  <c r="U659" i="1"/>
  <c r="T660" i="1"/>
  <c r="U660" i="1"/>
  <c r="T661" i="1"/>
  <c r="U661" i="1"/>
  <c r="T662" i="1"/>
  <c r="U662" i="1"/>
  <c r="T663" i="1"/>
  <c r="U663" i="1"/>
  <c r="T664" i="1"/>
  <c r="U664" i="1"/>
  <c r="T665" i="1"/>
  <c r="U665" i="1"/>
  <c r="T666" i="1"/>
  <c r="U666" i="1"/>
  <c r="T667" i="1"/>
  <c r="U667" i="1"/>
  <c r="T668" i="1"/>
  <c r="U668" i="1"/>
  <c r="T669" i="1"/>
  <c r="U669" i="1"/>
  <c r="T670" i="1"/>
  <c r="U670" i="1"/>
  <c r="T671" i="1"/>
  <c r="U671" i="1"/>
  <c r="T672" i="1"/>
  <c r="U672" i="1"/>
  <c r="T673" i="1"/>
  <c r="U673" i="1"/>
  <c r="T674" i="1"/>
  <c r="U674" i="1"/>
  <c r="T675" i="1"/>
  <c r="U675" i="1"/>
  <c r="T676" i="1"/>
  <c r="U676" i="1"/>
  <c r="T677" i="1"/>
  <c r="U677" i="1"/>
  <c r="T678" i="1"/>
  <c r="U678" i="1"/>
  <c r="T679" i="1"/>
  <c r="U679" i="1"/>
  <c r="T680" i="1"/>
  <c r="U680" i="1"/>
  <c r="T681" i="1"/>
  <c r="U681" i="1"/>
  <c r="T682" i="1"/>
  <c r="U682" i="1"/>
  <c r="T683" i="1"/>
  <c r="U683" i="1"/>
  <c r="T684" i="1"/>
  <c r="U684" i="1"/>
  <c r="T685" i="1"/>
  <c r="U685" i="1"/>
  <c r="T686" i="1"/>
  <c r="U686" i="1"/>
  <c r="T687" i="1"/>
  <c r="U687" i="1"/>
  <c r="T688" i="1"/>
  <c r="U688" i="1"/>
  <c r="T689" i="1"/>
  <c r="U689" i="1"/>
  <c r="T690" i="1"/>
  <c r="U690" i="1"/>
  <c r="T691" i="1"/>
  <c r="U691" i="1"/>
  <c r="T692" i="1"/>
  <c r="U692" i="1"/>
  <c r="T693" i="1"/>
  <c r="U693" i="1"/>
  <c r="T694" i="1"/>
  <c r="U694" i="1"/>
  <c r="T695" i="1"/>
  <c r="U695" i="1"/>
  <c r="T696" i="1"/>
  <c r="U696" i="1"/>
  <c r="T697" i="1"/>
  <c r="U697" i="1"/>
  <c r="T698" i="1"/>
  <c r="U698" i="1"/>
  <c r="T699" i="1"/>
  <c r="U699" i="1"/>
  <c r="T700" i="1"/>
  <c r="U700" i="1"/>
  <c r="T701" i="1"/>
  <c r="U701" i="1"/>
  <c r="T702" i="1"/>
  <c r="U702" i="1"/>
  <c r="T703" i="1"/>
  <c r="U703" i="1"/>
  <c r="T704" i="1"/>
  <c r="U704" i="1"/>
  <c r="T705" i="1"/>
  <c r="U705" i="1"/>
  <c r="T706" i="1"/>
  <c r="U706" i="1"/>
  <c r="T707" i="1"/>
  <c r="U707" i="1"/>
  <c r="T708" i="1"/>
  <c r="U708" i="1"/>
  <c r="T709" i="1"/>
  <c r="U709" i="1"/>
  <c r="T710" i="1"/>
  <c r="U710" i="1"/>
  <c r="T711" i="1"/>
  <c r="U711" i="1"/>
  <c r="T712" i="1"/>
  <c r="U712" i="1"/>
  <c r="T713" i="1"/>
  <c r="U713" i="1"/>
  <c r="T714" i="1"/>
  <c r="U714" i="1"/>
  <c r="T715" i="1"/>
  <c r="U715" i="1"/>
  <c r="T716" i="1"/>
  <c r="U716" i="1"/>
  <c r="T717" i="1"/>
  <c r="U717" i="1"/>
  <c r="T718" i="1"/>
  <c r="U718" i="1"/>
  <c r="T719" i="1"/>
  <c r="U719" i="1"/>
  <c r="T720" i="1"/>
  <c r="U720" i="1"/>
  <c r="T721" i="1"/>
  <c r="U721" i="1"/>
  <c r="T722" i="1"/>
  <c r="U722" i="1"/>
  <c r="T723" i="1"/>
  <c r="U723" i="1"/>
  <c r="T724" i="1"/>
  <c r="U724" i="1"/>
  <c r="T725" i="1"/>
  <c r="U725" i="1"/>
  <c r="T726" i="1"/>
  <c r="U726" i="1"/>
  <c r="T727" i="1"/>
  <c r="U727" i="1"/>
  <c r="T728" i="1"/>
  <c r="U728" i="1"/>
  <c r="T729" i="1"/>
  <c r="U729" i="1"/>
  <c r="T730" i="1"/>
  <c r="U730" i="1"/>
  <c r="T731" i="1"/>
  <c r="U731" i="1"/>
  <c r="T732" i="1"/>
  <c r="U732" i="1"/>
  <c r="T733" i="1"/>
  <c r="U733" i="1"/>
  <c r="T734" i="1"/>
  <c r="U734" i="1"/>
  <c r="T735" i="1"/>
  <c r="U735" i="1"/>
  <c r="T736" i="1"/>
  <c r="U736" i="1"/>
  <c r="T737" i="1"/>
  <c r="U737" i="1"/>
  <c r="T738" i="1"/>
  <c r="U738" i="1"/>
  <c r="T739" i="1"/>
  <c r="U739" i="1"/>
  <c r="T740" i="1"/>
  <c r="U740" i="1"/>
  <c r="T741" i="1"/>
  <c r="U741" i="1"/>
  <c r="T742" i="1"/>
  <c r="U742" i="1"/>
  <c r="T743" i="1"/>
  <c r="U743" i="1"/>
  <c r="T744" i="1"/>
  <c r="U744" i="1"/>
  <c r="T745" i="1"/>
  <c r="U745" i="1"/>
  <c r="T746" i="1"/>
  <c r="U746" i="1"/>
  <c r="T747" i="1"/>
  <c r="U747" i="1"/>
  <c r="T748" i="1"/>
  <c r="U748" i="1"/>
  <c r="T749" i="1"/>
  <c r="U749" i="1"/>
  <c r="T750" i="1"/>
  <c r="U750" i="1"/>
  <c r="T751" i="1"/>
  <c r="U751" i="1"/>
  <c r="T752" i="1"/>
  <c r="U752" i="1"/>
  <c r="T753" i="1"/>
  <c r="U753" i="1"/>
  <c r="T754" i="1"/>
  <c r="U754" i="1"/>
  <c r="T755" i="1"/>
  <c r="U755" i="1"/>
  <c r="T756" i="1"/>
  <c r="U756" i="1"/>
  <c r="T757" i="1"/>
  <c r="U757" i="1"/>
  <c r="T758" i="1"/>
  <c r="U758" i="1"/>
  <c r="T759" i="1"/>
  <c r="U759" i="1"/>
  <c r="T760" i="1"/>
  <c r="U760" i="1"/>
  <c r="T761" i="1"/>
  <c r="U761" i="1"/>
  <c r="T762" i="1"/>
  <c r="U762" i="1"/>
  <c r="T763" i="1"/>
  <c r="U763" i="1"/>
  <c r="T764" i="1"/>
  <c r="U764" i="1"/>
  <c r="T765" i="1"/>
  <c r="U765" i="1"/>
  <c r="T766" i="1"/>
  <c r="U766" i="1"/>
  <c r="T767" i="1"/>
  <c r="U767" i="1"/>
  <c r="T768" i="1"/>
  <c r="U768" i="1"/>
  <c r="T769" i="1"/>
  <c r="U769" i="1"/>
  <c r="T770" i="1"/>
  <c r="U770" i="1"/>
  <c r="T771" i="1"/>
  <c r="U771" i="1"/>
  <c r="T772" i="1"/>
  <c r="U772" i="1"/>
  <c r="T773" i="1"/>
  <c r="U773" i="1"/>
  <c r="T774" i="1"/>
  <c r="U774" i="1"/>
  <c r="T775" i="1"/>
  <c r="U775" i="1"/>
  <c r="T776" i="1"/>
  <c r="U776" i="1"/>
  <c r="T777" i="1"/>
  <c r="U777" i="1"/>
  <c r="T778" i="1"/>
  <c r="U778" i="1"/>
  <c r="T779" i="1"/>
  <c r="U779" i="1"/>
  <c r="T780" i="1"/>
  <c r="U780" i="1"/>
  <c r="T781" i="1"/>
  <c r="U781" i="1"/>
  <c r="T782" i="1"/>
  <c r="U782" i="1"/>
  <c r="T783" i="1"/>
  <c r="U783" i="1"/>
  <c r="T784" i="1"/>
  <c r="U784" i="1"/>
  <c r="T785" i="1"/>
  <c r="U785" i="1"/>
  <c r="T786" i="1"/>
  <c r="U786" i="1"/>
  <c r="T787" i="1"/>
  <c r="U787" i="1"/>
  <c r="T788" i="1"/>
  <c r="U788" i="1"/>
  <c r="T789" i="1"/>
  <c r="U789" i="1"/>
  <c r="T790" i="1"/>
  <c r="U790" i="1"/>
  <c r="T791" i="1"/>
  <c r="U791" i="1"/>
  <c r="T792" i="1"/>
  <c r="U792" i="1"/>
  <c r="T793" i="1"/>
  <c r="U793" i="1"/>
  <c r="T794" i="1"/>
  <c r="U794" i="1"/>
  <c r="T795" i="1"/>
  <c r="U795" i="1"/>
  <c r="T796" i="1"/>
  <c r="U796" i="1"/>
  <c r="T797" i="1"/>
  <c r="U797" i="1"/>
  <c r="T798" i="1"/>
  <c r="U798" i="1"/>
  <c r="T799" i="1"/>
  <c r="U799" i="1"/>
  <c r="T800" i="1"/>
  <c r="U800" i="1"/>
  <c r="T801" i="1"/>
  <c r="U801" i="1"/>
  <c r="T802" i="1"/>
  <c r="U802" i="1"/>
  <c r="T803" i="1"/>
  <c r="U803" i="1"/>
  <c r="T804" i="1"/>
  <c r="U804" i="1"/>
  <c r="T805" i="1"/>
  <c r="U805" i="1"/>
  <c r="T806" i="1"/>
  <c r="U806" i="1"/>
  <c r="T807" i="1"/>
  <c r="U807" i="1"/>
  <c r="T808" i="1"/>
  <c r="U808" i="1"/>
  <c r="T809" i="1"/>
  <c r="U809" i="1"/>
  <c r="T810" i="1"/>
  <c r="U810" i="1"/>
  <c r="T811" i="1"/>
  <c r="U811" i="1"/>
  <c r="T812" i="1"/>
  <c r="U812" i="1"/>
  <c r="T813" i="1"/>
  <c r="U813" i="1"/>
  <c r="T814" i="1"/>
  <c r="U814" i="1"/>
  <c r="T815" i="1"/>
  <c r="U815" i="1"/>
  <c r="T816" i="1"/>
  <c r="U816" i="1"/>
  <c r="T817" i="1"/>
  <c r="U817" i="1"/>
  <c r="T818" i="1"/>
  <c r="U818" i="1"/>
  <c r="T819" i="1"/>
  <c r="U819" i="1"/>
  <c r="T820" i="1"/>
  <c r="U820" i="1"/>
  <c r="T821" i="1"/>
  <c r="U821" i="1"/>
  <c r="T822" i="1"/>
  <c r="U822" i="1"/>
  <c r="T823" i="1"/>
  <c r="U823" i="1"/>
  <c r="T824" i="1"/>
  <c r="U824" i="1"/>
  <c r="T825" i="1"/>
  <c r="U825" i="1"/>
  <c r="T826" i="1"/>
  <c r="U826" i="1"/>
  <c r="T827" i="1"/>
  <c r="U827" i="1"/>
  <c r="T828" i="1"/>
  <c r="U828" i="1"/>
  <c r="T829" i="1"/>
  <c r="U829" i="1"/>
  <c r="T830" i="1"/>
  <c r="U830" i="1"/>
  <c r="T831" i="1"/>
  <c r="U831" i="1"/>
  <c r="T832" i="1"/>
  <c r="U832" i="1"/>
  <c r="T833" i="1"/>
  <c r="U833" i="1"/>
  <c r="T834" i="1"/>
  <c r="U834" i="1"/>
  <c r="T835" i="1"/>
  <c r="U835" i="1"/>
  <c r="T836" i="1"/>
  <c r="U836" i="1"/>
  <c r="T837" i="1"/>
  <c r="U837" i="1"/>
  <c r="T838" i="1"/>
  <c r="U838" i="1"/>
  <c r="T839" i="1"/>
  <c r="U839" i="1"/>
  <c r="T840" i="1"/>
  <c r="U840" i="1"/>
  <c r="T841" i="1"/>
  <c r="U841" i="1"/>
  <c r="T842" i="1"/>
  <c r="U842" i="1"/>
  <c r="T843" i="1"/>
  <c r="U843" i="1"/>
  <c r="T844" i="1"/>
  <c r="U844" i="1"/>
  <c r="T845" i="1"/>
  <c r="U845" i="1"/>
  <c r="T846" i="1"/>
  <c r="U846" i="1"/>
  <c r="T847" i="1"/>
  <c r="U847" i="1"/>
  <c r="T848" i="1"/>
  <c r="U848" i="1"/>
  <c r="T849" i="1"/>
  <c r="U849" i="1"/>
  <c r="T850" i="1"/>
  <c r="U850" i="1"/>
  <c r="T851" i="1"/>
  <c r="U851" i="1"/>
  <c r="T852" i="1"/>
  <c r="U852" i="1"/>
  <c r="T853" i="1"/>
  <c r="U853" i="1"/>
  <c r="T854" i="1"/>
  <c r="U854" i="1"/>
  <c r="T855" i="1"/>
  <c r="U855" i="1"/>
  <c r="T856" i="1"/>
  <c r="U856" i="1"/>
  <c r="T857" i="1"/>
  <c r="U857" i="1"/>
  <c r="T858" i="1"/>
  <c r="U858" i="1"/>
  <c r="T859" i="1"/>
  <c r="U859" i="1"/>
  <c r="T860" i="1"/>
  <c r="U860" i="1"/>
  <c r="T861" i="1"/>
  <c r="U861" i="1"/>
  <c r="T862" i="1"/>
  <c r="U862" i="1"/>
  <c r="T863" i="1"/>
  <c r="U863" i="1"/>
  <c r="T864" i="1"/>
  <c r="U864" i="1"/>
  <c r="T865" i="1"/>
  <c r="U865" i="1"/>
  <c r="T866" i="1"/>
  <c r="U866" i="1"/>
  <c r="T867" i="1"/>
  <c r="U867" i="1"/>
  <c r="T868" i="1"/>
  <c r="U868" i="1"/>
  <c r="T869" i="1"/>
  <c r="U869" i="1"/>
  <c r="T870" i="1"/>
  <c r="U870" i="1"/>
  <c r="T871" i="1"/>
  <c r="U871" i="1"/>
  <c r="T872" i="1"/>
  <c r="U872" i="1"/>
  <c r="T873" i="1"/>
  <c r="U873" i="1"/>
  <c r="T874" i="1"/>
  <c r="U874" i="1"/>
  <c r="T875" i="1"/>
  <c r="U875" i="1"/>
  <c r="T876" i="1"/>
  <c r="U876" i="1"/>
  <c r="T877" i="1"/>
  <c r="U877" i="1"/>
  <c r="T878" i="1"/>
  <c r="U878" i="1"/>
  <c r="T879" i="1"/>
  <c r="U879" i="1"/>
  <c r="T880" i="1"/>
  <c r="U880" i="1"/>
  <c r="T881" i="1"/>
  <c r="U881" i="1"/>
  <c r="T882" i="1"/>
  <c r="U882" i="1"/>
  <c r="T883" i="1"/>
  <c r="U883" i="1"/>
  <c r="T884" i="1"/>
  <c r="U884" i="1"/>
  <c r="T885" i="1"/>
  <c r="U885" i="1"/>
  <c r="T886" i="1"/>
  <c r="U886" i="1"/>
  <c r="T887" i="1"/>
  <c r="U887" i="1"/>
  <c r="T888" i="1"/>
  <c r="U888" i="1"/>
  <c r="T889" i="1"/>
  <c r="U889" i="1"/>
  <c r="T890" i="1"/>
  <c r="U890" i="1"/>
  <c r="T891" i="1"/>
  <c r="U891" i="1"/>
  <c r="T892" i="1"/>
  <c r="U892" i="1"/>
  <c r="T893" i="1"/>
  <c r="U893" i="1"/>
  <c r="T894" i="1"/>
  <c r="U894" i="1"/>
  <c r="T895" i="1"/>
  <c r="U895" i="1"/>
  <c r="T896" i="1"/>
  <c r="U896" i="1"/>
  <c r="T897" i="1"/>
  <c r="U897" i="1"/>
  <c r="T898" i="1"/>
  <c r="U898" i="1"/>
  <c r="T899" i="1"/>
  <c r="U899" i="1"/>
  <c r="T900" i="1"/>
  <c r="U900" i="1"/>
  <c r="T901" i="1"/>
  <c r="U901" i="1"/>
  <c r="T902" i="1"/>
  <c r="U902" i="1"/>
  <c r="T903" i="1"/>
  <c r="U903" i="1"/>
  <c r="T904" i="1"/>
  <c r="U904" i="1"/>
  <c r="T905" i="1"/>
  <c r="U905" i="1"/>
  <c r="T906" i="1"/>
  <c r="U906" i="1"/>
  <c r="T907" i="1"/>
  <c r="U907" i="1"/>
  <c r="T908" i="1"/>
  <c r="U908" i="1"/>
  <c r="T909" i="1"/>
  <c r="U909" i="1"/>
  <c r="T910" i="1"/>
  <c r="U910" i="1"/>
  <c r="T911" i="1"/>
  <c r="U911" i="1"/>
  <c r="T912" i="1"/>
  <c r="U912" i="1"/>
  <c r="T913" i="1"/>
  <c r="U913" i="1"/>
  <c r="T914" i="1"/>
  <c r="U914" i="1"/>
  <c r="T915" i="1"/>
  <c r="U915" i="1"/>
  <c r="T916" i="1"/>
  <c r="U916" i="1"/>
  <c r="T917" i="1"/>
  <c r="U917" i="1"/>
  <c r="T918" i="1"/>
  <c r="U918" i="1"/>
  <c r="T919" i="1"/>
  <c r="U919" i="1"/>
  <c r="T920" i="1"/>
  <c r="U920" i="1"/>
  <c r="T921" i="1"/>
  <c r="U921" i="1"/>
  <c r="T922" i="1"/>
  <c r="U922" i="1"/>
  <c r="T923" i="1"/>
  <c r="U923" i="1"/>
  <c r="T924" i="1"/>
  <c r="U924" i="1"/>
  <c r="T925" i="1"/>
  <c r="U925" i="1"/>
  <c r="T926" i="1"/>
  <c r="U926" i="1"/>
  <c r="T927" i="1"/>
  <c r="U927" i="1"/>
  <c r="T928" i="1"/>
  <c r="U928" i="1"/>
  <c r="T929" i="1"/>
  <c r="U929" i="1"/>
  <c r="T930" i="1"/>
  <c r="U930" i="1"/>
  <c r="T931" i="1"/>
  <c r="U931" i="1"/>
  <c r="T932" i="1"/>
  <c r="U932" i="1"/>
  <c r="T933" i="1"/>
  <c r="U933" i="1"/>
  <c r="T934" i="1"/>
  <c r="U934" i="1"/>
  <c r="T935" i="1"/>
  <c r="U935" i="1"/>
  <c r="T936" i="1"/>
  <c r="U936" i="1"/>
  <c r="T937" i="1"/>
  <c r="U937" i="1"/>
  <c r="T938" i="1"/>
  <c r="U938" i="1"/>
  <c r="T939" i="1"/>
  <c r="U939" i="1"/>
  <c r="T940" i="1"/>
  <c r="U940" i="1"/>
  <c r="T941" i="1"/>
  <c r="U941" i="1"/>
  <c r="T942" i="1"/>
  <c r="U942" i="1"/>
  <c r="T943" i="1"/>
  <c r="U943" i="1"/>
  <c r="T944" i="1"/>
  <c r="U944" i="1"/>
  <c r="T945" i="1"/>
  <c r="U945" i="1"/>
  <c r="T946" i="1"/>
  <c r="U946" i="1"/>
  <c r="T947" i="1"/>
  <c r="U947" i="1"/>
  <c r="T948" i="1"/>
  <c r="U948" i="1"/>
  <c r="T949" i="1"/>
  <c r="U949" i="1"/>
  <c r="T950" i="1"/>
  <c r="U950" i="1"/>
  <c r="T951" i="1"/>
  <c r="U951" i="1"/>
  <c r="T952" i="1"/>
  <c r="U952" i="1"/>
  <c r="T953" i="1"/>
  <c r="U953" i="1"/>
  <c r="T954" i="1"/>
  <c r="U954" i="1"/>
  <c r="T955" i="1"/>
  <c r="U955" i="1"/>
  <c r="T956" i="1"/>
  <c r="U956" i="1"/>
  <c r="T957" i="1"/>
  <c r="U957" i="1"/>
  <c r="T958" i="1"/>
  <c r="U958" i="1"/>
  <c r="T959" i="1"/>
  <c r="U959" i="1"/>
  <c r="T960" i="1"/>
  <c r="U960" i="1"/>
  <c r="T961" i="1"/>
  <c r="U961" i="1"/>
  <c r="T962" i="1"/>
  <c r="U962" i="1"/>
  <c r="T963" i="1"/>
  <c r="U963" i="1"/>
  <c r="T964" i="1"/>
  <c r="U964" i="1"/>
  <c r="T965" i="1"/>
  <c r="U965" i="1"/>
  <c r="T966" i="1"/>
  <c r="U966" i="1"/>
  <c r="T967" i="1"/>
  <c r="U967" i="1"/>
  <c r="T968" i="1"/>
  <c r="U968" i="1"/>
  <c r="T969" i="1"/>
  <c r="U969" i="1"/>
  <c r="T970" i="1"/>
  <c r="U970" i="1"/>
  <c r="T971" i="1"/>
  <c r="U971" i="1"/>
  <c r="T972" i="1"/>
  <c r="U972" i="1"/>
  <c r="T973" i="1"/>
  <c r="U973" i="1"/>
  <c r="T974" i="1"/>
  <c r="U974" i="1"/>
  <c r="T975" i="1"/>
  <c r="U975" i="1"/>
  <c r="T976" i="1"/>
  <c r="U976" i="1"/>
  <c r="T977" i="1"/>
  <c r="U977" i="1"/>
  <c r="T978" i="1"/>
  <c r="U978" i="1"/>
  <c r="T979" i="1"/>
  <c r="U979" i="1"/>
  <c r="T980" i="1"/>
  <c r="U980" i="1"/>
  <c r="T981" i="1"/>
  <c r="U981" i="1"/>
  <c r="T982" i="1"/>
  <c r="U982" i="1"/>
  <c r="T983" i="1"/>
  <c r="U983" i="1"/>
  <c r="T984" i="1"/>
  <c r="U984" i="1"/>
  <c r="T985" i="1"/>
  <c r="U985" i="1"/>
  <c r="T986" i="1"/>
  <c r="U986" i="1"/>
  <c r="T987" i="1"/>
  <c r="U987" i="1"/>
  <c r="T988" i="1"/>
  <c r="U988" i="1"/>
  <c r="T989" i="1"/>
  <c r="U989" i="1"/>
  <c r="T990" i="1"/>
  <c r="U990" i="1"/>
  <c r="T991" i="1"/>
  <c r="U991" i="1"/>
  <c r="T992" i="1"/>
  <c r="U992" i="1"/>
  <c r="T993" i="1"/>
  <c r="U993" i="1"/>
  <c r="T994" i="1"/>
  <c r="U994" i="1"/>
  <c r="T995" i="1"/>
  <c r="U995" i="1"/>
  <c r="T996" i="1"/>
  <c r="U996" i="1"/>
  <c r="T997" i="1"/>
  <c r="U997" i="1"/>
  <c r="T998" i="1"/>
  <c r="U998" i="1"/>
  <c r="T999" i="1"/>
  <c r="U999" i="1"/>
  <c r="T1000" i="1"/>
  <c r="U1000" i="1"/>
  <c r="T1001" i="1"/>
  <c r="U1001" i="1"/>
  <c r="T1002" i="1"/>
  <c r="U1002" i="1"/>
  <c r="T1003" i="1"/>
  <c r="U1003" i="1"/>
  <c r="T1004" i="1"/>
  <c r="U1004" i="1"/>
  <c r="T1005" i="1"/>
  <c r="U1005" i="1"/>
  <c r="T1006" i="1"/>
  <c r="U1006" i="1"/>
  <c r="T1007" i="1"/>
  <c r="U1007" i="1"/>
  <c r="T1008" i="1"/>
  <c r="U1008" i="1"/>
  <c r="T1009" i="1"/>
  <c r="U1009" i="1"/>
  <c r="T1010" i="1"/>
  <c r="U1010" i="1"/>
  <c r="T1011" i="1"/>
  <c r="U1011" i="1"/>
  <c r="T1012" i="1"/>
  <c r="U1012" i="1"/>
  <c r="T1013" i="1"/>
  <c r="U1013" i="1"/>
  <c r="T1014" i="1"/>
  <c r="U1014" i="1"/>
  <c r="T1015" i="1"/>
  <c r="U1015" i="1"/>
  <c r="T1016" i="1"/>
  <c r="U1016" i="1"/>
  <c r="T1017" i="1"/>
  <c r="U1017" i="1"/>
  <c r="T1018" i="1"/>
  <c r="U1018" i="1"/>
  <c r="T1019" i="1"/>
  <c r="U1019" i="1"/>
  <c r="T1020" i="1"/>
  <c r="U1020" i="1"/>
  <c r="T1021" i="1"/>
  <c r="U1021" i="1"/>
  <c r="T1022" i="1"/>
  <c r="U1022" i="1"/>
  <c r="T1023" i="1"/>
  <c r="U1023" i="1"/>
  <c r="T1024" i="1"/>
  <c r="U1024" i="1"/>
  <c r="T1025" i="1"/>
  <c r="U1025" i="1"/>
  <c r="T1026" i="1"/>
  <c r="U1026" i="1"/>
  <c r="T1027" i="1"/>
  <c r="U1027" i="1"/>
  <c r="T1028" i="1"/>
  <c r="U1028" i="1"/>
  <c r="T1029" i="1"/>
  <c r="U1029" i="1"/>
  <c r="T1030" i="1"/>
  <c r="U1030" i="1"/>
  <c r="T1031" i="1"/>
  <c r="U1031" i="1"/>
  <c r="T1032" i="1"/>
  <c r="U1032" i="1"/>
  <c r="T1033" i="1"/>
  <c r="U1033" i="1"/>
  <c r="T1034" i="1"/>
  <c r="U1034" i="1"/>
  <c r="T1035" i="1"/>
  <c r="U1035" i="1"/>
  <c r="T1036" i="1"/>
  <c r="U1036" i="1"/>
  <c r="T1037" i="1"/>
  <c r="U1037" i="1"/>
  <c r="T1038" i="1"/>
  <c r="U1038" i="1"/>
  <c r="T1039" i="1"/>
  <c r="U1039" i="1"/>
  <c r="T1040" i="1"/>
  <c r="U1040" i="1"/>
  <c r="T1041" i="1"/>
  <c r="U1041" i="1"/>
  <c r="T1042" i="1"/>
  <c r="U1042" i="1"/>
  <c r="T1043" i="1"/>
  <c r="U1043" i="1"/>
  <c r="T1044" i="1"/>
  <c r="U1044" i="1"/>
  <c r="T1045" i="1"/>
  <c r="U1045" i="1"/>
  <c r="T1046" i="1"/>
  <c r="U1046" i="1"/>
  <c r="T1047" i="1"/>
  <c r="U1047" i="1"/>
  <c r="T1048" i="1"/>
  <c r="U1048" i="1"/>
  <c r="T1049" i="1"/>
  <c r="U1049" i="1"/>
  <c r="T1050" i="1"/>
  <c r="U1050" i="1"/>
  <c r="T1051" i="1"/>
  <c r="U1051" i="1"/>
  <c r="T1052" i="1"/>
  <c r="U1052" i="1"/>
  <c r="T1053" i="1"/>
  <c r="U1053" i="1"/>
  <c r="T1054" i="1"/>
  <c r="U1054" i="1"/>
  <c r="T1055" i="1"/>
  <c r="U1055" i="1"/>
  <c r="T1056" i="1"/>
  <c r="U1056" i="1"/>
  <c r="T1057" i="1"/>
  <c r="U1057" i="1"/>
  <c r="T1058" i="1"/>
  <c r="U1058" i="1"/>
  <c r="T1059" i="1"/>
  <c r="U1059" i="1"/>
  <c r="T1060" i="1"/>
  <c r="U1060" i="1"/>
  <c r="T1061" i="1"/>
  <c r="U1061" i="1"/>
  <c r="T1062" i="1"/>
  <c r="U1062" i="1"/>
  <c r="T1063" i="1"/>
  <c r="U1063" i="1"/>
  <c r="T1064" i="1"/>
  <c r="U1064" i="1"/>
  <c r="T1065" i="1"/>
  <c r="U1065" i="1"/>
  <c r="T1066" i="1"/>
  <c r="U1066" i="1"/>
  <c r="T1067" i="1"/>
  <c r="U1067" i="1"/>
  <c r="T1068" i="1"/>
  <c r="U1068" i="1"/>
  <c r="T1069" i="1"/>
  <c r="U1069" i="1"/>
  <c r="T1070" i="1"/>
  <c r="U1070" i="1"/>
  <c r="T1071" i="1"/>
  <c r="U1071" i="1"/>
  <c r="T1072" i="1"/>
  <c r="U1072" i="1"/>
  <c r="T1073" i="1"/>
  <c r="U1073" i="1"/>
  <c r="T1074" i="1"/>
  <c r="U1074" i="1"/>
  <c r="T1075" i="1"/>
  <c r="U1075" i="1"/>
  <c r="T1076" i="1"/>
  <c r="U1076" i="1"/>
  <c r="T1077" i="1"/>
  <c r="U1077" i="1"/>
  <c r="T1078" i="1"/>
  <c r="U1078" i="1"/>
  <c r="T1079" i="1"/>
  <c r="U1079" i="1"/>
  <c r="T1080" i="1"/>
  <c r="U1080" i="1"/>
  <c r="T1081" i="1"/>
  <c r="U1081" i="1"/>
  <c r="T1082" i="1"/>
  <c r="U1082" i="1"/>
  <c r="T1083" i="1"/>
  <c r="U1083" i="1"/>
  <c r="T1084" i="1"/>
  <c r="U1084" i="1"/>
  <c r="T1085" i="1"/>
  <c r="U1085" i="1"/>
  <c r="T1086" i="1"/>
  <c r="U1086" i="1"/>
  <c r="T1087" i="1"/>
  <c r="U1087" i="1"/>
  <c r="T1088" i="1"/>
  <c r="U1088" i="1"/>
  <c r="T1089" i="1"/>
  <c r="U1089" i="1"/>
  <c r="T1090" i="1"/>
  <c r="U1090" i="1"/>
  <c r="T1091" i="1"/>
  <c r="U1091" i="1"/>
  <c r="T1092" i="1"/>
  <c r="U1092" i="1"/>
  <c r="T1093" i="1"/>
  <c r="U1093" i="1"/>
  <c r="T1094" i="1"/>
  <c r="U1094" i="1"/>
  <c r="T1095" i="1"/>
  <c r="U1095" i="1"/>
  <c r="T1096" i="1"/>
  <c r="U1096" i="1"/>
  <c r="T1097" i="1"/>
  <c r="U1097" i="1"/>
  <c r="T1098" i="1"/>
  <c r="U1098" i="1"/>
  <c r="T1099" i="1"/>
  <c r="U1099" i="1"/>
  <c r="T1100" i="1"/>
  <c r="U1100" i="1"/>
  <c r="T1101" i="1"/>
  <c r="U1101" i="1"/>
  <c r="T1102" i="1"/>
  <c r="U1102" i="1"/>
  <c r="T1103" i="1"/>
  <c r="U1103" i="1"/>
  <c r="T1104" i="1"/>
  <c r="U1104" i="1"/>
  <c r="T1105" i="1"/>
  <c r="U1105" i="1"/>
  <c r="T1106" i="1"/>
  <c r="U1106" i="1"/>
  <c r="T1107" i="1"/>
  <c r="U1107" i="1"/>
  <c r="T1108" i="1"/>
  <c r="U1108" i="1"/>
  <c r="T1109" i="1"/>
  <c r="U1109" i="1"/>
  <c r="T1110" i="1"/>
  <c r="U1110" i="1"/>
  <c r="T1111" i="1"/>
  <c r="U1111" i="1"/>
  <c r="T1112" i="1"/>
  <c r="U1112" i="1"/>
  <c r="T1113" i="1"/>
  <c r="U1113" i="1"/>
  <c r="T1114" i="1"/>
  <c r="U1114" i="1"/>
  <c r="T1115" i="1"/>
  <c r="U1115" i="1"/>
  <c r="T1116" i="1"/>
  <c r="U1116" i="1"/>
  <c r="T1117" i="1"/>
  <c r="U1117" i="1"/>
  <c r="T1118" i="1"/>
  <c r="U1118" i="1"/>
  <c r="T1119" i="1"/>
  <c r="U1119" i="1"/>
  <c r="T1120" i="1"/>
  <c r="U1120" i="1"/>
  <c r="T1121" i="1"/>
  <c r="U1121" i="1"/>
  <c r="T1122" i="1"/>
  <c r="U1122" i="1"/>
  <c r="T1123" i="1"/>
  <c r="U1123" i="1"/>
  <c r="T1124" i="1"/>
  <c r="U1124" i="1"/>
  <c r="T1125" i="1"/>
  <c r="U1125" i="1"/>
  <c r="T1126" i="1"/>
  <c r="U1126" i="1"/>
  <c r="T1127" i="1"/>
  <c r="U1127" i="1"/>
  <c r="T1128" i="1"/>
  <c r="U1128" i="1"/>
  <c r="T1129" i="1"/>
  <c r="U1129" i="1"/>
  <c r="T1130" i="1"/>
  <c r="U1130" i="1"/>
  <c r="T1131" i="1"/>
  <c r="U1131" i="1"/>
  <c r="T1132" i="1"/>
  <c r="U1132" i="1"/>
  <c r="T1133" i="1"/>
  <c r="U1133" i="1"/>
  <c r="T1134" i="1"/>
  <c r="U1134" i="1"/>
  <c r="T1135" i="1"/>
  <c r="U1135" i="1"/>
  <c r="T1136" i="1"/>
  <c r="U1136" i="1"/>
  <c r="T1137" i="1"/>
  <c r="U1137" i="1"/>
  <c r="T1138" i="1"/>
  <c r="U1138" i="1"/>
  <c r="T1139" i="1"/>
  <c r="U1139" i="1"/>
  <c r="T1140" i="1"/>
  <c r="U1140" i="1"/>
  <c r="T1141" i="1"/>
  <c r="U1141" i="1"/>
  <c r="T1142" i="1"/>
  <c r="U1142" i="1"/>
  <c r="T1143" i="1"/>
  <c r="U1143" i="1"/>
  <c r="T1144" i="1"/>
  <c r="U1144" i="1"/>
  <c r="T1145" i="1"/>
  <c r="U1145" i="1"/>
  <c r="T1146" i="1"/>
  <c r="U1146" i="1"/>
  <c r="T1147" i="1"/>
  <c r="U1147" i="1"/>
  <c r="T1148" i="1"/>
  <c r="U1148" i="1"/>
  <c r="T1149" i="1"/>
  <c r="U1149" i="1"/>
  <c r="T1150" i="1"/>
  <c r="U1150" i="1"/>
  <c r="T1151" i="1"/>
  <c r="U1151" i="1"/>
  <c r="T1152" i="1"/>
  <c r="U1152" i="1"/>
  <c r="T1153" i="1"/>
  <c r="U1153" i="1"/>
  <c r="T1154" i="1"/>
  <c r="U1154" i="1"/>
  <c r="T1155" i="1"/>
  <c r="U1155" i="1"/>
  <c r="T1156" i="1"/>
  <c r="U1156" i="1"/>
  <c r="T1157" i="1"/>
  <c r="U1157" i="1"/>
  <c r="T1158" i="1"/>
  <c r="U1158" i="1"/>
  <c r="T1159" i="1"/>
  <c r="U1159" i="1"/>
  <c r="T1160" i="1"/>
  <c r="U1160" i="1"/>
  <c r="T1161" i="1"/>
  <c r="U1161" i="1"/>
  <c r="T1162" i="1"/>
  <c r="U1162" i="1"/>
  <c r="T1163" i="1"/>
  <c r="U1163" i="1"/>
  <c r="T1164" i="1"/>
  <c r="U1164" i="1"/>
  <c r="T1165" i="1"/>
  <c r="U1165" i="1"/>
  <c r="T1166" i="1"/>
  <c r="U1166" i="1"/>
  <c r="T1167" i="1"/>
  <c r="U1167" i="1"/>
  <c r="T1168" i="1"/>
  <c r="U1168" i="1"/>
  <c r="T1169" i="1"/>
  <c r="U1169" i="1"/>
  <c r="T1170" i="1"/>
  <c r="U1170" i="1"/>
  <c r="T1171" i="1"/>
  <c r="U1171" i="1"/>
  <c r="T1172" i="1"/>
  <c r="U1172" i="1"/>
  <c r="T1173" i="1"/>
  <c r="U1173" i="1"/>
  <c r="T1174" i="1"/>
  <c r="U1174" i="1"/>
  <c r="T1175" i="1"/>
  <c r="U1175" i="1"/>
  <c r="T1176" i="1"/>
  <c r="U1176" i="1"/>
  <c r="T1177" i="1"/>
  <c r="U1177" i="1"/>
  <c r="T1178" i="1"/>
  <c r="U1178" i="1"/>
  <c r="T1179" i="1"/>
  <c r="U1179" i="1"/>
  <c r="T1180" i="1"/>
  <c r="U1180" i="1"/>
  <c r="T1181" i="1"/>
  <c r="U1181" i="1"/>
  <c r="T1182" i="1"/>
  <c r="U1182" i="1"/>
  <c r="T1183" i="1"/>
  <c r="U1183" i="1"/>
  <c r="T1184" i="1"/>
  <c r="U1184" i="1"/>
  <c r="T1185" i="1"/>
  <c r="U1185" i="1"/>
  <c r="T1186" i="1"/>
  <c r="U1186" i="1"/>
  <c r="T1187" i="1"/>
  <c r="U1187" i="1"/>
  <c r="T1188" i="1"/>
  <c r="U1188" i="1"/>
  <c r="T1189" i="1"/>
  <c r="U1189" i="1"/>
  <c r="T1190" i="1"/>
  <c r="U1190" i="1"/>
  <c r="T1191" i="1"/>
  <c r="U1191" i="1"/>
  <c r="T1192" i="1"/>
  <c r="U1192" i="1"/>
  <c r="T1193" i="1"/>
  <c r="U1193" i="1"/>
  <c r="T1194" i="1"/>
  <c r="U1194" i="1"/>
  <c r="T1195" i="1"/>
  <c r="U1195" i="1"/>
  <c r="T1196" i="1"/>
  <c r="U1196" i="1"/>
  <c r="T1197" i="1"/>
  <c r="U1197" i="1"/>
  <c r="T1198" i="1"/>
  <c r="U1198" i="1"/>
  <c r="T1199" i="1"/>
  <c r="U1199" i="1"/>
  <c r="T1200" i="1"/>
  <c r="U1200" i="1"/>
  <c r="T1201" i="1"/>
  <c r="U1201" i="1"/>
  <c r="T1202" i="1"/>
  <c r="U1202" i="1"/>
  <c r="T1203" i="1"/>
  <c r="U1203" i="1"/>
  <c r="T1204" i="1"/>
  <c r="U1204" i="1"/>
  <c r="T1205" i="1"/>
  <c r="U1205" i="1"/>
  <c r="T1206" i="1"/>
  <c r="U1206" i="1"/>
  <c r="T1207" i="1"/>
  <c r="U1207" i="1"/>
  <c r="T1208" i="1"/>
  <c r="U1208" i="1"/>
  <c r="T1209" i="1"/>
  <c r="U1209" i="1"/>
  <c r="T1210" i="1"/>
  <c r="U1210" i="1"/>
  <c r="T1211" i="1"/>
  <c r="U1211" i="1"/>
  <c r="T1212" i="1"/>
  <c r="U1212" i="1"/>
  <c r="T1213" i="1"/>
  <c r="U1213" i="1"/>
  <c r="T1214" i="1"/>
  <c r="U1214" i="1"/>
  <c r="T1215" i="1"/>
  <c r="U1215" i="1"/>
  <c r="T1216" i="1"/>
  <c r="U1216" i="1"/>
  <c r="T1217" i="1"/>
  <c r="U1217" i="1"/>
  <c r="T1218" i="1"/>
  <c r="U1218" i="1"/>
  <c r="T1219" i="1"/>
  <c r="U1219" i="1"/>
  <c r="T1220" i="1"/>
  <c r="U1220" i="1"/>
  <c r="T1221" i="1"/>
  <c r="U1221" i="1"/>
  <c r="T1222" i="1"/>
  <c r="U1222" i="1"/>
  <c r="T1223" i="1"/>
  <c r="U1223" i="1"/>
  <c r="T1224" i="1"/>
  <c r="U1224" i="1"/>
  <c r="T1225" i="1"/>
  <c r="U1225" i="1"/>
  <c r="T1226" i="1"/>
  <c r="U1226" i="1"/>
  <c r="T1227" i="1"/>
  <c r="U1227" i="1"/>
  <c r="T1228" i="1"/>
  <c r="U1228" i="1"/>
  <c r="T1229" i="1"/>
  <c r="U1229" i="1"/>
  <c r="T1230" i="1"/>
  <c r="U1230" i="1"/>
  <c r="T1231" i="1"/>
  <c r="U1231" i="1"/>
  <c r="T1232" i="1"/>
  <c r="U1232" i="1"/>
  <c r="T1233" i="1"/>
  <c r="U1233" i="1"/>
  <c r="T1234" i="1"/>
  <c r="U1234" i="1"/>
  <c r="T1235" i="1"/>
  <c r="U1235" i="1"/>
  <c r="T1236" i="1"/>
  <c r="U1236" i="1"/>
  <c r="T1237" i="1"/>
  <c r="U1237" i="1"/>
  <c r="T1238" i="1"/>
  <c r="U1238" i="1"/>
  <c r="T1239" i="1"/>
  <c r="U1239" i="1"/>
  <c r="T1240" i="1"/>
  <c r="U1240" i="1"/>
  <c r="T1241" i="1"/>
  <c r="U1241" i="1"/>
  <c r="T1242" i="1"/>
  <c r="U1242" i="1"/>
  <c r="T1243" i="1"/>
  <c r="U1243" i="1"/>
  <c r="T1244" i="1"/>
  <c r="U1244" i="1"/>
  <c r="T1245" i="1"/>
  <c r="U1245" i="1"/>
  <c r="T1246" i="1"/>
  <c r="U1246" i="1"/>
  <c r="T1247" i="1"/>
  <c r="U1247" i="1"/>
  <c r="T1248" i="1"/>
  <c r="U1248" i="1"/>
  <c r="T1249" i="1"/>
  <c r="U1249" i="1"/>
  <c r="T1250" i="1"/>
  <c r="U1250" i="1"/>
  <c r="T1251" i="1"/>
  <c r="U1251" i="1"/>
  <c r="T1252" i="1"/>
  <c r="U1252" i="1"/>
  <c r="T1253" i="1"/>
  <c r="U1253" i="1"/>
  <c r="T1254" i="1"/>
  <c r="U1254" i="1"/>
  <c r="T1255" i="1"/>
  <c r="U1255" i="1"/>
  <c r="T1256" i="1"/>
  <c r="U1256" i="1"/>
  <c r="T1257" i="1"/>
  <c r="U1257" i="1"/>
  <c r="T1258" i="1"/>
  <c r="U1258" i="1"/>
  <c r="T1259" i="1"/>
  <c r="U1259" i="1"/>
  <c r="T1260" i="1"/>
  <c r="U1260" i="1"/>
  <c r="T1261" i="1"/>
  <c r="U1261" i="1"/>
  <c r="T1262" i="1"/>
  <c r="U1262" i="1"/>
  <c r="T1263" i="1"/>
  <c r="U1263" i="1"/>
  <c r="T1264" i="1"/>
  <c r="U1264" i="1"/>
  <c r="T1265" i="1"/>
  <c r="U1265" i="1"/>
  <c r="T1266" i="1"/>
  <c r="U1266" i="1"/>
  <c r="T1267" i="1"/>
  <c r="U1267" i="1"/>
  <c r="T1268" i="1"/>
  <c r="U1268" i="1"/>
  <c r="T1269" i="1"/>
  <c r="U1269" i="1"/>
  <c r="T1270" i="1"/>
  <c r="U1270" i="1"/>
  <c r="T1271" i="1"/>
  <c r="U1271" i="1"/>
  <c r="T1272" i="1"/>
  <c r="U1272" i="1"/>
  <c r="T1273" i="1"/>
  <c r="U1273" i="1"/>
  <c r="T1274" i="1"/>
  <c r="U1274" i="1"/>
  <c r="T1275" i="1"/>
  <c r="U1275" i="1"/>
  <c r="T1276" i="1"/>
  <c r="U1276" i="1"/>
  <c r="T1277" i="1"/>
  <c r="U1277" i="1"/>
  <c r="T1278" i="1"/>
  <c r="U1278" i="1"/>
  <c r="T1279" i="1"/>
  <c r="U1279" i="1"/>
  <c r="T1280" i="1"/>
  <c r="U1280" i="1"/>
  <c r="T1281" i="1"/>
  <c r="U1281" i="1"/>
  <c r="T1282" i="1"/>
  <c r="U1282" i="1"/>
  <c r="T1283" i="1"/>
  <c r="U1283" i="1"/>
  <c r="T1284" i="1"/>
  <c r="U1284" i="1"/>
  <c r="T1285" i="1"/>
  <c r="U1285" i="1"/>
  <c r="T1286" i="1"/>
  <c r="U1286" i="1"/>
  <c r="T1287" i="1"/>
  <c r="U1287" i="1"/>
  <c r="T1288" i="1"/>
  <c r="U1288" i="1"/>
  <c r="T1289" i="1"/>
  <c r="U1289" i="1"/>
  <c r="T1290" i="1"/>
  <c r="U1290" i="1"/>
  <c r="T1291" i="1"/>
  <c r="U1291" i="1"/>
  <c r="T1292" i="1"/>
  <c r="U1292" i="1"/>
  <c r="T1293" i="1"/>
  <c r="U1293" i="1"/>
  <c r="T1294" i="1"/>
  <c r="U1294" i="1"/>
  <c r="T1295" i="1"/>
  <c r="U1295" i="1"/>
  <c r="T1296" i="1"/>
  <c r="U1296" i="1"/>
  <c r="T1297" i="1"/>
  <c r="U1297" i="1"/>
  <c r="T1298" i="1"/>
  <c r="U1298" i="1"/>
  <c r="T1299" i="1"/>
  <c r="U1299" i="1"/>
  <c r="T1300" i="1"/>
  <c r="U1300" i="1"/>
  <c r="T1301" i="1"/>
  <c r="U1301" i="1"/>
  <c r="T1302" i="1"/>
  <c r="U1302" i="1"/>
  <c r="T1303" i="1"/>
  <c r="U1303" i="1"/>
  <c r="T1304" i="1"/>
  <c r="U1304" i="1"/>
  <c r="T1305" i="1"/>
  <c r="U1305" i="1"/>
  <c r="T1306" i="1"/>
  <c r="U1306" i="1"/>
  <c r="T1307" i="1"/>
  <c r="U1307" i="1"/>
  <c r="T1308" i="1"/>
  <c r="U1308" i="1"/>
  <c r="T1309" i="1"/>
  <c r="U1309" i="1"/>
  <c r="T1310" i="1"/>
  <c r="U1310" i="1"/>
  <c r="T1311" i="1"/>
  <c r="U1311" i="1"/>
  <c r="T1312" i="1"/>
  <c r="U1312" i="1"/>
  <c r="T1313" i="1"/>
  <c r="U1313" i="1"/>
  <c r="T1314" i="1"/>
  <c r="U1314" i="1"/>
  <c r="T1315" i="1"/>
  <c r="U1315" i="1"/>
  <c r="T1316" i="1"/>
  <c r="U1316" i="1"/>
  <c r="T1317" i="1"/>
  <c r="U1317" i="1"/>
  <c r="T1318" i="1"/>
  <c r="U1318" i="1"/>
  <c r="T1319" i="1"/>
  <c r="U1319" i="1"/>
  <c r="T1320" i="1"/>
  <c r="U1320" i="1"/>
  <c r="T1321" i="1"/>
  <c r="U1321" i="1"/>
  <c r="T1322" i="1"/>
  <c r="U1322" i="1"/>
  <c r="T1323" i="1"/>
  <c r="U1323" i="1"/>
  <c r="T1324" i="1"/>
  <c r="U1324" i="1"/>
  <c r="T1325" i="1"/>
  <c r="U1325" i="1"/>
  <c r="T1326" i="1"/>
  <c r="U1326" i="1"/>
  <c r="T1327" i="1"/>
  <c r="U1327" i="1"/>
  <c r="T1328" i="1"/>
  <c r="U1328" i="1"/>
  <c r="T1329" i="1"/>
  <c r="U1329" i="1"/>
  <c r="T1330" i="1"/>
  <c r="U1330" i="1"/>
  <c r="T1331" i="1"/>
  <c r="U1331" i="1"/>
  <c r="T1332" i="1"/>
  <c r="U1332" i="1"/>
  <c r="T1333" i="1"/>
  <c r="U1333" i="1"/>
  <c r="T1334" i="1"/>
  <c r="U1334" i="1"/>
  <c r="T1335" i="1"/>
  <c r="U1335" i="1"/>
  <c r="T1336" i="1"/>
  <c r="U1336" i="1"/>
  <c r="T1337" i="1"/>
  <c r="U1337" i="1"/>
  <c r="T1338" i="1"/>
  <c r="U1338" i="1"/>
  <c r="T1339" i="1"/>
  <c r="U1339" i="1"/>
  <c r="T1340" i="1"/>
  <c r="U1340" i="1"/>
  <c r="T1341" i="1"/>
  <c r="U1341" i="1"/>
  <c r="T1342" i="1"/>
  <c r="U1342" i="1"/>
  <c r="T1343" i="1"/>
  <c r="U1343" i="1"/>
  <c r="T1344" i="1"/>
  <c r="U1344" i="1"/>
  <c r="T1345" i="1"/>
  <c r="U1345" i="1"/>
  <c r="T1346" i="1"/>
  <c r="U1346" i="1"/>
  <c r="T1347" i="1"/>
  <c r="U1347" i="1"/>
  <c r="T1348" i="1"/>
  <c r="U1348" i="1"/>
  <c r="T1349" i="1"/>
  <c r="U1349" i="1"/>
  <c r="T1350" i="1"/>
  <c r="U1350" i="1"/>
  <c r="T1351" i="1"/>
  <c r="U1351" i="1"/>
  <c r="T1352" i="1"/>
  <c r="U1352" i="1"/>
  <c r="T1353" i="1"/>
  <c r="U1353" i="1"/>
  <c r="T1354" i="1"/>
  <c r="U1354" i="1"/>
  <c r="T1355" i="1"/>
  <c r="U1355" i="1"/>
  <c r="T1356" i="1"/>
  <c r="U1356" i="1"/>
  <c r="T1357" i="1"/>
  <c r="U1357" i="1"/>
  <c r="T1358" i="1"/>
  <c r="U1358" i="1"/>
  <c r="T1359" i="1"/>
  <c r="U1359" i="1"/>
  <c r="T1360" i="1"/>
  <c r="U1360" i="1"/>
  <c r="T1361" i="1"/>
  <c r="U1361" i="1"/>
  <c r="T1362" i="1"/>
  <c r="U1362" i="1"/>
  <c r="T1363" i="1"/>
  <c r="U1363" i="1"/>
  <c r="T1364" i="1"/>
  <c r="U1364" i="1"/>
  <c r="T1365" i="1"/>
  <c r="U1365" i="1"/>
  <c r="T1366" i="1"/>
  <c r="U1366" i="1"/>
  <c r="T1367" i="1"/>
  <c r="U1367" i="1"/>
  <c r="T1368" i="1"/>
  <c r="U1368" i="1"/>
  <c r="T1369" i="1"/>
  <c r="U1369" i="1"/>
  <c r="T1370" i="1"/>
  <c r="U1370" i="1"/>
  <c r="T1371" i="1"/>
  <c r="U1371" i="1"/>
  <c r="T1372" i="1"/>
  <c r="U1372" i="1"/>
  <c r="T1373" i="1"/>
  <c r="U1373" i="1"/>
  <c r="T1374" i="1"/>
  <c r="U1374" i="1"/>
  <c r="T1375" i="1"/>
  <c r="U1375" i="1"/>
  <c r="T1376" i="1"/>
  <c r="U1376" i="1"/>
  <c r="T1377" i="1"/>
  <c r="U1377" i="1"/>
  <c r="T1378" i="1"/>
  <c r="U1378" i="1"/>
  <c r="T1379" i="1"/>
  <c r="U1379" i="1"/>
  <c r="T1380" i="1"/>
  <c r="U1380" i="1"/>
  <c r="T1381" i="1"/>
  <c r="U1381" i="1"/>
  <c r="T1382" i="1"/>
  <c r="U1382" i="1"/>
  <c r="T1383" i="1"/>
  <c r="U1383" i="1"/>
  <c r="T1384" i="1"/>
  <c r="U1384" i="1"/>
  <c r="T1385" i="1"/>
  <c r="U1385" i="1"/>
  <c r="T1386" i="1"/>
  <c r="U1386" i="1"/>
  <c r="T1387" i="1"/>
  <c r="U1387" i="1"/>
  <c r="T1388" i="1"/>
  <c r="U1388" i="1"/>
  <c r="T1389" i="1"/>
  <c r="U1389" i="1"/>
  <c r="T1390" i="1"/>
  <c r="U1390" i="1"/>
  <c r="T1391" i="1"/>
  <c r="U1391" i="1"/>
  <c r="T1392" i="1"/>
  <c r="U1392" i="1"/>
  <c r="T1393" i="1"/>
  <c r="U1393" i="1"/>
  <c r="T1394" i="1"/>
  <c r="U1394" i="1"/>
  <c r="T1395" i="1"/>
  <c r="U1395" i="1"/>
  <c r="T1396" i="1"/>
  <c r="U1396" i="1"/>
  <c r="T1397" i="1"/>
  <c r="U1397" i="1"/>
  <c r="T1398" i="1"/>
  <c r="U1398" i="1"/>
  <c r="T1399" i="1"/>
  <c r="U1399" i="1"/>
  <c r="T1400" i="1"/>
  <c r="U1400" i="1"/>
  <c r="T1401" i="1"/>
  <c r="U1401" i="1"/>
  <c r="T1402" i="1"/>
  <c r="U1402" i="1"/>
  <c r="T1403" i="1"/>
  <c r="U1403" i="1"/>
  <c r="T1404" i="1"/>
  <c r="U1404" i="1"/>
  <c r="T1405" i="1"/>
  <c r="U1405" i="1"/>
  <c r="T1406" i="1"/>
  <c r="U1406" i="1"/>
  <c r="T1407" i="1"/>
  <c r="U1407" i="1"/>
  <c r="T1408" i="1"/>
  <c r="U1408" i="1"/>
  <c r="T1409" i="1"/>
  <c r="U1409" i="1"/>
  <c r="T1410" i="1"/>
  <c r="U1410" i="1"/>
  <c r="T1411" i="1"/>
  <c r="U1411" i="1"/>
  <c r="T1412" i="1"/>
  <c r="U1412" i="1"/>
  <c r="T1413" i="1"/>
  <c r="U1413" i="1"/>
  <c r="T1414" i="1"/>
  <c r="U1414" i="1"/>
  <c r="T1415" i="1"/>
  <c r="U1415" i="1"/>
  <c r="T1416" i="1"/>
  <c r="U1416" i="1"/>
  <c r="T1417" i="1"/>
  <c r="U1417" i="1"/>
  <c r="T1418" i="1"/>
  <c r="U1418" i="1"/>
  <c r="T1419" i="1"/>
  <c r="U1419" i="1"/>
  <c r="T1420" i="1"/>
  <c r="U1420" i="1"/>
  <c r="T1421" i="1"/>
  <c r="U1421" i="1"/>
  <c r="T1422" i="1"/>
  <c r="U1422" i="1"/>
  <c r="T1423" i="1"/>
  <c r="U1423" i="1"/>
  <c r="T1424" i="1"/>
  <c r="U1424" i="1"/>
  <c r="T1425" i="1"/>
  <c r="U1425" i="1"/>
  <c r="T1426" i="1"/>
  <c r="U1426" i="1"/>
  <c r="T1427" i="1"/>
  <c r="U1427" i="1"/>
  <c r="T1428" i="1"/>
  <c r="U1428" i="1"/>
  <c r="T1429" i="1"/>
  <c r="U1429" i="1"/>
  <c r="T1430" i="1"/>
  <c r="U1430" i="1"/>
  <c r="T1431" i="1"/>
  <c r="U1431" i="1"/>
  <c r="T1432" i="1"/>
  <c r="U1432" i="1"/>
  <c r="T1433" i="1"/>
  <c r="U1433" i="1"/>
  <c r="T1434" i="1"/>
  <c r="U1434" i="1"/>
  <c r="T1435" i="1"/>
  <c r="U1435" i="1"/>
  <c r="T1436" i="1"/>
  <c r="U1436" i="1"/>
  <c r="T1437" i="1"/>
  <c r="U1437" i="1"/>
  <c r="T1438" i="1"/>
  <c r="U1438" i="1"/>
  <c r="T1439" i="1"/>
  <c r="U1439" i="1"/>
  <c r="T1440" i="1"/>
  <c r="U1440" i="1"/>
  <c r="T1441" i="1"/>
  <c r="U1441" i="1"/>
  <c r="T1442" i="1"/>
  <c r="U1442" i="1"/>
  <c r="T1443" i="1"/>
  <c r="U1443" i="1"/>
  <c r="T1444" i="1"/>
  <c r="U1444" i="1"/>
  <c r="T1445" i="1"/>
  <c r="U1445" i="1"/>
  <c r="T1446" i="1"/>
  <c r="U1446" i="1"/>
  <c r="T1447" i="1"/>
  <c r="U1447" i="1"/>
  <c r="T1448" i="1"/>
  <c r="U1448" i="1"/>
  <c r="T1449" i="1"/>
  <c r="U1449" i="1"/>
  <c r="T1450" i="1"/>
  <c r="U1450" i="1"/>
  <c r="T1451" i="1"/>
  <c r="U1451" i="1"/>
  <c r="T1452" i="1"/>
  <c r="U1452" i="1"/>
  <c r="T1453" i="1"/>
  <c r="U1453" i="1"/>
  <c r="T1454" i="1"/>
  <c r="U1454" i="1"/>
  <c r="T1455" i="1"/>
  <c r="U1455" i="1"/>
  <c r="T1456" i="1"/>
  <c r="U1456" i="1"/>
  <c r="T1457" i="1"/>
  <c r="U1457" i="1"/>
  <c r="T1458" i="1"/>
  <c r="U1458" i="1"/>
  <c r="T1459" i="1"/>
  <c r="U1459" i="1"/>
  <c r="T1460" i="1"/>
  <c r="U1460" i="1"/>
  <c r="T1461" i="1"/>
  <c r="U1461" i="1"/>
  <c r="T1462" i="1"/>
  <c r="U1462" i="1"/>
  <c r="T1463" i="1"/>
  <c r="U1463" i="1"/>
  <c r="T1464" i="1"/>
  <c r="U1464" i="1"/>
  <c r="T1465" i="1"/>
  <c r="U1465" i="1"/>
  <c r="T1466" i="1"/>
  <c r="U1466" i="1"/>
  <c r="T1467" i="1"/>
  <c r="U1467" i="1"/>
  <c r="T1468" i="1"/>
  <c r="U1468" i="1"/>
  <c r="T1469" i="1"/>
  <c r="U1469" i="1"/>
  <c r="T1470" i="1"/>
  <c r="U1470" i="1"/>
  <c r="T1471" i="1"/>
  <c r="U1471" i="1"/>
  <c r="T1472" i="1"/>
  <c r="U1472" i="1"/>
  <c r="T1473" i="1"/>
  <c r="U1473" i="1"/>
  <c r="T1474" i="1"/>
  <c r="U1474" i="1"/>
  <c r="T1475" i="1"/>
  <c r="U1475" i="1"/>
  <c r="T1476" i="1"/>
  <c r="U1476" i="1"/>
  <c r="T1477" i="1"/>
  <c r="U1477" i="1"/>
  <c r="T1478" i="1"/>
  <c r="U1478" i="1"/>
  <c r="T1479" i="1"/>
  <c r="U1479" i="1"/>
  <c r="T1480" i="1"/>
  <c r="U1480" i="1"/>
  <c r="T1481" i="1"/>
  <c r="U1481" i="1"/>
  <c r="T1482" i="1"/>
  <c r="U1482" i="1"/>
  <c r="T1483" i="1"/>
  <c r="U1483" i="1"/>
  <c r="T1484" i="1"/>
  <c r="U1484" i="1"/>
  <c r="T1485" i="1"/>
  <c r="U1485" i="1"/>
  <c r="T1486" i="1"/>
  <c r="U1486" i="1"/>
  <c r="T1487" i="1"/>
  <c r="U1487" i="1"/>
  <c r="T1488" i="1"/>
  <c r="U1488" i="1"/>
  <c r="T1489" i="1"/>
  <c r="U1489" i="1"/>
  <c r="T1490" i="1"/>
  <c r="U1490" i="1"/>
  <c r="T1491" i="1"/>
  <c r="U1491" i="1"/>
  <c r="T1492" i="1"/>
  <c r="U1492" i="1"/>
  <c r="T1493" i="1"/>
  <c r="U1493" i="1"/>
  <c r="T1494" i="1"/>
  <c r="U1494" i="1"/>
  <c r="T1495" i="1"/>
  <c r="U1495" i="1"/>
  <c r="T1496" i="1"/>
  <c r="U1496" i="1"/>
  <c r="T1497" i="1"/>
  <c r="U1497" i="1"/>
  <c r="T1498" i="1"/>
  <c r="U1498" i="1"/>
  <c r="T1499" i="1"/>
  <c r="U1499" i="1"/>
  <c r="T1500" i="1"/>
  <c r="U1500" i="1"/>
  <c r="T1501" i="1"/>
  <c r="U1501" i="1"/>
  <c r="T1502" i="1"/>
  <c r="U1502" i="1"/>
  <c r="T1503" i="1"/>
  <c r="U1503" i="1"/>
  <c r="T1504" i="1"/>
  <c r="U1504" i="1"/>
  <c r="T1505" i="1"/>
  <c r="U1505" i="1"/>
  <c r="T1506" i="1"/>
  <c r="U1506" i="1"/>
  <c r="T1507" i="1"/>
  <c r="U1507" i="1"/>
  <c r="T1508" i="1"/>
  <c r="U1508" i="1"/>
  <c r="T1509" i="1"/>
  <c r="U1509" i="1"/>
  <c r="T1510" i="1"/>
  <c r="U1510" i="1"/>
  <c r="T1511" i="1"/>
  <c r="U1511" i="1"/>
  <c r="T1512" i="1"/>
  <c r="U1512" i="1"/>
  <c r="T1513" i="1"/>
  <c r="U1513" i="1"/>
  <c r="T1514" i="1"/>
  <c r="U1514" i="1"/>
  <c r="T1515" i="1"/>
  <c r="U1515" i="1"/>
  <c r="T1516" i="1"/>
  <c r="U1516" i="1"/>
  <c r="T1517" i="1"/>
  <c r="U1517" i="1"/>
  <c r="T1518" i="1"/>
  <c r="U1518" i="1"/>
  <c r="T1519" i="1"/>
  <c r="U1519" i="1"/>
  <c r="T1520" i="1"/>
  <c r="U1520" i="1"/>
  <c r="T1521" i="1"/>
  <c r="U1521" i="1"/>
  <c r="T1522" i="1"/>
  <c r="U1522" i="1"/>
  <c r="T1523" i="1"/>
  <c r="U1523" i="1"/>
  <c r="T1524" i="1"/>
  <c r="U1524" i="1"/>
  <c r="T1525" i="1"/>
  <c r="U1525" i="1"/>
  <c r="T1526" i="1"/>
  <c r="U1526" i="1"/>
  <c r="T1527" i="1"/>
  <c r="U1527" i="1"/>
  <c r="T1528" i="1"/>
  <c r="U1528" i="1"/>
  <c r="T1529" i="1"/>
  <c r="U1529" i="1"/>
  <c r="T1530" i="1"/>
  <c r="U1530" i="1"/>
  <c r="T1531" i="1"/>
  <c r="U1531" i="1"/>
  <c r="T1532" i="1"/>
  <c r="U1532" i="1"/>
  <c r="T1533" i="1"/>
  <c r="U1533" i="1"/>
  <c r="T1534" i="1"/>
  <c r="U1534" i="1"/>
  <c r="T1535" i="1"/>
  <c r="U1535" i="1"/>
  <c r="T1536" i="1"/>
  <c r="U1536" i="1"/>
  <c r="T1537" i="1"/>
  <c r="U1537" i="1"/>
  <c r="T1538" i="1"/>
  <c r="U1538" i="1"/>
  <c r="T1539" i="1"/>
  <c r="U1539" i="1"/>
  <c r="T1540" i="1"/>
  <c r="U1540" i="1"/>
  <c r="T1541" i="1"/>
  <c r="U1541" i="1"/>
  <c r="T1542" i="1"/>
  <c r="U1542" i="1"/>
  <c r="T1543" i="1"/>
  <c r="U1543" i="1"/>
  <c r="T1544" i="1"/>
  <c r="U1544" i="1"/>
  <c r="T1545" i="1"/>
  <c r="U1545" i="1"/>
  <c r="T1546" i="1"/>
  <c r="U1546" i="1"/>
  <c r="T1547" i="1"/>
  <c r="U1547" i="1"/>
  <c r="T1548" i="1"/>
  <c r="U1548" i="1"/>
  <c r="T1549" i="1"/>
  <c r="U1549" i="1"/>
  <c r="T1550" i="1"/>
  <c r="U1550" i="1"/>
  <c r="T1551" i="1"/>
  <c r="U1551" i="1"/>
  <c r="T1552" i="1"/>
  <c r="U1552" i="1"/>
  <c r="T1553" i="1"/>
  <c r="U1553" i="1"/>
  <c r="T1554" i="1"/>
  <c r="U1554" i="1"/>
  <c r="T1555" i="1"/>
  <c r="U1555" i="1"/>
  <c r="T1556" i="1"/>
  <c r="U1556" i="1"/>
  <c r="T1557" i="1"/>
  <c r="U1557" i="1"/>
  <c r="T1558" i="1"/>
  <c r="U1558" i="1"/>
  <c r="T1559" i="1"/>
  <c r="U1559" i="1"/>
  <c r="T1560" i="1"/>
  <c r="U1560" i="1"/>
  <c r="T1561" i="1"/>
  <c r="U1561" i="1"/>
  <c r="T1562" i="1"/>
  <c r="U1562" i="1"/>
  <c r="T1563" i="1"/>
  <c r="U1563" i="1"/>
  <c r="T1564" i="1"/>
  <c r="U1564" i="1"/>
  <c r="T1565" i="1"/>
  <c r="U1565" i="1"/>
  <c r="T1566" i="1"/>
  <c r="U1566" i="1"/>
  <c r="T1567" i="1"/>
  <c r="U1567" i="1"/>
  <c r="T1568" i="1"/>
  <c r="U1568" i="1"/>
  <c r="T1569" i="1"/>
  <c r="U1569" i="1"/>
  <c r="T1570" i="1"/>
  <c r="U1570" i="1"/>
  <c r="T1571" i="1"/>
  <c r="U1571" i="1"/>
  <c r="T1572" i="1"/>
  <c r="U1572" i="1"/>
  <c r="T1573" i="1"/>
  <c r="U1573" i="1"/>
  <c r="T1574" i="1"/>
  <c r="U1574" i="1"/>
  <c r="T1575" i="1"/>
  <c r="U1575" i="1"/>
  <c r="T1576" i="1"/>
  <c r="U1576" i="1"/>
  <c r="T1577" i="1"/>
  <c r="U1577" i="1"/>
  <c r="T1578" i="1"/>
  <c r="U1578" i="1"/>
  <c r="T1579" i="1"/>
  <c r="U1579" i="1"/>
  <c r="T1580" i="1"/>
  <c r="U1580" i="1"/>
  <c r="T1581" i="1"/>
  <c r="U1581" i="1"/>
  <c r="T1582" i="1"/>
  <c r="U1582" i="1"/>
  <c r="T1583" i="1"/>
  <c r="U1583" i="1"/>
  <c r="T1584" i="1"/>
  <c r="U1584" i="1"/>
  <c r="T1585" i="1"/>
  <c r="U1585" i="1"/>
  <c r="T1586" i="1"/>
  <c r="U1586" i="1"/>
  <c r="T1587" i="1"/>
  <c r="U1587" i="1"/>
  <c r="T1588" i="1"/>
  <c r="U1588" i="1"/>
  <c r="T1589" i="1"/>
  <c r="U1589" i="1"/>
  <c r="T1590" i="1"/>
  <c r="U1590" i="1"/>
  <c r="T1591" i="1"/>
  <c r="U1591" i="1"/>
  <c r="T1592" i="1"/>
  <c r="U1592" i="1"/>
  <c r="T1593" i="1"/>
  <c r="U1593" i="1"/>
  <c r="T1594" i="1"/>
  <c r="U1594" i="1"/>
  <c r="T1595" i="1"/>
  <c r="U1595" i="1"/>
  <c r="T1596" i="1"/>
  <c r="U1596" i="1"/>
  <c r="T1597" i="1"/>
  <c r="U1597" i="1"/>
  <c r="T1598" i="1"/>
  <c r="U1598" i="1"/>
  <c r="T1599" i="1"/>
  <c r="U1599" i="1"/>
  <c r="T1600" i="1"/>
  <c r="U1600" i="1"/>
  <c r="T1601" i="1"/>
  <c r="U1601" i="1"/>
  <c r="T1602" i="1"/>
  <c r="U1602" i="1"/>
  <c r="T1603" i="1"/>
  <c r="U1603" i="1"/>
  <c r="T1604" i="1"/>
  <c r="U1604" i="1"/>
  <c r="T1605" i="1"/>
  <c r="U1605" i="1"/>
  <c r="T1606" i="1"/>
  <c r="U1606" i="1"/>
  <c r="T1607" i="1"/>
  <c r="U1607" i="1"/>
  <c r="T1608" i="1"/>
  <c r="U1608" i="1"/>
  <c r="T1609" i="1"/>
  <c r="U1609" i="1"/>
  <c r="T1610" i="1"/>
  <c r="U1610" i="1"/>
  <c r="T1611" i="1"/>
  <c r="U1611" i="1"/>
  <c r="T1612" i="1"/>
  <c r="U1612" i="1"/>
  <c r="T1613" i="1"/>
  <c r="U1613" i="1"/>
  <c r="T1614" i="1"/>
  <c r="U1614" i="1"/>
  <c r="T1615" i="1"/>
  <c r="U1615" i="1"/>
  <c r="T1616" i="1"/>
  <c r="U1616" i="1"/>
  <c r="T1617" i="1"/>
  <c r="U1617" i="1"/>
  <c r="T1618" i="1"/>
  <c r="U1618" i="1"/>
  <c r="T1619" i="1"/>
  <c r="U1619" i="1"/>
  <c r="T1620" i="1"/>
  <c r="U1620" i="1"/>
  <c r="T1621" i="1"/>
  <c r="U1621" i="1"/>
  <c r="T1622" i="1"/>
  <c r="U1622" i="1"/>
  <c r="T1623" i="1"/>
  <c r="U1623" i="1"/>
  <c r="T1624" i="1"/>
  <c r="U1624" i="1"/>
  <c r="T1625" i="1"/>
  <c r="U1625" i="1"/>
  <c r="T1626" i="1"/>
  <c r="U1626" i="1"/>
  <c r="T1627" i="1"/>
  <c r="U1627" i="1"/>
  <c r="T1628" i="1"/>
  <c r="U1628" i="1"/>
  <c r="T1629" i="1"/>
  <c r="U1629" i="1"/>
  <c r="T1630" i="1"/>
  <c r="U1630" i="1"/>
  <c r="T1631" i="1"/>
  <c r="U1631" i="1"/>
  <c r="T1632" i="1"/>
  <c r="U1632" i="1"/>
  <c r="T1633" i="1"/>
  <c r="U1633" i="1"/>
  <c r="T1634" i="1"/>
  <c r="U1634" i="1"/>
  <c r="T1635" i="1"/>
  <c r="U1635" i="1"/>
  <c r="T1636" i="1"/>
  <c r="U1636" i="1"/>
  <c r="T1637" i="1"/>
  <c r="U1637" i="1"/>
  <c r="T1638" i="1"/>
  <c r="U1638" i="1"/>
  <c r="T1639" i="1"/>
  <c r="U1639" i="1"/>
  <c r="T1640" i="1"/>
  <c r="U1640" i="1"/>
  <c r="T1641" i="1"/>
  <c r="U1641" i="1"/>
  <c r="T1642" i="1"/>
  <c r="U1642" i="1"/>
  <c r="T1643" i="1"/>
  <c r="U1643" i="1"/>
  <c r="T1644" i="1"/>
  <c r="U1644" i="1"/>
  <c r="T1645" i="1"/>
  <c r="U1645" i="1"/>
  <c r="T1646" i="1"/>
  <c r="U1646" i="1"/>
  <c r="T1647" i="1"/>
  <c r="U1647" i="1"/>
  <c r="T1648" i="1"/>
  <c r="U1648" i="1"/>
  <c r="T1649" i="1"/>
  <c r="U1649" i="1"/>
  <c r="T1650" i="1"/>
  <c r="U1650" i="1"/>
  <c r="T1651" i="1"/>
  <c r="U1651" i="1"/>
  <c r="T1652" i="1"/>
  <c r="U1652" i="1"/>
  <c r="T1653" i="1"/>
  <c r="U1653" i="1"/>
  <c r="T1654" i="1"/>
  <c r="U1654" i="1"/>
  <c r="T1655" i="1"/>
  <c r="U1655" i="1"/>
  <c r="T1656" i="1"/>
  <c r="U1656" i="1"/>
  <c r="T1657" i="1"/>
  <c r="U1657" i="1"/>
  <c r="T1658" i="1"/>
  <c r="U1658" i="1"/>
  <c r="T1659" i="1"/>
  <c r="U1659" i="1"/>
  <c r="T1660" i="1"/>
  <c r="U1660" i="1"/>
  <c r="T1661" i="1"/>
  <c r="U1661" i="1"/>
  <c r="T1662" i="1"/>
  <c r="U1662" i="1"/>
  <c r="T1663" i="1"/>
  <c r="U1663" i="1"/>
  <c r="T1664" i="1"/>
  <c r="U1664" i="1"/>
  <c r="T1665" i="1"/>
  <c r="U1665" i="1"/>
  <c r="T1666" i="1"/>
  <c r="U1666" i="1"/>
  <c r="T1667" i="1"/>
  <c r="U1667" i="1"/>
  <c r="T1668" i="1"/>
  <c r="U1668" i="1"/>
  <c r="T1669" i="1"/>
  <c r="U1669" i="1"/>
  <c r="T1670" i="1"/>
  <c r="U1670" i="1"/>
  <c r="T1671" i="1"/>
  <c r="U1671" i="1"/>
  <c r="T1672" i="1"/>
  <c r="U1672" i="1"/>
  <c r="T1673" i="1"/>
  <c r="U1673" i="1"/>
  <c r="T1674" i="1"/>
  <c r="U1674" i="1"/>
  <c r="T1675" i="1"/>
  <c r="U1675" i="1"/>
  <c r="T1676" i="1"/>
  <c r="U1676" i="1"/>
  <c r="T1677" i="1"/>
  <c r="U1677" i="1"/>
  <c r="T1678" i="1"/>
  <c r="U1678" i="1"/>
  <c r="T1679" i="1"/>
  <c r="U1679" i="1"/>
  <c r="T1680" i="1"/>
  <c r="U1680" i="1"/>
  <c r="T1681" i="1"/>
  <c r="U1681" i="1"/>
  <c r="T1682" i="1"/>
  <c r="U1682" i="1"/>
  <c r="T1683" i="1"/>
  <c r="U1683" i="1"/>
  <c r="T1684" i="1"/>
  <c r="U1684" i="1"/>
  <c r="T1685" i="1"/>
  <c r="U1685" i="1"/>
  <c r="T1686" i="1"/>
  <c r="U1686" i="1"/>
  <c r="T1687" i="1"/>
  <c r="U1687" i="1"/>
  <c r="T1688" i="1"/>
  <c r="U1688" i="1"/>
  <c r="T1689" i="1"/>
  <c r="U1689" i="1"/>
  <c r="T1690" i="1"/>
  <c r="U1690" i="1"/>
  <c r="T1691" i="1"/>
  <c r="U1691" i="1"/>
  <c r="T1692" i="1"/>
  <c r="U1692" i="1"/>
  <c r="T1693" i="1"/>
  <c r="U1693" i="1"/>
  <c r="T1694" i="1"/>
  <c r="U1694" i="1"/>
  <c r="T1695" i="1"/>
  <c r="U1695" i="1"/>
  <c r="T1696" i="1"/>
  <c r="U1696" i="1"/>
  <c r="T1697" i="1"/>
  <c r="U1697" i="1"/>
  <c r="T1698" i="1"/>
  <c r="U1698" i="1"/>
  <c r="T1699" i="1"/>
  <c r="U1699" i="1"/>
  <c r="T1700" i="1"/>
  <c r="U1700" i="1"/>
  <c r="T1701" i="1"/>
  <c r="U1701" i="1"/>
  <c r="T1702" i="1"/>
  <c r="U1702" i="1"/>
  <c r="T1703" i="1"/>
  <c r="U1703" i="1"/>
  <c r="T1704" i="1"/>
  <c r="U1704" i="1"/>
  <c r="T1705" i="1"/>
  <c r="U1705" i="1"/>
  <c r="T1706" i="1"/>
  <c r="U1706" i="1"/>
  <c r="T1707" i="1"/>
  <c r="U1707" i="1"/>
  <c r="T1708" i="1"/>
  <c r="U1708" i="1"/>
  <c r="T1709" i="1"/>
  <c r="U1709" i="1"/>
  <c r="T1710" i="1"/>
  <c r="U1710" i="1"/>
  <c r="T1711" i="1"/>
  <c r="U1711" i="1"/>
  <c r="T1712" i="1"/>
  <c r="U1712" i="1"/>
  <c r="T1713" i="1"/>
  <c r="U1713" i="1"/>
  <c r="T1714" i="1"/>
  <c r="U1714" i="1"/>
  <c r="T1715" i="1"/>
  <c r="U1715" i="1"/>
  <c r="T1716" i="1"/>
  <c r="U1716" i="1"/>
  <c r="T1717" i="1"/>
  <c r="U1717" i="1"/>
  <c r="T1718" i="1"/>
  <c r="U1718" i="1"/>
  <c r="T1719" i="1"/>
  <c r="U1719" i="1"/>
  <c r="T1720" i="1"/>
  <c r="U1720" i="1"/>
  <c r="T1721" i="1"/>
  <c r="U1721" i="1"/>
  <c r="T1722" i="1"/>
  <c r="U1722" i="1"/>
  <c r="T1723" i="1"/>
  <c r="U1723" i="1"/>
  <c r="T1724" i="1"/>
  <c r="U1724" i="1"/>
  <c r="T1725" i="1"/>
  <c r="U1725" i="1"/>
  <c r="T1726" i="1"/>
  <c r="U1726" i="1"/>
  <c r="T1727" i="1"/>
  <c r="U1727" i="1"/>
  <c r="T1728" i="1"/>
  <c r="U1728" i="1"/>
  <c r="T1729" i="1"/>
  <c r="U1729" i="1"/>
  <c r="T1730" i="1"/>
  <c r="U1730" i="1"/>
  <c r="T1731" i="1"/>
  <c r="U1731" i="1"/>
  <c r="T1732" i="1"/>
  <c r="U1732" i="1"/>
  <c r="T1733" i="1"/>
  <c r="U1733" i="1"/>
  <c r="T1734" i="1"/>
  <c r="U1734" i="1"/>
  <c r="T1735" i="1"/>
  <c r="U1735" i="1"/>
  <c r="T1736" i="1"/>
  <c r="U1736" i="1"/>
  <c r="T1737" i="1"/>
  <c r="U1737" i="1"/>
  <c r="T1738" i="1"/>
  <c r="U1738" i="1"/>
  <c r="T1739" i="1"/>
  <c r="U1739" i="1"/>
  <c r="T1740" i="1"/>
  <c r="U1740" i="1"/>
  <c r="T1741" i="1"/>
  <c r="U1741" i="1"/>
  <c r="T1742" i="1"/>
  <c r="U1742" i="1"/>
  <c r="T1743" i="1"/>
  <c r="U1743" i="1"/>
  <c r="T1744" i="1"/>
  <c r="U1744" i="1"/>
  <c r="T1745" i="1"/>
  <c r="U1745" i="1"/>
  <c r="T1746" i="1"/>
  <c r="U1746" i="1"/>
  <c r="T1747" i="1"/>
  <c r="U1747" i="1"/>
  <c r="T1748" i="1"/>
  <c r="U1748" i="1"/>
  <c r="T1749" i="1"/>
  <c r="U1749" i="1"/>
  <c r="T1750" i="1"/>
  <c r="U1750" i="1"/>
  <c r="T1751" i="1"/>
  <c r="U1751" i="1"/>
  <c r="T1752" i="1"/>
  <c r="U1752" i="1"/>
  <c r="T1753" i="1"/>
  <c r="U1753" i="1"/>
  <c r="T1754" i="1"/>
  <c r="U1754" i="1"/>
  <c r="T1755" i="1"/>
  <c r="U1755" i="1"/>
  <c r="T1756" i="1"/>
  <c r="U1756" i="1"/>
  <c r="T1757" i="1"/>
  <c r="U1757" i="1"/>
  <c r="T1758" i="1"/>
  <c r="U1758" i="1"/>
  <c r="T1759" i="1"/>
  <c r="U1759" i="1"/>
  <c r="T1760" i="1"/>
  <c r="U1760" i="1"/>
  <c r="T1761" i="1"/>
  <c r="U1761" i="1"/>
  <c r="T1762" i="1"/>
  <c r="U1762" i="1"/>
  <c r="T1763" i="1"/>
  <c r="U1763" i="1"/>
  <c r="T1764" i="1"/>
  <c r="U1764" i="1"/>
  <c r="T1765" i="1"/>
  <c r="U1765" i="1"/>
  <c r="T1766" i="1"/>
  <c r="U1766" i="1"/>
  <c r="T1767" i="1"/>
  <c r="U1767" i="1"/>
  <c r="T1768" i="1"/>
  <c r="U1768" i="1"/>
  <c r="T1769" i="1"/>
  <c r="U1769" i="1"/>
  <c r="T1770" i="1"/>
  <c r="U1770" i="1"/>
  <c r="T1771" i="1"/>
  <c r="U1771" i="1"/>
  <c r="T1772" i="1"/>
  <c r="U1772" i="1"/>
  <c r="T1773" i="1"/>
  <c r="U1773" i="1"/>
  <c r="T1774" i="1"/>
  <c r="U1774" i="1"/>
  <c r="T1775" i="1"/>
  <c r="U1775" i="1"/>
  <c r="T1776" i="1"/>
  <c r="U1776" i="1"/>
  <c r="T1777" i="1"/>
  <c r="U1777" i="1"/>
  <c r="T1778" i="1"/>
  <c r="U1778" i="1"/>
  <c r="T1779" i="1"/>
  <c r="U1779" i="1"/>
  <c r="T1780" i="1"/>
  <c r="U1780" i="1"/>
  <c r="T1781" i="1"/>
  <c r="U1781" i="1"/>
  <c r="T1782" i="1"/>
  <c r="U1782" i="1"/>
  <c r="T1783" i="1"/>
  <c r="U1783" i="1"/>
  <c r="T1784" i="1"/>
  <c r="U1784" i="1"/>
  <c r="T1785" i="1"/>
  <c r="U1785" i="1"/>
  <c r="T1786" i="1"/>
  <c r="U1786" i="1"/>
  <c r="T1787" i="1"/>
  <c r="U1787" i="1"/>
  <c r="T1788" i="1"/>
  <c r="U1788" i="1"/>
  <c r="T1789" i="1"/>
  <c r="U1789" i="1"/>
  <c r="T1790" i="1"/>
  <c r="U1790" i="1"/>
  <c r="T1791" i="1"/>
  <c r="U1791" i="1"/>
  <c r="T1792" i="1"/>
  <c r="U1792" i="1"/>
  <c r="T1793" i="1"/>
  <c r="U1793" i="1"/>
  <c r="T1794" i="1"/>
  <c r="U1794" i="1"/>
  <c r="T1795" i="1"/>
  <c r="U1795" i="1"/>
  <c r="T1796" i="1"/>
  <c r="U1796" i="1"/>
  <c r="T1797" i="1"/>
  <c r="U1797" i="1"/>
  <c r="T1798" i="1"/>
  <c r="U1798" i="1"/>
  <c r="T1799" i="1"/>
  <c r="U1799" i="1"/>
  <c r="T1800" i="1"/>
  <c r="U1800" i="1"/>
  <c r="T1801" i="1"/>
  <c r="U1801" i="1"/>
  <c r="T1802" i="1"/>
  <c r="U1802" i="1"/>
  <c r="T1803" i="1"/>
  <c r="U1803" i="1"/>
  <c r="T1804" i="1"/>
  <c r="U1804" i="1"/>
  <c r="T1805" i="1"/>
  <c r="U1805" i="1"/>
  <c r="T1806" i="1"/>
  <c r="U1806" i="1"/>
  <c r="T1807" i="1"/>
  <c r="U1807" i="1"/>
  <c r="T1808" i="1"/>
  <c r="U1808" i="1"/>
  <c r="T1809" i="1"/>
  <c r="U1809" i="1"/>
  <c r="T1810" i="1"/>
  <c r="U1810" i="1"/>
  <c r="T1811" i="1"/>
  <c r="U1811" i="1"/>
  <c r="T1812" i="1"/>
  <c r="U1812" i="1"/>
  <c r="T1813" i="1"/>
  <c r="U1813" i="1"/>
  <c r="T1814" i="1"/>
  <c r="U1814" i="1"/>
  <c r="T1815" i="1"/>
  <c r="U1815" i="1"/>
  <c r="T1816" i="1"/>
  <c r="U1816" i="1"/>
  <c r="T1817" i="1"/>
  <c r="U1817" i="1"/>
  <c r="T1818" i="1"/>
  <c r="U1818" i="1"/>
  <c r="T1819" i="1"/>
  <c r="U1819" i="1"/>
  <c r="T1820" i="1"/>
  <c r="U1820" i="1"/>
  <c r="T1821" i="1"/>
  <c r="U1821" i="1"/>
  <c r="T1822" i="1"/>
  <c r="U1822" i="1"/>
  <c r="T1823" i="1"/>
  <c r="U1823" i="1"/>
  <c r="T1824" i="1"/>
  <c r="U1824" i="1"/>
  <c r="T1825" i="1"/>
  <c r="U1825" i="1"/>
  <c r="T1826" i="1"/>
  <c r="U1826" i="1"/>
  <c r="T1827" i="1"/>
  <c r="U1827" i="1"/>
  <c r="T1828" i="1"/>
  <c r="U1828" i="1"/>
  <c r="T1829" i="1"/>
  <c r="U1829" i="1"/>
  <c r="T1830" i="1"/>
  <c r="U1830" i="1"/>
  <c r="T1831" i="1"/>
  <c r="U1831" i="1"/>
  <c r="T1832" i="1"/>
  <c r="U1832" i="1"/>
  <c r="T1833" i="1"/>
  <c r="U1833" i="1"/>
  <c r="T1834" i="1"/>
  <c r="U1834" i="1"/>
  <c r="T1835" i="1"/>
  <c r="U1835" i="1"/>
  <c r="T1836" i="1"/>
  <c r="U1836" i="1"/>
  <c r="T1837" i="1"/>
  <c r="U1837" i="1"/>
  <c r="T1838" i="1"/>
  <c r="U1838" i="1"/>
  <c r="T1839" i="1"/>
  <c r="U1839" i="1"/>
  <c r="T1840" i="1"/>
  <c r="U1840" i="1"/>
  <c r="T1841" i="1"/>
  <c r="U1841" i="1"/>
  <c r="T1842" i="1"/>
  <c r="U1842" i="1"/>
  <c r="T1843" i="1"/>
  <c r="U1843" i="1"/>
  <c r="T1844" i="1"/>
  <c r="U1844" i="1"/>
  <c r="T1845" i="1"/>
  <c r="U1845" i="1"/>
  <c r="T1846" i="1"/>
  <c r="U1846" i="1"/>
  <c r="T1847" i="1"/>
  <c r="U1847" i="1"/>
  <c r="T1848" i="1"/>
  <c r="U1848" i="1"/>
  <c r="T1849" i="1"/>
  <c r="U1849" i="1"/>
  <c r="T1850" i="1"/>
  <c r="U1850" i="1"/>
  <c r="T1851" i="1"/>
  <c r="U1851" i="1"/>
  <c r="T1852" i="1"/>
  <c r="U1852" i="1"/>
  <c r="T1853" i="1"/>
  <c r="U1853" i="1"/>
  <c r="T1854" i="1"/>
  <c r="U1854" i="1"/>
  <c r="T1855" i="1"/>
  <c r="U1855" i="1"/>
  <c r="T1856" i="1"/>
  <c r="U1856" i="1"/>
  <c r="T1857" i="1"/>
  <c r="U1857" i="1"/>
  <c r="T1858" i="1"/>
  <c r="U1858" i="1"/>
  <c r="T1859" i="1"/>
  <c r="U1859" i="1"/>
  <c r="T1860" i="1"/>
  <c r="U1860" i="1"/>
  <c r="T1861" i="1"/>
  <c r="U1861" i="1"/>
  <c r="T1862" i="1"/>
  <c r="U1862" i="1"/>
  <c r="T1863" i="1"/>
  <c r="U1863" i="1"/>
  <c r="T1864" i="1"/>
  <c r="U1864" i="1"/>
  <c r="T1865" i="1"/>
  <c r="U1865" i="1"/>
  <c r="T1866" i="1"/>
  <c r="U1866" i="1"/>
  <c r="T1867" i="1"/>
  <c r="U1867" i="1"/>
  <c r="T1868" i="1"/>
  <c r="U1868" i="1"/>
  <c r="T1869" i="1"/>
  <c r="U1869" i="1"/>
  <c r="T1870" i="1"/>
  <c r="U1870" i="1"/>
  <c r="T1871" i="1"/>
  <c r="U1871" i="1"/>
  <c r="T1872" i="1"/>
  <c r="U1872" i="1"/>
  <c r="T1873" i="1"/>
  <c r="U1873" i="1"/>
  <c r="T1874" i="1"/>
  <c r="U1874" i="1"/>
  <c r="T1875" i="1"/>
  <c r="U1875" i="1"/>
  <c r="T1876" i="1"/>
  <c r="U1876" i="1"/>
  <c r="T1877" i="1"/>
  <c r="U1877" i="1"/>
  <c r="T1878" i="1"/>
  <c r="U1878" i="1"/>
  <c r="T1879" i="1"/>
  <c r="U1879" i="1"/>
  <c r="T1880" i="1"/>
  <c r="U1880" i="1"/>
  <c r="T1881" i="1"/>
  <c r="U1881" i="1"/>
  <c r="T1882" i="1"/>
  <c r="U1882" i="1"/>
  <c r="T1883" i="1"/>
  <c r="U1883" i="1"/>
  <c r="T1884" i="1"/>
  <c r="U1884" i="1"/>
  <c r="T1885" i="1"/>
  <c r="U1885" i="1"/>
  <c r="T1886" i="1"/>
  <c r="U1886" i="1"/>
  <c r="T1887" i="1"/>
  <c r="U1887" i="1"/>
  <c r="T1888" i="1"/>
  <c r="U1888" i="1"/>
  <c r="T1889" i="1"/>
  <c r="U1889" i="1"/>
  <c r="T1890" i="1"/>
  <c r="U1890" i="1"/>
  <c r="T1891" i="1"/>
  <c r="U1891" i="1"/>
  <c r="T1892" i="1"/>
  <c r="U1892" i="1"/>
  <c r="T1893" i="1"/>
  <c r="U1893" i="1"/>
  <c r="T1894" i="1"/>
  <c r="U1894" i="1"/>
  <c r="T1895" i="1"/>
  <c r="U1895" i="1"/>
  <c r="T1896" i="1"/>
  <c r="U1896" i="1"/>
  <c r="T1897" i="1"/>
  <c r="U1897" i="1"/>
  <c r="T1898" i="1"/>
  <c r="U1898" i="1"/>
  <c r="T1899" i="1"/>
  <c r="U1899" i="1"/>
  <c r="T1900" i="1"/>
  <c r="U1900" i="1"/>
  <c r="T1901" i="1"/>
  <c r="U1901" i="1"/>
  <c r="T1902" i="1"/>
  <c r="U1902" i="1"/>
  <c r="T1903" i="1"/>
  <c r="U1903" i="1"/>
  <c r="T1904" i="1"/>
  <c r="U1904" i="1"/>
  <c r="T1905" i="1"/>
  <c r="U1905" i="1"/>
  <c r="T1906" i="1"/>
  <c r="U1906" i="1"/>
  <c r="T1907" i="1"/>
  <c r="U1907" i="1"/>
  <c r="T1908" i="1"/>
  <c r="U1908" i="1"/>
  <c r="T1909" i="1"/>
  <c r="U1909" i="1"/>
  <c r="T1910" i="1"/>
  <c r="U1910" i="1"/>
  <c r="T1911" i="1"/>
  <c r="U1911" i="1"/>
  <c r="T1912" i="1"/>
  <c r="U1912" i="1"/>
  <c r="T1913" i="1"/>
  <c r="U1913" i="1"/>
  <c r="T1914" i="1"/>
  <c r="U1914" i="1"/>
  <c r="T1915" i="1"/>
  <c r="U1915" i="1"/>
  <c r="T1916" i="1"/>
  <c r="U1916" i="1"/>
  <c r="T1917" i="1"/>
  <c r="U1917" i="1"/>
  <c r="T1918" i="1"/>
  <c r="U1918" i="1"/>
  <c r="T1919" i="1"/>
  <c r="U1919" i="1"/>
  <c r="T1920" i="1"/>
  <c r="U1920" i="1"/>
  <c r="T1921" i="1"/>
  <c r="U1921" i="1"/>
  <c r="T1922" i="1"/>
  <c r="U1922" i="1"/>
  <c r="T1923" i="1"/>
  <c r="U1923" i="1"/>
  <c r="T1924" i="1"/>
  <c r="U1924" i="1"/>
  <c r="T1925" i="1"/>
  <c r="U1925" i="1"/>
  <c r="T1926" i="1"/>
  <c r="U1926" i="1"/>
  <c r="T1927" i="1"/>
  <c r="U1927" i="1"/>
  <c r="T1928" i="1"/>
  <c r="U1928" i="1"/>
  <c r="T1929" i="1"/>
  <c r="U1929" i="1"/>
  <c r="T1930" i="1"/>
  <c r="U1930" i="1"/>
  <c r="T1931" i="1"/>
  <c r="U1931" i="1"/>
  <c r="T1932" i="1"/>
  <c r="U1932" i="1"/>
  <c r="T1933" i="1"/>
  <c r="U1933" i="1"/>
  <c r="T1934" i="1"/>
  <c r="U1934" i="1"/>
  <c r="T1935" i="1"/>
  <c r="U1935" i="1"/>
  <c r="T1936" i="1"/>
  <c r="U1936" i="1"/>
  <c r="T1937" i="1"/>
  <c r="U1937" i="1"/>
  <c r="T1938" i="1"/>
  <c r="U1938" i="1"/>
  <c r="T1939" i="1"/>
  <c r="U1939" i="1"/>
  <c r="T1940" i="1"/>
  <c r="U1940" i="1"/>
  <c r="T1941" i="1"/>
  <c r="U1941" i="1"/>
  <c r="T1942" i="1"/>
  <c r="U1942" i="1"/>
  <c r="T1943" i="1"/>
  <c r="U1943" i="1"/>
  <c r="T1944" i="1"/>
  <c r="U1944" i="1"/>
  <c r="T1945" i="1"/>
  <c r="U1945" i="1"/>
  <c r="T1946" i="1"/>
  <c r="U1946" i="1"/>
  <c r="T1947" i="1"/>
  <c r="U1947" i="1"/>
  <c r="T1948" i="1"/>
  <c r="U1948" i="1"/>
  <c r="T1949" i="1"/>
  <c r="U1949" i="1"/>
  <c r="T1950" i="1"/>
  <c r="U1950" i="1"/>
  <c r="T1951" i="1"/>
  <c r="U1951" i="1"/>
  <c r="T1952" i="1"/>
  <c r="U1952" i="1"/>
  <c r="T1953" i="1"/>
  <c r="U1953" i="1"/>
  <c r="T1954" i="1"/>
  <c r="U1954" i="1"/>
  <c r="T1955" i="1"/>
  <c r="U1955" i="1"/>
  <c r="T1956" i="1"/>
  <c r="U1956" i="1"/>
  <c r="T1957" i="1"/>
  <c r="U1957" i="1"/>
  <c r="T1958" i="1"/>
  <c r="U1958" i="1"/>
  <c r="T1959" i="1"/>
  <c r="U1959" i="1"/>
  <c r="T1960" i="1"/>
  <c r="U1960" i="1"/>
  <c r="T1961" i="1"/>
  <c r="U1961" i="1"/>
  <c r="T1962" i="1"/>
  <c r="U1962" i="1"/>
  <c r="T1963" i="1"/>
  <c r="U1963" i="1"/>
  <c r="T1964" i="1"/>
  <c r="U1964" i="1"/>
  <c r="T1965" i="1"/>
  <c r="U1965" i="1"/>
  <c r="T1966" i="1"/>
  <c r="U1966" i="1"/>
  <c r="T1967" i="1"/>
  <c r="U1967" i="1"/>
  <c r="T1968" i="1"/>
  <c r="U1968" i="1"/>
  <c r="T1969" i="1"/>
  <c r="U1969" i="1"/>
  <c r="T1970" i="1"/>
  <c r="U1970" i="1"/>
  <c r="T1971" i="1"/>
  <c r="U1971" i="1"/>
  <c r="T1972" i="1"/>
  <c r="U1972" i="1"/>
  <c r="T1973" i="1"/>
  <c r="U1973" i="1"/>
  <c r="T1974" i="1"/>
  <c r="U1974" i="1"/>
  <c r="T1975" i="1"/>
  <c r="U1975" i="1"/>
  <c r="T1976" i="1"/>
  <c r="U1976" i="1"/>
  <c r="T1977" i="1"/>
  <c r="U1977" i="1"/>
  <c r="T1978" i="1"/>
  <c r="U1978" i="1"/>
  <c r="T1979" i="1"/>
  <c r="U1979" i="1"/>
  <c r="T1980" i="1"/>
  <c r="U1980" i="1"/>
  <c r="T1981" i="1"/>
  <c r="U1981" i="1"/>
  <c r="T1982" i="1"/>
  <c r="U1982" i="1"/>
  <c r="T1983" i="1"/>
  <c r="U1983" i="1"/>
  <c r="T1984" i="1"/>
  <c r="U1984" i="1"/>
  <c r="T1985" i="1"/>
  <c r="U1985" i="1"/>
  <c r="T1986" i="1"/>
  <c r="U1986" i="1"/>
  <c r="T1987" i="1"/>
  <c r="U1987" i="1"/>
  <c r="T1988" i="1"/>
  <c r="U1988" i="1"/>
  <c r="T1989" i="1"/>
  <c r="U1989" i="1"/>
  <c r="T1990" i="1"/>
  <c r="U1990" i="1"/>
  <c r="T1991" i="1"/>
  <c r="U1991" i="1"/>
  <c r="T1992" i="1"/>
  <c r="U1992" i="1"/>
  <c r="T1993" i="1"/>
  <c r="U1993" i="1"/>
  <c r="T1994" i="1"/>
  <c r="U1994" i="1"/>
  <c r="T1995" i="1"/>
  <c r="U1995" i="1"/>
  <c r="T1996" i="1"/>
  <c r="U1996" i="1"/>
  <c r="T1997" i="1"/>
  <c r="U1997" i="1"/>
  <c r="T1998" i="1"/>
  <c r="U1998" i="1"/>
  <c r="T1999" i="1"/>
  <c r="U1999" i="1"/>
  <c r="T2000" i="1"/>
  <c r="U2000" i="1"/>
  <c r="T2001" i="1"/>
  <c r="U2001" i="1"/>
  <c r="T2002" i="1"/>
  <c r="U2002" i="1"/>
  <c r="T2003" i="1"/>
  <c r="U2003" i="1"/>
  <c r="T2004" i="1"/>
  <c r="U2004" i="1"/>
  <c r="T2005" i="1"/>
  <c r="U2005" i="1"/>
  <c r="T2006" i="1"/>
  <c r="U2006" i="1"/>
  <c r="T2007" i="1"/>
  <c r="U2007" i="1"/>
  <c r="T2008" i="1"/>
  <c r="U2008" i="1"/>
  <c r="T2009" i="1"/>
  <c r="U2009" i="1"/>
  <c r="T2010" i="1"/>
  <c r="U2010" i="1"/>
  <c r="T2011" i="1"/>
  <c r="U2011" i="1"/>
  <c r="T2012" i="1"/>
  <c r="U2012" i="1"/>
  <c r="T2013" i="1"/>
  <c r="U2013" i="1"/>
  <c r="T2014" i="1"/>
  <c r="U2014" i="1"/>
  <c r="T2015" i="1"/>
  <c r="U2015" i="1"/>
  <c r="T2016" i="1"/>
  <c r="U2016" i="1"/>
  <c r="T2017" i="1"/>
  <c r="U2017" i="1"/>
  <c r="T2018" i="1"/>
  <c r="U2018" i="1"/>
  <c r="T2019" i="1"/>
  <c r="U2019" i="1"/>
  <c r="T2020" i="1"/>
  <c r="U2020" i="1"/>
  <c r="T2021" i="1"/>
  <c r="U2021" i="1"/>
  <c r="T2022" i="1"/>
  <c r="U2022" i="1"/>
  <c r="T2023" i="1"/>
  <c r="U2023" i="1"/>
  <c r="T2024" i="1"/>
  <c r="U2024" i="1"/>
  <c r="T2025" i="1"/>
  <c r="U2025" i="1"/>
  <c r="T2026" i="1"/>
  <c r="U2026" i="1"/>
  <c r="T2027" i="1"/>
  <c r="U2027" i="1"/>
  <c r="T2028" i="1"/>
  <c r="U2028" i="1"/>
  <c r="T2029" i="1"/>
  <c r="U2029" i="1"/>
  <c r="T2030" i="1"/>
  <c r="U2030" i="1"/>
  <c r="T2031" i="1"/>
  <c r="U2031" i="1"/>
  <c r="T2032" i="1"/>
  <c r="U2032" i="1"/>
  <c r="T2033" i="1"/>
  <c r="U2033" i="1"/>
  <c r="T2034" i="1"/>
  <c r="U2034" i="1"/>
  <c r="T2035" i="1"/>
  <c r="U2035" i="1"/>
  <c r="T2036" i="1"/>
  <c r="U2036" i="1"/>
  <c r="T2037" i="1"/>
  <c r="U2037" i="1"/>
  <c r="T2038" i="1"/>
  <c r="U2038" i="1"/>
  <c r="T2039" i="1"/>
  <c r="U2039" i="1"/>
  <c r="T2040" i="1"/>
  <c r="U2040" i="1"/>
  <c r="T2041" i="1"/>
  <c r="U2041" i="1"/>
  <c r="T2042" i="1"/>
  <c r="U2042" i="1"/>
  <c r="T2043" i="1"/>
  <c r="U2043" i="1"/>
  <c r="T2044" i="1"/>
  <c r="U2044" i="1"/>
  <c r="T2045" i="1"/>
  <c r="U2045" i="1"/>
  <c r="T2046" i="1"/>
  <c r="U2046" i="1"/>
  <c r="T2047" i="1"/>
  <c r="U2047" i="1"/>
  <c r="T2048" i="1"/>
  <c r="U2048" i="1"/>
  <c r="T2049" i="1"/>
  <c r="U2049" i="1"/>
  <c r="T2050" i="1"/>
  <c r="U2050" i="1"/>
  <c r="T2051" i="1"/>
  <c r="U2051" i="1"/>
  <c r="T2052" i="1"/>
  <c r="U2052" i="1"/>
  <c r="T2053" i="1"/>
  <c r="U2053" i="1"/>
  <c r="T2054" i="1"/>
  <c r="U2054" i="1"/>
  <c r="T2055" i="1"/>
  <c r="U2055" i="1"/>
  <c r="T2056" i="1"/>
  <c r="U2056" i="1"/>
  <c r="T2057" i="1"/>
  <c r="U2057" i="1"/>
  <c r="T2058" i="1"/>
  <c r="U2058" i="1"/>
  <c r="T2059" i="1"/>
  <c r="U2059" i="1"/>
  <c r="T2060" i="1"/>
  <c r="U2060" i="1"/>
  <c r="T2061" i="1"/>
  <c r="U2061" i="1"/>
  <c r="T2062" i="1"/>
  <c r="U2062" i="1"/>
  <c r="T2063" i="1"/>
  <c r="U2063" i="1"/>
  <c r="T2064" i="1"/>
  <c r="U2064" i="1"/>
  <c r="T2065" i="1"/>
  <c r="U2065" i="1"/>
  <c r="T2066" i="1"/>
  <c r="U2066" i="1"/>
  <c r="T2067" i="1"/>
  <c r="U2067" i="1"/>
  <c r="T2068" i="1"/>
  <c r="U2068" i="1"/>
  <c r="T2069" i="1"/>
  <c r="U2069" i="1"/>
  <c r="T2070" i="1"/>
  <c r="U2070" i="1"/>
  <c r="T2071" i="1"/>
  <c r="U2071" i="1"/>
  <c r="T2072" i="1"/>
  <c r="U2072" i="1"/>
  <c r="T2073" i="1"/>
  <c r="U2073" i="1"/>
  <c r="T2074" i="1"/>
  <c r="U2074" i="1"/>
  <c r="T2075" i="1"/>
  <c r="U2075" i="1"/>
  <c r="T2076" i="1"/>
  <c r="U2076" i="1"/>
  <c r="T2077" i="1"/>
  <c r="U2077" i="1"/>
  <c r="T2078" i="1"/>
  <c r="U2078" i="1"/>
  <c r="T2079" i="1"/>
  <c r="U2079" i="1"/>
  <c r="T2080" i="1"/>
  <c r="U2080" i="1"/>
  <c r="T2081" i="1"/>
  <c r="U2081" i="1"/>
  <c r="T2082" i="1"/>
  <c r="U2082" i="1"/>
  <c r="T2083" i="1"/>
  <c r="U2083" i="1"/>
  <c r="T2084" i="1"/>
  <c r="U2084" i="1"/>
  <c r="T2085" i="1"/>
  <c r="U2085" i="1"/>
  <c r="T2086" i="1"/>
  <c r="U2086" i="1"/>
  <c r="T2087" i="1"/>
  <c r="U2087" i="1"/>
  <c r="T2088" i="1"/>
  <c r="U2088" i="1"/>
  <c r="T2089" i="1"/>
  <c r="U2089" i="1"/>
  <c r="T2090" i="1"/>
  <c r="U2090" i="1"/>
  <c r="T2091" i="1"/>
  <c r="U2091" i="1"/>
  <c r="T2092" i="1"/>
  <c r="U2092" i="1"/>
  <c r="T2093" i="1"/>
  <c r="U2093" i="1"/>
  <c r="T2094" i="1"/>
  <c r="U2094" i="1"/>
  <c r="T2095" i="1"/>
  <c r="U2095" i="1"/>
  <c r="T2096" i="1"/>
  <c r="U2096" i="1"/>
  <c r="T2097" i="1"/>
  <c r="U2097" i="1"/>
  <c r="T2098" i="1"/>
  <c r="U2098" i="1"/>
  <c r="T2099" i="1"/>
  <c r="U2099" i="1"/>
  <c r="T2100" i="1"/>
  <c r="U2100" i="1"/>
  <c r="T2101" i="1"/>
  <c r="U2101" i="1"/>
  <c r="T2102" i="1"/>
  <c r="U2102" i="1"/>
  <c r="T2103" i="1"/>
  <c r="U2103" i="1"/>
  <c r="T2104" i="1"/>
  <c r="U2104" i="1"/>
  <c r="T2105" i="1"/>
  <c r="U2105" i="1"/>
  <c r="T2106" i="1"/>
  <c r="U2106" i="1"/>
  <c r="T2107" i="1"/>
  <c r="U2107" i="1"/>
  <c r="T2108" i="1"/>
  <c r="U2108" i="1"/>
  <c r="T2109" i="1"/>
  <c r="U2109" i="1"/>
  <c r="T2110" i="1"/>
  <c r="U2110" i="1"/>
  <c r="T2111" i="1"/>
  <c r="U2111" i="1"/>
  <c r="T2112" i="1"/>
  <c r="U2112" i="1"/>
  <c r="T2113" i="1"/>
  <c r="U2113" i="1"/>
  <c r="T2114" i="1"/>
  <c r="U2114" i="1"/>
  <c r="T2115" i="1"/>
  <c r="U2115" i="1"/>
  <c r="T2116" i="1"/>
  <c r="U2116" i="1"/>
  <c r="T2117" i="1"/>
  <c r="U2117" i="1"/>
  <c r="T2118" i="1"/>
  <c r="U2118" i="1"/>
  <c r="T2119" i="1"/>
  <c r="U2119" i="1"/>
  <c r="T2120" i="1"/>
  <c r="U2120" i="1"/>
  <c r="T2121" i="1"/>
  <c r="U2121" i="1"/>
  <c r="T2122" i="1"/>
  <c r="U2122" i="1"/>
  <c r="T2123" i="1"/>
  <c r="U2123" i="1"/>
  <c r="T2124" i="1"/>
  <c r="U2124" i="1"/>
  <c r="T2125" i="1"/>
  <c r="U2125" i="1"/>
  <c r="T2126" i="1"/>
  <c r="U2126" i="1"/>
  <c r="T2127" i="1"/>
  <c r="U2127" i="1"/>
  <c r="T2128" i="1"/>
  <c r="U2128" i="1"/>
  <c r="T2129" i="1"/>
  <c r="U2129" i="1"/>
  <c r="T2130" i="1"/>
  <c r="U2130" i="1"/>
  <c r="T2131" i="1"/>
  <c r="U2131" i="1"/>
  <c r="T2132" i="1"/>
  <c r="U2132" i="1"/>
  <c r="T2133" i="1"/>
  <c r="U2133" i="1"/>
  <c r="T2134" i="1"/>
  <c r="U2134" i="1"/>
  <c r="T2135" i="1"/>
  <c r="U2135" i="1"/>
  <c r="T2136" i="1"/>
  <c r="U2136" i="1"/>
  <c r="T2137" i="1"/>
  <c r="U2137" i="1"/>
  <c r="T2138" i="1"/>
  <c r="U2138" i="1"/>
  <c r="T2139" i="1"/>
  <c r="U2139" i="1"/>
  <c r="T2140" i="1"/>
  <c r="U2140" i="1"/>
  <c r="T2141" i="1"/>
  <c r="U2141" i="1"/>
  <c r="T2142" i="1"/>
  <c r="U2142" i="1"/>
  <c r="T2143" i="1"/>
  <c r="U2143" i="1"/>
  <c r="T2144" i="1"/>
  <c r="U2144" i="1"/>
  <c r="T2145" i="1"/>
  <c r="U2145" i="1"/>
  <c r="T2146" i="1"/>
  <c r="U2146" i="1"/>
  <c r="T2147" i="1"/>
  <c r="U2147" i="1"/>
  <c r="T2148" i="1"/>
  <c r="U2148" i="1"/>
  <c r="T2149" i="1"/>
  <c r="U2149" i="1"/>
  <c r="T2150" i="1"/>
  <c r="U2150" i="1"/>
  <c r="T2151" i="1"/>
  <c r="U2151" i="1"/>
  <c r="T2152" i="1"/>
  <c r="U2152" i="1"/>
  <c r="T2153" i="1"/>
  <c r="U2153" i="1"/>
  <c r="T2154" i="1"/>
  <c r="U2154" i="1"/>
  <c r="T2155" i="1"/>
  <c r="U2155" i="1"/>
  <c r="T2156" i="1"/>
  <c r="U2156" i="1"/>
  <c r="T2157" i="1"/>
  <c r="U2157" i="1"/>
  <c r="T2158" i="1"/>
  <c r="U2158" i="1"/>
  <c r="T2159" i="1"/>
  <c r="U2159" i="1"/>
  <c r="T2160" i="1"/>
  <c r="U2160" i="1"/>
  <c r="T2161" i="1"/>
  <c r="U2161" i="1"/>
  <c r="T2162" i="1"/>
  <c r="U2162" i="1"/>
  <c r="T2163" i="1"/>
  <c r="U2163" i="1"/>
  <c r="T2164" i="1"/>
  <c r="U2164" i="1"/>
  <c r="T2165" i="1"/>
  <c r="U2165" i="1"/>
  <c r="T2166" i="1"/>
  <c r="U2166" i="1"/>
  <c r="T2167" i="1"/>
  <c r="U2167" i="1"/>
  <c r="T2168" i="1"/>
  <c r="U2168" i="1"/>
  <c r="T2169" i="1"/>
  <c r="U2169" i="1"/>
  <c r="T2170" i="1"/>
  <c r="U2170" i="1"/>
  <c r="T2171" i="1"/>
  <c r="U2171" i="1"/>
  <c r="T2172" i="1"/>
  <c r="U2172" i="1"/>
  <c r="T2173" i="1"/>
  <c r="U2173" i="1"/>
  <c r="T2174" i="1"/>
  <c r="U2174" i="1"/>
  <c r="T2175" i="1"/>
  <c r="U2175" i="1"/>
  <c r="T2176" i="1"/>
  <c r="U2176" i="1"/>
  <c r="T2177" i="1"/>
  <c r="U2177" i="1"/>
  <c r="T2178" i="1"/>
  <c r="U2178" i="1"/>
  <c r="T2179" i="1"/>
  <c r="U2179" i="1"/>
  <c r="T2180" i="1"/>
  <c r="U2180" i="1"/>
  <c r="T2181" i="1"/>
  <c r="U2181" i="1"/>
  <c r="T2182" i="1"/>
  <c r="U2182" i="1"/>
  <c r="T2183" i="1"/>
  <c r="U2183" i="1"/>
  <c r="T2184" i="1"/>
  <c r="U2184" i="1"/>
  <c r="T2185" i="1"/>
  <c r="U2185" i="1"/>
  <c r="T2186" i="1"/>
  <c r="U2186" i="1"/>
  <c r="T2187" i="1"/>
  <c r="U2187" i="1"/>
  <c r="T2188" i="1"/>
  <c r="U2188" i="1"/>
  <c r="T2189" i="1"/>
  <c r="U2189" i="1"/>
  <c r="T2190" i="1"/>
  <c r="U2190" i="1"/>
  <c r="T2191" i="1"/>
  <c r="U2191" i="1"/>
  <c r="T2192" i="1"/>
  <c r="U2192" i="1"/>
  <c r="T2193" i="1"/>
  <c r="U2193" i="1"/>
  <c r="T2194" i="1"/>
  <c r="U2194" i="1"/>
  <c r="T2195" i="1"/>
  <c r="U2195" i="1"/>
  <c r="T2196" i="1"/>
  <c r="U2196" i="1"/>
  <c r="T2197" i="1"/>
  <c r="U2197" i="1"/>
  <c r="T2198" i="1"/>
  <c r="U2198" i="1"/>
  <c r="T2199" i="1"/>
  <c r="U2199" i="1"/>
  <c r="T2200" i="1"/>
  <c r="U2200" i="1"/>
  <c r="T2201" i="1"/>
  <c r="U2201" i="1"/>
  <c r="T2202" i="1"/>
  <c r="U2202" i="1"/>
  <c r="T2203" i="1"/>
  <c r="U2203" i="1"/>
  <c r="T2204" i="1"/>
  <c r="U2204" i="1"/>
  <c r="T2205" i="1"/>
  <c r="U2205" i="1"/>
  <c r="T2206" i="1"/>
  <c r="U2206" i="1"/>
  <c r="T2207" i="1"/>
  <c r="U2207" i="1"/>
  <c r="T2208" i="1"/>
  <c r="U2208" i="1"/>
  <c r="T2209" i="1"/>
  <c r="U2209" i="1"/>
  <c r="T2210" i="1"/>
  <c r="U2210" i="1"/>
  <c r="T2211" i="1"/>
  <c r="U2211" i="1"/>
  <c r="T2212" i="1"/>
  <c r="U2212" i="1"/>
  <c r="T2213" i="1"/>
  <c r="U2213" i="1"/>
  <c r="T2214" i="1"/>
  <c r="U2214" i="1"/>
  <c r="T2215" i="1"/>
  <c r="U2215" i="1"/>
  <c r="T2216" i="1"/>
  <c r="U2216" i="1"/>
  <c r="T2217" i="1"/>
  <c r="U2217" i="1"/>
  <c r="T2218" i="1"/>
  <c r="U2218" i="1"/>
  <c r="T2219" i="1"/>
  <c r="U2219" i="1"/>
  <c r="T2220" i="1"/>
  <c r="U2220" i="1"/>
  <c r="T2221" i="1"/>
  <c r="U2221" i="1"/>
  <c r="T2222" i="1"/>
  <c r="U2222" i="1"/>
  <c r="T2223" i="1"/>
  <c r="U2223" i="1"/>
  <c r="T2224" i="1"/>
  <c r="U2224" i="1"/>
  <c r="T2225" i="1"/>
  <c r="U2225" i="1"/>
  <c r="T2226" i="1"/>
  <c r="U2226" i="1"/>
  <c r="T2227" i="1"/>
  <c r="U2227" i="1"/>
  <c r="T2228" i="1"/>
  <c r="U2228" i="1"/>
  <c r="T2229" i="1"/>
  <c r="U2229" i="1"/>
  <c r="T2230" i="1"/>
  <c r="U2230" i="1"/>
  <c r="T2231" i="1"/>
  <c r="U2231" i="1"/>
  <c r="T2232" i="1"/>
  <c r="U2232" i="1"/>
  <c r="T2233" i="1"/>
  <c r="U2233" i="1"/>
  <c r="T2234" i="1"/>
  <c r="U2234" i="1"/>
  <c r="T2235" i="1"/>
  <c r="U2235" i="1"/>
  <c r="T2236" i="1"/>
  <c r="U2236" i="1"/>
  <c r="T2237" i="1"/>
  <c r="U2237" i="1"/>
  <c r="T2238" i="1"/>
  <c r="U2238" i="1"/>
  <c r="T2239" i="1"/>
  <c r="U2239" i="1"/>
  <c r="T2240" i="1"/>
  <c r="U2240" i="1"/>
  <c r="T2241" i="1"/>
  <c r="U2241" i="1"/>
  <c r="T2242" i="1"/>
  <c r="U2242" i="1"/>
  <c r="T2243" i="1"/>
  <c r="U2243" i="1"/>
  <c r="T2244" i="1"/>
  <c r="U2244" i="1"/>
  <c r="T2245" i="1"/>
  <c r="U2245" i="1"/>
  <c r="T2246" i="1"/>
  <c r="U2246" i="1"/>
  <c r="T2247" i="1"/>
  <c r="U2247" i="1"/>
  <c r="T2248" i="1"/>
  <c r="U2248" i="1"/>
  <c r="T2249" i="1"/>
  <c r="U2249" i="1"/>
  <c r="T2250" i="1"/>
  <c r="U2250" i="1"/>
  <c r="T2251" i="1"/>
  <c r="U2251" i="1"/>
  <c r="T2252" i="1"/>
  <c r="U2252" i="1"/>
  <c r="T2253" i="1"/>
  <c r="U2253" i="1"/>
  <c r="T2254" i="1"/>
  <c r="U2254" i="1"/>
  <c r="T2255" i="1"/>
  <c r="U2255" i="1"/>
  <c r="T2256" i="1"/>
  <c r="U2256" i="1"/>
  <c r="T2257" i="1"/>
  <c r="U2257" i="1"/>
  <c r="T2258" i="1"/>
  <c r="U2258" i="1"/>
  <c r="T2259" i="1"/>
  <c r="U2259" i="1"/>
  <c r="T2260" i="1"/>
  <c r="U2260" i="1"/>
  <c r="T2261" i="1"/>
  <c r="U2261" i="1"/>
  <c r="T2262" i="1"/>
  <c r="U2262" i="1"/>
  <c r="T2263" i="1"/>
  <c r="U2263" i="1"/>
  <c r="T2264" i="1"/>
  <c r="U2264" i="1"/>
  <c r="T2265" i="1"/>
  <c r="U2265" i="1"/>
  <c r="T2266" i="1"/>
  <c r="U2266" i="1"/>
  <c r="T2267" i="1"/>
  <c r="U2267" i="1"/>
  <c r="T2268" i="1"/>
  <c r="U2268" i="1"/>
  <c r="T2269" i="1"/>
  <c r="U2269" i="1"/>
  <c r="T2270" i="1"/>
  <c r="U2270" i="1"/>
  <c r="T2271" i="1"/>
  <c r="U2271" i="1"/>
  <c r="T2272" i="1"/>
  <c r="U2272" i="1"/>
  <c r="T2273" i="1"/>
  <c r="U2273" i="1"/>
  <c r="T2274" i="1"/>
  <c r="U2274" i="1"/>
  <c r="T2275" i="1"/>
  <c r="U2275" i="1"/>
  <c r="T2276" i="1"/>
  <c r="U2276" i="1"/>
  <c r="T2277" i="1"/>
  <c r="U2277" i="1"/>
  <c r="T2278" i="1"/>
  <c r="U2278" i="1"/>
  <c r="T2279" i="1"/>
  <c r="U2279" i="1"/>
  <c r="T2280" i="1"/>
  <c r="U2280" i="1"/>
  <c r="T2281" i="1"/>
  <c r="U2281" i="1"/>
  <c r="T2282" i="1"/>
  <c r="U2282" i="1"/>
  <c r="T2283" i="1"/>
  <c r="U2283" i="1"/>
  <c r="T2284" i="1"/>
  <c r="U2284" i="1"/>
  <c r="T2285" i="1"/>
  <c r="U2285" i="1"/>
  <c r="T2286" i="1"/>
  <c r="U2286" i="1"/>
  <c r="T2287" i="1"/>
  <c r="U2287" i="1"/>
  <c r="T2288" i="1"/>
  <c r="U2288" i="1"/>
  <c r="T2289" i="1"/>
  <c r="U2289" i="1"/>
  <c r="T2290" i="1"/>
  <c r="U2290" i="1"/>
  <c r="T2291" i="1"/>
  <c r="U2291" i="1"/>
  <c r="T2292" i="1"/>
  <c r="U2292" i="1"/>
  <c r="T2293" i="1"/>
  <c r="U2293" i="1"/>
  <c r="T2294" i="1"/>
  <c r="U2294" i="1"/>
  <c r="T2295" i="1"/>
  <c r="U2295" i="1"/>
  <c r="T2296" i="1"/>
  <c r="U2296" i="1"/>
  <c r="T2297" i="1"/>
  <c r="U2297" i="1"/>
  <c r="T2298" i="1"/>
  <c r="U2298" i="1"/>
  <c r="T2299" i="1"/>
  <c r="U2299" i="1"/>
  <c r="T2300" i="1"/>
  <c r="U2300" i="1"/>
  <c r="T2301" i="1"/>
  <c r="U2301" i="1"/>
  <c r="T2302" i="1"/>
  <c r="U2302" i="1"/>
  <c r="T2303" i="1"/>
  <c r="U2303" i="1"/>
  <c r="T2304" i="1"/>
  <c r="U2304" i="1"/>
  <c r="T2305" i="1"/>
  <c r="U2305" i="1"/>
  <c r="T2306" i="1"/>
  <c r="U2306" i="1"/>
  <c r="T2307" i="1"/>
  <c r="U2307" i="1"/>
  <c r="T2308" i="1"/>
  <c r="U2308" i="1"/>
  <c r="T2309" i="1"/>
  <c r="U2309" i="1"/>
  <c r="T2310" i="1"/>
  <c r="U2310" i="1"/>
  <c r="T2311" i="1"/>
  <c r="U2311" i="1"/>
  <c r="T2312" i="1"/>
  <c r="U2312" i="1"/>
  <c r="T2313" i="1"/>
  <c r="U2313" i="1"/>
  <c r="T2314" i="1"/>
  <c r="U2314" i="1"/>
  <c r="T2315" i="1"/>
  <c r="U2315" i="1"/>
  <c r="T2316" i="1"/>
  <c r="U2316" i="1"/>
  <c r="T2317" i="1"/>
  <c r="U2317" i="1"/>
  <c r="T2318" i="1"/>
  <c r="U2318" i="1"/>
  <c r="T2319" i="1"/>
  <c r="U2319" i="1"/>
  <c r="T2320" i="1"/>
  <c r="U2320" i="1"/>
  <c r="T2321" i="1"/>
  <c r="U2321" i="1"/>
  <c r="T2322" i="1"/>
  <c r="U2322" i="1"/>
  <c r="T2323" i="1"/>
  <c r="U2323" i="1"/>
  <c r="T2324" i="1"/>
  <c r="U2324" i="1"/>
  <c r="T2325" i="1"/>
  <c r="U2325" i="1"/>
  <c r="T2326" i="1"/>
  <c r="U2326" i="1"/>
  <c r="T2327" i="1"/>
  <c r="U2327" i="1"/>
  <c r="T2328" i="1"/>
  <c r="U2328" i="1"/>
  <c r="T2329" i="1"/>
  <c r="U2329" i="1"/>
  <c r="T2330" i="1"/>
  <c r="U2330" i="1"/>
  <c r="T2331" i="1"/>
  <c r="U2331" i="1"/>
  <c r="T2332" i="1"/>
  <c r="U2332" i="1"/>
  <c r="T2333" i="1"/>
  <c r="U2333" i="1"/>
  <c r="T2334" i="1"/>
  <c r="U2334" i="1"/>
  <c r="T2335" i="1"/>
  <c r="U2335" i="1"/>
  <c r="T2336" i="1"/>
  <c r="U2336" i="1"/>
  <c r="T2337" i="1"/>
  <c r="U2337" i="1"/>
  <c r="T2338" i="1"/>
  <c r="U2338" i="1"/>
  <c r="T2339" i="1"/>
  <c r="U2339" i="1"/>
  <c r="T2340" i="1"/>
  <c r="U2340" i="1"/>
  <c r="T2341" i="1"/>
  <c r="U2341" i="1"/>
  <c r="T2342" i="1"/>
  <c r="U2342" i="1"/>
  <c r="T2343" i="1"/>
  <c r="U2343" i="1"/>
  <c r="T2344" i="1"/>
  <c r="U2344" i="1"/>
  <c r="T2345" i="1"/>
  <c r="U2345" i="1"/>
  <c r="T2346" i="1"/>
  <c r="U2346" i="1"/>
  <c r="T2347" i="1"/>
  <c r="U2347" i="1"/>
  <c r="T2348" i="1"/>
  <c r="U2348" i="1"/>
  <c r="T2349" i="1"/>
  <c r="U2349" i="1"/>
  <c r="T2350" i="1"/>
  <c r="U2350" i="1"/>
  <c r="T2351" i="1"/>
  <c r="U2351" i="1"/>
  <c r="T2352" i="1"/>
  <c r="U2352" i="1"/>
  <c r="T2353" i="1"/>
  <c r="U2353" i="1"/>
  <c r="T2354" i="1"/>
  <c r="U2354" i="1"/>
  <c r="T2355" i="1"/>
  <c r="U2355" i="1"/>
  <c r="T2356" i="1"/>
  <c r="U2356" i="1"/>
  <c r="T2357" i="1"/>
  <c r="U2357" i="1"/>
  <c r="T2358" i="1"/>
  <c r="U2358" i="1"/>
  <c r="T2359" i="1"/>
  <c r="U2359" i="1"/>
  <c r="T2360" i="1"/>
  <c r="U2360" i="1"/>
  <c r="T2361" i="1"/>
  <c r="U2361" i="1"/>
  <c r="T2362" i="1"/>
  <c r="U2362" i="1"/>
  <c r="T2363" i="1"/>
  <c r="U2363" i="1"/>
  <c r="T2364" i="1"/>
  <c r="U2364" i="1"/>
  <c r="T2365" i="1"/>
  <c r="U2365" i="1"/>
  <c r="T2366" i="1"/>
  <c r="U2366" i="1"/>
  <c r="T2367" i="1"/>
  <c r="U2367" i="1"/>
  <c r="T2368" i="1"/>
  <c r="U2368" i="1"/>
  <c r="T2369" i="1"/>
  <c r="U2369" i="1"/>
  <c r="T2370" i="1"/>
  <c r="U2370" i="1"/>
  <c r="T2371" i="1"/>
  <c r="U2371" i="1"/>
  <c r="T2372" i="1"/>
  <c r="U2372" i="1"/>
  <c r="T2373" i="1"/>
  <c r="U2373" i="1"/>
  <c r="T2374" i="1"/>
  <c r="U2374" i="1"/>
  <c r="T2375" i="1"/>
  <c r="U2375" i="1"/>
  <c r="T2376" i="1"/>
  <c r="U2376" i="1"/>
  <c r="T2377" i="1"/>
  <c r="U2377" i="1"/>
  <c r="T2378" i="1"/>
  <c r="U2378" i="1"/>
  <c r="T2379" i="1"/>
  <c r="U2379" i="1"/>
  <c r="T2380" i="1"/>
  <c r="U2380" i="1"/>
  <c r="T2381" i="1"/>
  <c r="U2381" i="1"/>
  <c r="T2382" i="1"/>
  <c r="U2382" i="1"/>
  <c r="T2383" i="1"/>
  <c r="U2383" i="1"/>
  <c r="T2384" i="1"/>
  <c r="U2384" i="1"/>
  <c r="T2385" i="1"/>
  <c r="U2385" i="1"/>
  <c r="T2386" i="1"/>
  <c r="U2386" i="1"/>
  <c r="T2387" i="1"/>
  <c r="U2387" i="1"/>
  <c r="T2388" i="1"/>
  <c r="U2388" i="1"/>
  <c r="T2389" i="1"/>
  <c r="U2389" i="1"/>
  <c r="T2390" i="1"/>
  <c r="U2390" i="1"/>
  <c r="T2391" i="1"/>
  <c r="U2391" i="1"/>
  <c r="T2392" i="1"/>
  <c r="U2392" i="1"/>
  <c r="T2393" i="1"/>
  <c r="U2393" i="1"/>
  <c r="T2394" i="1"/>
  <c r="U2394" i="1"/>
  <c r="T2395" i="1"/>
  <c r="U2395" i="1"/>
  <c r="T2396" i="1"/>
  <c r="U2396" i="1"/>
  <c r="T2397" i="1"/>
  <c r="U2397" i="1"/>
  <c r="T2398" i="1"/>
  <c r="U2398" i="1"/>
  <c r="T2399" i="1"/>
  <c r="U2399" i="1"/>
  <c r="T2400" i="1"/>
  <c r="U2400" i="1"/>
  <c r="T2401" i="1"/>
  <c r="U2401" i="1"/>
  <c r="T2402" i="1"/>
  <c r="U2402" i="1"/>
  <c r="T2403" i="1"/>
  <c r="U2403" i="1"/>
  <c r="T2404" i="1"/>
  <c r="U2404" i="1"/>
  <c r="T2405" i="1"/>
  <c r="U2405" i="1"/>
  <c r="T2406" i="1"/>
  <c r="U2406" i="1"/>
  <c r="T2407" i="1"/>
  <c r="U2407" i="1"/>
  <c r="T2408" i="1"/>
  <c r="U2408" i="1"/>
  <c r="T2409" i="1"/>
  <c r="U2409" i="1"/>
  <c r="T2410" i="1"/>
  <c r="U2410" i="1"/>
  <c r="T2411" i="1"/>
  <c r="U2411" i="1"/>
  <c r="T2412" i="1"/>
  <c r="U2412" i="1"/>
  <c r="T2413" i="1"/>
  <c r="U2413" i="1"/>
  <c r="T2414" i="1"/>
  <c r="U2414" i="1"/>
  <c r="T2415" i="1"/>
  <c r="U2415" i="1"/>
  <c r="T2416" i="1"/>
  <c r="U2416" i="1"/>
  <c r="T2417" i="1"/>
  <c r="U2417" i="1"/>
  <c r="T2418" i="1"/>
  <c r="U2418" i="1"/>
  <c r="T2419" i="1"/>
  <c r="U2419" i="1"/>
  <c r="T2420" i="1"/>
  <c r="U2420" i="1"/>
  <c r="T2421" i="1"/>
  <c r="U2421" i="1"/>
  <c r="T2422" i="1"/>
  <c r="U2422" i="1"/>
  <c r="T2423" i="1"/>
  <c r="U2423" i="1"/>
  <c r="T2424" i="1"/>
  <c r="U2424" i="1"/>
  <c r="T2425" i="1"/>
  <c r="U2425" i="1"/>
  <c r="T2426" i="1"/>
  <c r="U2426" i="1"/>
  <c r="T2427" i="1"/>
  <c r="U2427" i="1"/>
  <c r="T2428" i="1"/>
  <c r="U2428" i="1"/>
  <c r="T2429" i="1"/>
  <c r="U2429" i="1"/>
  <c r="T2430" i="1"/>
  <c r="U2430" i="1"/>
  <c r="T2431" i="1"/>
  <c r="U2431" i="1"/>
  <c r="T2432" i="1"/>
  <c r="U2432" i="1"/>
  <c r="T2433" i="1"/>
  <c r="U2433" i="1"/>
  <c r="T2434" i="1"/>
  <c r="U2434" i="1"/>
  <c r="T2435" i="1"/>
  <c r="U2435" i="1"/>
  <c r="T2436" i="1"/>
  <c r="U2436" i="1"/>
  <c r="T2437" i="1"/>
  <c r="U2437" i="1"/>
  <c r="T2438" i="1"/>
  <c r="U2438" i="1"/>
  <c r="T2439" i="1"/>
  <c r="U2439" i="1"/>
  <c r="T2440" i="1"/>
  <c r="U2440" i="1"/>
  <c r="T2441" i="1"/>
  <c r="U2441" i="1"/>
  <c r="T2442" i="1"/>
  <c r="U2442" i="1"/>
  <c r="T2443" i="1"/>
  <c r="U2443" i="1"/>
  <c r="T2444" i="1"/>
  <c r="U2444" i="1"/>
  <c r="T2445" i="1"/>
  <c r="U2445" i="1"/>
  <c r="T2446" i="1"/>
  <c r="U2446" i="1"/>
  <c r="T2447" i="1"/>
  <c r="U2447" i="1"/>
  <c r="T2448" i="1"/>
  <c r="U2448" i="1"/>
  <c r="T2449" i="1"/>
  <c r="U2449" i="1"/>
  <c r="T2450" i="1"/>
  <c r="U2450" i="1"/>
  <c r="T2451" i="1"/>
  <c r="U2451" i="1"/>
  <c r="T2452" i="1"/>
  <c r="U2452" i="1"/>
  <c r="T2453" i="1"/>
  <c r="U2453" i="1"/>
  <c r="T2454" i="1"/>
  <c r="U2454" i="1"/>
  <c r="T2455" i="1"/>
  <c r="U2455" i="1"/>
  <c r="T2456" i="1"/>
  <c r="U2456" i="1"/>
  <c r="T2457" i="1"/>
  <c r="U2457" i="1"/>
  <c r="T2458" i="1"/>
  <c r="U2458" i="1"/>
  <c r="T2459" i="1"/>
  <c r="U2459" i="1"/>
  <c r="T2460" i="1"/>
  <c r="U2460" i="1"/>
  <c r="T2461" i="1"/>
  <c r="U2461" i="1"/>
  <c r="T2462" i="1"/>
  <c r="U2462" i="1"/>
  <c r="T2463" i="1"/>
  <c r="U2463" i="1"/>
  <c r="T2464" i="1"/>
  <c r="U2464" i="1"/>
  <c r="T2465" i="1"/>
  <c r="U2465" i="1"/>
  <c r="T2466" i="1"/>
  <c r="U2466" i="1"/>
  <c r="T2467" i="1"/>
  <c r="U2467" i="1"/>
  <c r="T2468" i="1"/>
  <c r="U2468" i="1"/>
  <c r="T2469" i="1"/>
  <c r="U2469" i="1"/>
  <c r="T2470" i="1"/>
  <c r="U2470" i="1"/>
  <c r="T2471" i="1"/>
  <c r="U2471" i="1"/>
  <c r="T2472" i="1"/>
  <c r="U2472" i="1"/>
  <c r="T2473" i="1"/>
  <c r="U2473" i="1"/>
  <c r="T2474" i="1"/>
  <c r="U2474" i="1"/>
  <c r="T2475" i="1"/>
  <c r="U2475" i="1"/>
  <c r="T2476" i="1"/>
  <c r="U2476" i="1"/>
  <c r="T2477" i="1"/>
  <c r="U2477" i="1"/>
  <c r="T2478" i="1"/>
  <c r="U2478" i="1"/>
  <c r="T2479" i="1"/>
  <c r="U2479" i="1"/>
  <c r="T2480" i="1"/>
  <c r="U2480" i="1"/>
  <c r="T2481" i="1"/>
  <c r="U2481" i="1"/>
  <c r="T2482" i="1"/>
  <c r="U2482" i="1"/>
  <c r="T2483" i="1"/>
  <c r="U2483" i="1"/>
  <c r="T2484" i="1"/>
  <c r="U2484" i="1"/>
  <c r="T2485" i="1"/>
  <c r="U2485" i="1"/>
  <c r="T2486" i="1"/>
  <c r="U2486" i="1"/>
  <c r="T2487" i="1"/>
  <c r="U2487" i="1"/>
  <c r="T2488" i="1"/>
  <c r="U2488" i="1"/>
  <c r="T2489" i="1"/>
  <c r="U2489" i="1"/>
  <c r="T2490" i="1"/>
  <c r="U2490" i="1"/>
  <c r="T2491" i="1"/>
  <c r="U2491" i="1"/>
  <c r="T2492" i="1"/>
  <c r="U2492" i="1"/>
  <c r="T2493" i="1"/>
  <c r="U2493" i="1"/>
  <c r="T2494" i="1"/>
  <c r="U2494" i="1"/>
  <c r="T2495" i="1"/>
  <c r="U2495" i="1"/>
  <c r="T2496" i="1"/>
  <c r="U2496" i="1"/>
  <c r="T2497" i="1"/>
  <c r="U2497" i="1"/>
  <c r="T2498" i="1"/>
  <c r="U2498" i="1"/>
  <c r="T2499" i="1"/>
  <c r="U2499" i="1"/>
  <c r="T2500" i="1"/>
  <c r="U2500" i="1"/>
  <c r="T2501" i="1"/>
  <c r="U2501" i="1"/>
  <c r="T2502" i="1"/>
  <c r="U2502" i="1"/>
  <c r="T2503" i="1"/>
  <c r="U2503" i="1"/>
  <c r="T2504" i="1"/>
  <c r="U2504" i="1"/>
  <c r="T2505" i="1"/>
  <c r="U2505" i="1"/>
  <c r="T2506" i="1"/>
  <c r="U2506" i="1"/>
  <c r="T2507" i="1"/>
  <c r="U2507" i="1"/>
  <c r="T2508" i="1"/>
  <c r="U2508" i="1"/>
  <c r="T2509" i="1"/>
  <c r="U2509" i="1"/>
  <c r="T2510" i="1"/>
  <c r="U2510" i="1"/>
  <c r="T2511" i="1"/>
  <c r="U2511" i="1"/>
  <c r="T2512" i="1"/>
  <c r="U2512" i="1"/>
  <c r="T2513" i="1"/>
  <c r="U2513" i="1"/>
  <c r="T2514" i="1"/>
  <c r="U2514" i="1"/>
  <c r="T2515" i="1"/>
  <c r="U2515" i="1"/>
  <c r="T2516" i="1"/>
  <c r="U2516" i="1"/>
  <c r="T2517" i="1"/>
  <c r="U2517" i="1"/>
  <c r="T2518" i="1"/>
  <c r="U2518" i="1"/>
  <c r="T2519" i="1"/>
  <c r="U2519" i="1"/>
  <c r="T2520" i="1"/>
  <c r="U2520" i="1"/>
  <c r="T2521" i="1"/>
  <c r="U2521" i="1"/>
  <c r="T2522" i="1"/>
  <c r="U2522" i="1"/>
  <c r="T2523" i="1"/>
  <c r="U2523" i="1"/>
  <c r="T2524" i="1"/>
  <c r="U2524" i="1"/>
  <c r="T2525" i="1"/>
  <c r="U2525" i="1"/>
  <c r="T2526" i="1"/>
  <c r="U2526" i="1"/>
  <c r="T2527" i="1"/>
  <c r="U2527" i="1"/>
  <c r="T2528" i="1"/>
  <c r="U2528" i="1"/>
  <c r="T2529" i="1"/>
  <c r="U2529" i="1"/>
  <c r="T2530" i="1"/>
  <c r="U2530" i="1"/>
  <c r="T2531" i="1"/>
  <c r="U2531" i="1"/>
  <c r="T2532" i="1"/>
  <c r="U2532" i="1"/>
  <c r="T2533" i="1"/>
  <c r="U2533" i="1"/>
  <c r="T2534" i="1"/>
  <c r="U2534" i="1"/>
  <c r="T2535" i="1"/>
  <c r="U2535" i="1"/>
  <c r="T2536" i="1"/>
  <c r="U2536" i="1"/>
  <c r="T2537" i="1"/>
  <c r="U2537" i="1"/>
  <c r="T2538" i="1"/>
  <c r="U2538" i="1"/>
  <c r="T2539" i="1"/>
  <c r="U2539" i="1"/>
  <c r="T2540" i="1"/>
  <c r="U2540" i="1"/>
  <c r="T2541" i="1"/>
  <c r="U2541" i="1"/>
  <c r="T2542" i="1"/>
  <c r="U2542" i="1"/>
  <c r="T2543" i="1"/>
  <c r="U2543" i="1"/>
  <c r="T2544" i="1"/>
  <c r="U2544" i="1"/>
  <c r="T2545" i="1"/>
  <c r="U2545" i="1"/>
  <c r="T2546" i="1"/>
  <c r="U2546" i="1"/>
  <c r="T2547" i="1"/>
  <c r="U2547" i="1"/>
  <c r="T2548" i="1"/>
  <c r="U2548" i="1"/>
  <c r="T2549" i="1"/>
  <c r="U2549" i="1"/>
  <c r="T2550" i="1"/>
  <c r="U2550" i="1"/>
  <c r="T2551" i="1"/>
  <c r="U2551" i="1"/>
  <c r="T2552" i="1"/>
  <c r="U2552" i="1"/>
  <c r="T2553" i="1"/>
  <c r="U2553" i="1"/>
  <c r="T2554" i="1"/>
  <c r="U2554" i="1"/>
  <c r="T2555" i="1"/>
  <c r="U2555" i="1"/>
  <c r="T2556" i="1"/>
  <c r="U2556" i="1"/>
  <c r="T2557" i="1"/>
  <c r="U2557" i="1"/>
  <c r="T2558" i="1"/>
  <c r="U2558" i="1"/>
  <c r="T2559" i="1"/>
  <c r="U2559" i="1"/>
  <c r="T2560" i="1"/>
  <c r="U2560" i="1"/>
  <c r="T2561" i="1"/>
  <c r="U2561" i="1"/>
  <c r="T2562" i="1"/>
  <c r="U2562" i="1"/>
  <c r="T2563" i="1"/>
  <c r="U2563" i="1"/>
  <c r="T2564" i="1"/>
  <c r="U2564" i="1"/>
  <c r="T2565" i="1"/>
  <c r="U2565" i="1"/>
  <c r="T2566" i="1"/>
  <c r="U2566" i="1"/>
  <c r="T2567" i="1"/>
  <c r="U2567" i="1"/>
  <c r="T2568" i="1"/>
  <c r="U2568" i="1"/>
  <c r="T2569" i="1"/>
  <c r="U2569" i="1"/>
  <c r="T2570" i="1"/>
  <c r="U2570" i="1"/>
  <c r="T2571" i="1"/>
  <c r="U2571" i="1"/>
  <c r="T2572" i="1"/>
  <c r="U2572" i="1"/>
  <c r="T2573" i="1"/>
  <c r="U2573" i="1"/>
  <c r="T2574" i="1"/>
  <c r="U2574" i="1"/>
  <c r="T2575" i="1"/>
  <c r="U2575" i="1"/>
  <c r="T2576" i="1"/>
  <c r="U2576" i="1"/>
  <c r="T2577" i="1"/>
  <c r="U2577" i="1"/>
  <c r="T2578" i="1"/>
  <c r="U2578" i="1"/>
  <c r="T2579" i="1"/>
  <c r="U2579" i="1"/>
  <c r="T2580" i="1"/>
  <c r="U2580" i="1"/>
  <c r="T2581" i="1"/>
  <c r="U2581" i="1"/>
  <c r="T2582" i="1"/>
  <c r="U2582" i="1"/>
  <c r="T2583" i="1"/>
  <c r="U2583" i="1"/>
  <c r="T2584" i="1"/>
  <c r="U2584" i="1"/>
  <c r="T2585" i="1"/>
  <c r="U2585" i="1"/>
  <c r="T2586" i="1"/>
  <c r="U2586" i="1"/>
  <c r="T2587" i="1"/>
  <c r="U2587" i="1"/>
  <c r="T2588" i="1"/>
  <c r="U2588" i="1"/>
  <c r="T2589" i="1"/>
  <c r="U2589" i="1"/>
  <c r="T2590" i="1"/>
  <c r="U2590" i="1"/>
  <c r="T2591" i="1"/>
  <c r="U2591" i="1"/>
  <c r="T2592" i="1"/>
  <c r="U2592" i="1"/>
  <c r="T2593" i="1"/>
  <c r="U2593" i="1"/>
  <c r="T2594" i="1"/>
  <c r="U2594" i="1"/>
  <c r="T2595" i="1"/>
  <c r="U2595" i="1"/>
  <c r="T2596" i="1"/>
  <c r="U2596" i="1"/>
  <c r="T2597" i="1"/>
  <c r="U2597" i="1"/>
  <c r="T2598" i="1"/>
  <c r="U2598" i="1"/>
  <c r="T2599" i="1"/>
  <c r="U2599" i="1"/>
  <c r="T2600" i="1"/>
  <c r="U2600" i="1"/>
  <c r="T2601" i="1"/>
  <c r="U2601" i="1"/>
  <c r="T2602" i="1"/>
  <c r="U2602" i="1"/>
  <c r="T2603" i="1"/>
  <c r="U2603" i="1"/>
  <c r="T2604" i="1"/>
  <c r="U2604" i="1"/>
  <c r="T2605" i="1"/>
  <c r="U2605" i="1"/>
  <c r="T2606" i="1"/>
  <c r="U2606" i="1"/>
  <c r="T2607" i="1"/>
  <c r="U2607" i="1"/>
  <c r="T2608" i="1"/>
  <c r="U2608" i="1"/>
  <c r="T2609" i="1"/>
  <c r="U2609" i="1"/>
  <c r="T2610" i="1"/>
  <c r="U2610" i="1"/>
  <c r="T2611" i="1"/>
  <c r="U2611" i="1"/>
  <c r="T2612" i="1"/>
  <c r="U2612" i="1"/>
  <c r="T2613" i="1"/>
  <c r="U2613" i="1"/>
  <c r="T2614" i="1"/>
  <c r="U2614" i="1"/>
  <c r="T2615" i="1"/>
  <c r="U2615" i="1"/>
  <c r="T2616" i="1"/>
  <c r="U2616" i="1"/>
  <c r="T2617" i="1"/>
  <c r="U2617" i="1"/>
  <c r="T2618" i="1"/>
  <c r="U2618" i="1"/>
  <c r="T2619" i="1"/>
  <c r="U2619" i="1"/>
  <c r="T2620" i="1"/>
  <c r="U2620" i="1"/>
  <c r="T2621" i="1"/>
  <c r="U2621" i="1"/>
  <c r="T2622" i="1"/>
  <c r="U2622" i="1"/>
  <c r="T2623" i="1"/>
  <c r="U2623" i="1"/>
  <c r="T2624" i="1"/>
  <c r="U2624" i="1"/>
  <c r="T2625" i="1"/>
  <c r="U2625" i="1"/>
  <c r="T2626" i="1"/>
  <c r="U2626" i="1"/>
  <c r="T2627" i="1"/>
  <c r="U2627" i="1"/>
  <c r="T2628" i="1"/>
  <c r="U2628" i="1"/>
  <c r="T2629" i="1"/>
  <c r="U2629" i="1"/>
  <c r="T2630" i="1"/>
  <c r="U2630" i="1"/>
  <c r="T2631" i="1"/>
  <c r="U2631" i="1"/>
  <c r="T2632" i="1"/>
  <c r="U2632" i="1"/>
  <c r="T2633" i="1"/>
  <c r="U2633" i="1"/>
  <c r="T2634" i="1"/>
  <c r="U2634" i="1"/>
  <c r="T2635" i="1"/>
  <c r="U2635" i="1"/>
  <c r="T2636" i="1"/>
  <c r="U2636" i="1"/>
  <c r="T2637" i="1"/>
  <c r="U2637" i="1"/>
  <c r="T2638" i="1"/>
  <c r="U2638" i="1"/>
  <c r="T2639" i="1"/>
  <c r="U2639" i="1"/>
  <c r="T2640" i="1"/>
  <c r="U2640" i="1"/>
  <c r="T2641" i="1"/>
  <c r="U2641" i="1"/>
  <c r="T2642" i="1"/>
  <c r="U2642" i="1"/>
  <c r="T2643" i="1"/>
  <c r="U2643" i="1"/>
  <c r="T2644" i="1"/>
  <c r="U2644" i="1"/>
  <c r="T2645" i="1"/>
  <c r="U2645" i="1"/>
  <c r="T2646" i="1"/>
  <c r="U2646" i="1"/>
  <c r="T2647" i="1"/>
  <c r="U2647" i="1"/>
  <c r="T2648" i="1"/>
  <c r="U2648" i="1"/>
  <c r="T2649" i="1"/>
  <c r="U2649" i="1"/>
  <c r="T2650" i="1"/>
  <c r="U2650" i="1"/>
  <c r="T2651" i="1"/>
  <c r="U2651" i="1"/>
  <c r="T2652" i="1"/>
  <c r="U2652" i="1"/>
  <c r="T2653" i="1"/>
  <c r="U2653" i="1"/>
  <c r="T2654" i="1"/>
  <c r="U2654" i="1"/>
  <c r="T2655" i="1"/>
  <c r="U2655" i="1"/>
  <c r="T2656" i="1"/>
  <c r="U2656" i="1"/>
  <c r="T2657" i="1"/>
  <c r="U2657" i="1"/>
  <c r="T2658" i="1"/>
  <c r="U2658" i="1"/>
  <c r="T2659" i="1"/>
  <c r="U2659" i="1"/>
  <c r="T2660" i="1"/>
  <c r="U2660" i="1"/>
  <c r="T2661" i="1"/>
  <c r="U2661" i="1"/>
  <c r="T2662" i="1"/>
  <c r="U2662" i="1"/>
  <c r="T2663" i="1"/>
  <c r="U2663" i="1"/>
  <c r="T2664" i="1"/>
  <c r="U2664" i="1"/>
  <c r="T2665" i="1"/>
  <c r="U2665" i="1"/>
  <c r="T2666" i="1"/>
  <c r="U2666" i="1"/>
  <c r="T2667" i="1"/>
  <c r="U2667" i="1"/>
  <c r="T2668" i="1"/>
  <c r="U2668" i="1"/>
  <c r="T2669" i="1"/>
  <c r="U2669" i="1"/>
  <c r="T2670" i="1"/>
  <c r="U2670" i="1"/>
  <c r="T2671" i="1"/>
  <c r="U2671" i="1"/>
  <c r="T2672" i="1"/>
  <c r="U2672" i="1"/>
  <c r="T2673" i="1"/>
  <c r="U2673" i="1"/>
  <c r="T2674" i="1"/>
  <c r="U2674" i="1"/>
  <c r="T2675" i="1"/>
  <c r="U2675" i="1"/>
  <c r="T2676" i="1"/>
  <c r="U2676" i="1"/>
  <c r="T2677" i="1"/>
  <c r="U2677" i="1"/>
  <c r="T2678" i="1"/>
  <c r="U2678" i="1"/>
  <c r="T2679" i="1"/>
  <c r="U2679" i="1"/>
  <c r="T2680" i="1"/>
  <c r="U2680" i="1"/>
  <c r="T2681" i="1"/>
  <c r="U2681" i="1"/>
  <c r="T2682" i="1"/>
  <c r="U2682" i="1"/>
  <c r="T2683" i="1"/>
  <c r="U2683" i="1"/>
  <c r="T2684" i="1"/>
  <c r="U2684" i="1"/>
  <c r="T2685" i="1"/>
  <c r="U2685" i="1"/>
  <c r="T2686" i="1"/>
  <c r="U2686" i="1"/>
  <c r="T2687" i="1"/>
  <c r="U2687" i="1"/>
  <c r="T2688" i="1"/>
  <c r="U2688" i="1"/>
  <c r="T2689" i="1"/>
  <c r="U2689" i="1"/>
  <c r="T2690" i="1"/>
  <c r="U2690" i="1"/>
  <c r="T2691" i="1"/>
  <c r="U2691" i="1"/>
  <c r="T2692" i="1"/>
  <c r="U2692" i="1"/>
  <c r="T2693" i="1"/>
  <c r="U2693" i="1"/>
  <c r="T2694" i="1"/>
  <c r="U2694" i="1"/>
  <c r="T2695" i="1"/>
  <c r="U2695" i="1"/>
  <c r="T2696" i="1"/>
  <c r="U2696" i="1"/>
  <c r="T2697" i="1"/>
  <c r="U2697" i="1"/>
  <c r="T2698" i="1"/>
  <c r="U2698" i="1"/>
  <c r="T2699" i="1"/>
  <c r="U2699" i="1"/>
  <c r="T2700" i="1"/>
  <c r="U2700" i="1"/>
  <c r="T2701" i="1"/>
  <c r="U2701" i="1"/>
  <c r="T2702" i="1"/>
  <c r="U2702" i="1"/>
  <c r="T2703" i="1"/>
  <c r="U2703" i="1"/>
  <c r="T2704" i="1"/>
  <c r="U2704" i="1"/>
  <c r="T2705" i="1"/>
  <c r="U2705" i="1"/>
  <c r="T2706" i="1"/>
  <c r="U2706" i="1"/>
  <c r="T2707" i="1"/>
  <c r="U2707" i="1"/>
  <c r="T2708" i="1"/>
  <c r="U2708" i="1"/>
  <c r="T2709" i="1"/>
  <c r="U2709" i="1"/>
  <c r="T2710" i="1"/>
  <c r="U2710" i="1"/>
  <c r="T2711" i="1"/>
  <c r="U2711" i="1"/>
  <c r="T2712" i="1"/>
  <c r="U2712" i="1"/>
  <c r="T2713" i="1"/>
  <c r="U2713" i="1"/>
  <c r="T2714" i="1"/>
  <c r="U2714" i="1"/>
  <c r="T2715" i="1"/>
  <c r="U2715" i="1"/>
  <c r="T2716" i="1"/>
  <c r="U2716" i="1"/>
  <c r="T2717" i="1"/>
  <c r="U2717" i="1"/>
  <c r="T2718" i="1"/>
  <c r="U2718" i="1"/>
  <c r="T2719" i="1"/>
  <c r="U2719" i="1"/>
  <c r="T2720" i="1"/>
  <c r="U2720" i="1"/>
  <c r="T2721" i="1"/>
  <c r="U2721" i="1"/>
  <c r="T2722" i="1"/>
  <c r="U2722" i="1"/>
  <c r="T2723" i="1"/>
  <c r="U2723" i="1"/>
  <c r="T2724" i="1"/>
  <c r="U2724" i="1"/>
  <c r="T2725" i="1"/>
  <c r="U2725" i="1"/>
  <c r="T2726" i="1"/>
  <c r="U2726" i="1"/>
  <c r="T2727" i="1"/>
  <c r="U2727" i="1"/>
  <c r="T2728" i="1"/>
  <c r="U2728" i="1"/>
  <c r="T2729" i="1"/>
  <c r="U2729" i="1"/>
  <c r="T2730" i="1"/>
  <c r="U2730" i="1"/>
  <c r="T2731" i="1"/>
  <c r="U2731" i="1"/>
  <c r="T2732" i="1"/>
  <c r="U2732" i="1"/>
  <c r="T2733" i="1"/>
  <c r="U2733" i="1"/>
  <c r="T2734" i="1"/>
  <c r="U2734" i="1"/>
  <c r="T2735" i="1"/>
  <c r="U2735" i="1"/>
  <c r="T2736" i="1"/>
  <c r="U2736" i="1"/>
  <c r="T2737" i="1"/>
  <c r="U2737" i="1"/>
  <c r="T2738" i="1"/>
  <c r="U2738" i="1"/>
  <c r="T2739" i="1"/>
  <c r="U2739" i="1"/>
  <c r="T2740" i="1"/>
  <c r="U2740" i="1"/>
  <c r="T2741" i="1"/>
  <c r="U2741" i="1"/>
  <c r="T2742" i="1"/>
  <c r="U2742" i="1"/>
  <c r="T2743" i="1"/>
  <c r="U2743" i="1"/>
  <c r="T2744" i="1"/>
  <c r="U2744" i="1"/>
  <c r="T2745" i="1"/>
  <c r="U2745" i="1"/>
  <c r="T2746" i="1"/>
  <c r="U2746" i="1"/>
  <c r="T2747" i="1"/>
  <c r="U2747" i="1"/>
  <c r="T2748" i="1"/>
  <c r="U2748" i="1"/>
  <c r="T2749" i="1"/>
  <c r="U2749" i="1"/>
  <c r="T2750" i="1"/>
  <c r="U2750" i="1"/>
  <c r="T2751" i="1"/>
  <c r="U2751" i="1"/>
  <c r="T2752" i="1"/>
  <c r="U2752" i="1"/>
  <c r="T2753" i="1"/>
  <c r="U2753" i="1"/>
  <c r="T2754" i="1"/>
  <c r="U2754" i="1"/>
  <c r="T2755" i="1"/>
  <c r="U2755" i="1"/>
  <c r="T2756" i="1"/>
  <c r="U2756" i="1"/>
  <c r="T2757" i="1"/>
  <c r="U2757" i="1"/>
  <c r="T2758" i="1"/>
  <c r="U2758" i="1"/>
  <c r="T2759" i="1"/>
  <c r="U2759" i="1"/>
  <c r="T2760" i="1"/>
  <c r="U2760" i="1"/>
  <c r="T2761" i="1"/>
  <c r="U2761" i="1"/>
  <c r="T2762" i="1"/>
  <c r="U2762" i="1"/>
  <c r="T2763" i="1"/>
  <c r="U2763" i="1"/>
  <c r="T2764" i="1"/>
  <c r="U2764" i="1"/>
  <c r="T2765" i="1"/>
  <c r="U2765" i="1"/>
  <c r="T2766" i="1"/>
  <c r="U2766" i="1"/>
  <c r="T2767" i="1"/>
  <c r="U2767" i="1"/>
  <c r="T2768" i="1"/>
  <c r="U2768" i="1"/>
  <c r="T2769" i="1"/>
  <c r="U2769" i="1"/>
  <c r="T2770" i="1"/>
  <c r="U2770" i="1"/>
  <c r="T2771" i="1"/>
  <c r="U2771" i="1"/>
  <c r="T2772" i="1"/>
  <c r="U2772" i="1"/>
  <c r="T2773" i="1"/>
  <c r="U2773" i="1"/>
  <c r="T2774" i="1"/>
  <c r="U2774" i="1"/>
  <c r="T2775" i="1"/>
  <c r="U2775" i="1"/>
  <c r="T2776" i="1"/>
  <c r="U2776" i="1"/>
  <c r="T2777" i="1"/>
  <c r="U2777" i="1"/>
  <c r="T2778" i="1"/>
  <c r="U2778" i="1"/>
  <c r="T2779" i="1"/>
  <c r="U2779" i="1"/>
  <c r="T2780" i="1"/>
  <c r="U2780" i="1"/>
  <c r="T2781" i="1"/>
  <c r="U2781" i="1"/>
  <c r="T2782" i="1"/>
  <c r="U2782" i="1"/>
  <c r="T2783" i="1"/>
  <c r="U2783" i="1"/>
  <c r="T2784" i="1"/>
  <c r="U2784" i="1"/>
  <c r="T2785" i="1"/>
  <c r="U2785" i="1"/>
  <c r="T2786" i="1"/>
  <c r="U2786" i="1"/>
  <c r="T2787" i="1"/>
  <c r="U2787" i="1"/>
  <c r="T2788" i="1"/>
  <c r="U2788" i="1"/>
  <c r="T2789" i="1"/>
  <c r="U2789" i="1"/>
  <c r="T2790" i="1"/>
  <c r="U2790" i="1"/>
  <c r="T2791" i="1"/>
  <c r="U2791" i="1"/>
  <c r="T2792" i="1"/>
  <c r="U2792" i="1"/>
  <c r="T2793" i="1"/>
  <c r="U2793" i="1"/>
  <c r="T2794" i="1"/>
  <c r="U2794" i="1"/>
  <c r="T2795" i="1"/>
  <c r="U2795" i="1"/>
  <c r="T2796" i="1"/>
  <c r="U2796" i="1"/>
  <c r="T2797" i="1"/>
  <c r="U2797" i="1"/>
  <c r="T2798" i="1"/>
  <c r="U2798" i="1"/>
  <c r="T2799" i="1"/>
  <c r="U2799" i="1"/>
  <c r="T2800" i="1"/>
  <c r="U2800" i="1"/>
  <c r="T2801" i="1"/>
  <c r="U2801" i="1"/>
  <c r="T2802" i="1"/>
  <c r="U2802" i="1"/>
  <c r="T2803" i="1"/>
  <c r="U2803" i="1"/>
  <c r="T2804" i="1"/>
  <c r="U2804" i="1"/>
  <c r="T2805" i="1"/>
  <c r="U2805" i="1"/>
  <c r="T2806" i="1"/>
  <c r="U2806" i="1"/>
  <c r="T2807" i="1"/>
  <c r="U2807" i="1"/>
  <c r="T2808" i="1"/>
  <c r="U2808" i="1"/>
  <c r="T2809" i="1"/>
  <c r="U2809" i="1"/>
  <c r="T2810" i="1"/>
  <c r="U2810" i="1"/>
  <c r="T2811" i="1"/>
  <c r="U2811" i="1"/>
  <c r="T2812" i="1"/>
  <c r="U2812" i="1"/>
  <c r="T2813" i="1"/>
  <c r="U2813" i="1"/>
  <c r="T2814" i="1"/>
  <c r="U2814" i="1"/>
  <c r="T2815" i="1"/>
  <c r="U2815" i="1"/>
  <c r="T2816" i="1"/>
  <c r="U2816" i="1"/>
  <c r="T2817" i="1"/>
  <c r="U2817" i="1"/>
  <c r="T2818" i="1"/>
  <c r="U2818" i="1"/>
  <c r="T2819" i="1"/>
  <c r="U2819" i="1"/>
  <c r="T2820" i="1"/>
  <c r="U2820" i="1"/>
  <c r="T2821" i="1"/>
  <c r="U2821" i="1"/>
  <c r="T2822" i="1"/>
  <c r="U2822" i="1"/>
  <c r="T2823" i="1"/>
  <c r="U2823" i="1"/>
  <c r="T2824" i="1"/>
  <c r="U2824" i="1"/>
  <c r="T2825" i="1"/>
  <c r="U2825" i="1"/>
  <c r="T2826" i="1"/>
  <c r="U2826" i="1"/>
  <c r="T2827" i="1"/>
  <c r="U2827" i="1"/>
  <c r="T2828" i="1"/>
  <c r="U2828" i="1"/>
  <c r="T2829" i="1"/>
  <c r="U2829" i="1"/>
  <c r="T2830" i="1"/>
  <c r="U2830" i="1"/>
  <c r="T2831" i="1"/>
  <c r="U2831" i="1"/>
  <c r="T2832" i="1"/>
  <c r="U2832" i="1"/>
  <c r="T2833" i="1"/>
  <c r="U2833" i="1"/>
  <c r="T2834" i="1"/>
  <c r="U2834" i="1"/>
  <c r="T2835" i="1"/>
  <c r="U2835" i="1"/>
  <c r="T2836" i="1"/>
  <c r="U2836" i="1"/>
  <c r="T2837" i="1"/>
  <c r="U2837" i="1"/>
  <c r="T2838" i="1"/>
  <c r="U2838" i="1"/>
  <c r="T2839" i="1"/>
  <c r="U2839" i="1"/>
  <c r="T2840" i="1"/>
  <c r="U2840" i="1"/>
  <c r="T2841" i="1"/>
  <c r="U2841" i="1"/>
  <c r="T2842" i="1"/>
  <c r="U2842" i="1"/>
  <c r="T2843" i="1"/>
  <c r="U2843" i="1"/>
  <c r="T2844" i="1"/>
  <c r="U2844" i="1"/>
  <c r="T2845" i="1"/>
  <c r="U2845" i="1"/>
  <c r="T2846" i="1"/>
  <c r="U2846" i="1"/>
  <c r="T2847" i="1"/>
  <c r="U2847" i="1"/>
  <c r="T2848" i="1"/>
  <c r="U2848" i="1"/>
  <c r="T2849" i="1"/>
  <c r="U2849" i="1"/>
  <c r="T2850" i="1"/>
  <c r="U2850" i="1"/>
  <c r="T2851" i="1"/>
  <c r="U2851" i="1"/>
  <c r="T2852" i="1"/>
  <c r="U2852" i="1"/>
  <c r="T2853" i="1"/>
  <c r="U2853" i="1"/>
  <c r="T2854" i="1"/>
  <c r="U2854" i="1"/>
  <c r="T2855" i="1"/>
  <c r="U2855" i="1"/>
  <c r="T2856" i="1"/>
  <c r="U2856" i="1"/>
  <c r="T2857" i="1"/>
  <c r="U2857" i="1"/>
  <c r="T2858" i="1"/>
  <c r="U2858" i="1"/>
  <c r="T2859" i="1"/>
  <c r="U2859" i="1"/>
  <c r="T2860" i="1"/>
  <c r="U2860" i="1"/>
  <c r="T2861" i="1"/>
  <c r="U2861" i="1"/>
  <c r="T2862" i="1"/>
  <c r="U2862" i="1"/>
  <c r="T2863" i="1"/>
  <c r="U2863" i="1"/>
  <c r="T2864" i="1"/>
  <c r="U2864" i="1"/>
  <c r="T2865" i="1"/>
  <c r="U2865" i="1"/>
  <c r="T2866" i="1"/>
  <c r="U2866" i="1"/>
  <c r="T2867" i="1"/>
  <c r="U2867" i="1"/>
  <c r="T2868" i="1"/>
  <c r="U2868" i="1"/>
  <c r="T2869" i="1"/>
  <c r="U2869" i="1"/>
  <c r="T2870" i="1"/>
  <c r="U2870" i="1"/>
  <c r="T2871" i="1"/>
  <c r="U2871" i="1"/>
  <c r="T2872" i="1"/>
  <c r="U2872" i="1"/>
  <c r="T2873" i="1"/>
  <c r="U2873" i="1"/>
  <c r="T2874" i="1"/>
  <c r="U2874" i="1"/>
  <c r="T2875" i="1"/>
  <c r="U2875" i="1"/>
  <c r="T2876" i="1"/>
  <c r="U2876" i="1"/>
  <c r="T2877" i="1"/>
  <c r="U2877" i="1"/>
  <c r="T2878" i="1"/>
  <c r="U2878" i="1"/>
  <c r="T2879" i="1"/>
  <c r="U2879" i="1"/>
  <c r="T2880" i="1"/>
  <c r="U2880" i="1"/>
  <c r="T2881" i="1"/>
  <c r="U2881" i="1"/>
  <c r="T2882" i="1"/>
  <c r="U2882" i="1"/>
  <c r="T2883" i="1"/>
  <c r="U2883" i="1"/>
  <c r="T2884" i="1"/>
  <c r="U2884" i="1"/>
  <c r="T2885" i="1"/>
  <c r="U2885" i="1"/>
  <c r="T2886" i="1"/>
  <c r="U2886" i="1"/>
  <c r="T2887" i="1"/>
  <c r="U2887" i="1"/>
  <c r="T2888" i="1"/>
  <c r="U2888" i="1"/>
  <c r="T2889" i="1"/>
  <c r="U2889" i="1"/>
  <c r="T2890" i="1"/>
  <c r="U2890" i="1"/>
  <c r="T2891" i="1"/>
  <c r="U2891" i="1"/>
  <c r="T2892" i="1"/>
  <c r="U2892" i="1"/>
  <c r="T2893" i="1"/>
  <c r="U2893" i="1"/>
  <c r="T2894" i="1"/>
  <c r="U2894" i="1"/>
  <c r="T2895" i="1"/>
  <c r="U2895" i="1"/>
  <c r="T2896" i="1"/>
  <c r="U2896" i="1"/>
  <c r="T2897" i="1"/>
  <c r="U2897" i="1"/>
  <c r="T2898" i="1"/>
  <c r="U2898" i="1"/>
  <c r="T2899" i="1"/>
  <c r="U2899" i="1"/>
  <c r="T2900" i="1"/>
  <c r="U2900" i="1"/>
  <c r="T2901" i="1"/>
  <c r="U2901" i="1"/>
  <c r="T2902" i="1"/>
  <c r="U2902" i="1"/>
  <c r="T2903" i="1"/>
  <c r="U2903" i="1"/>
  <c r="T2904" i="1"/>
  <c r="U2904" i="1"/>
  <c r="T2905" i="1"/>
  <c r="U2905" i="1"/>
  <c r="T2906" i="1"/>
  <c r="U2906" i="1"/>
  <c r="T2907" i="1"/>
  <c r="U2907" i="1"/>
  <c r="T2908" i="1"/>
  <c r="U2908" i="1"/>
  <c r="T2909" i="1"/>
  <c r="U2909" i="1"/>
  <c r="T2910" i="1"/>
  <c r="U2910" i="1"/>
  <c r="T2911" i="1"/>
  <c r="U2911" i="1"/>
  <c r="T2912" i="1"/>
  <c r="U2912" i="1"/>
  <c r="T2913" i="1"/>
  <c r="U2913" i="1"/>
  <c r="T2914" i="1"/>
  <c r="U2914" i="1"/>
  <c r="T2915" i="1"/>
  <c r="U2915" i="1"/>
  <c r="T2916" i="1"/>
  <c r="U2916" i="1"/>
  <c r="T2917" i="1"/>
  <c r="U2917" i="1"/>
  <c r="T2918" i="1"/>
  <c r="U2918" i="1"/>
  <c r="T2919" i="1"/>
  <c r="U2919" i="1"/>
  <c r="T2920" i="1"/>
  <c r="U2920" i="1"/>
  <c r="T2921" i="1"/>
  <c r="U2921" i="1"/>
  <c r="T2922" i="1"/>
  <c r="U2922" i="1"/>
  <c r="T2923" i="1"/>
  <c r="U2923" i="1"/>
  <c r="T2924" i="1"/>
  <c r="U2924" i="1"/>
  <c r="T2925" i="1"/>
  <c r="U2925" i="1"/>
  <c r="T2926" i="1"/>
  <c r="U2926" i="1"/>
  <c r="T2927" i="1"/>
  <c r="U2927" i="1"/>
  <c r="T2928" i="1"/>
  <c r="U2928" i="1"/>
  <c r="T2929" i="1"/>
  <c r="U2929" i="1"/>
  <c r="T2930" i="1"/>
  <c r="U2930" i="1"/>
  <c r="T2931" i="1"/>
  <c r="U2931" i="1"/>
  <c r="T2932" i="1"/>
  <c r="U2932" i="1"/>
  <c r="T2933" i="1"/>
  <c r="U2933" i="1"/>
  <c r="T2934" i="1"/>
  <c r="U2934" i="1"/>
  <c r="T2935" i="1"/>
  <c r="U2935" i="1"/>
  <c r="T2936" i="1"/>
  <c r="U2936" i="1"/>
  <c r="T2937" i="1"/>
  <c r="U2937" i="1"/>
  <c r="T2938" i="1"/>
  <c r="U2938" i="1"/>
  <c r="T2939" i="1"/>
  <c r="U2939" i="1"/>
  <c r="T2940" i="1"/>
  <c r="U2940" i="1"/>
  <c r="T2941" i="1"/>
  <c r="U2941" i="1"/>
  <c r="T2942" i="1"/>
  <c r="U2942" i="1"/>
  <c r="T2943" i="1"/>
  <c r="U2943" i="1"/>
  <c r="T2944" i="1"/>
  <c r="U2944" i="1"/>
  <c r="T2945" i="1"/>
  <c r="U2945" i="1"/>
  <c r="T2946" i="1"/>
  <c r="U2946" i="1"/>
  <c r="T2947" i="1"/>
  <c r="U2947" i="1"/>
  <c r="T2948" i="1"/>
  <c r="U2948" i="1"/>
  <c r="T2949" i="1"/>
  <c r="U2949" i="1"/>
  <c r="T2950" i="1"/>
  <c r="U2950" i="1"/>
  <c r="T2951" i="1"/>
  <c r="U2951" i="1"/>
  <c r="T2952" i="1"/>
  <c r="U2952" i="1"/>
  <c r="T2953" i="1"/>
  <c r="U2953" i="1"/>
  <c r="T2954" i="1"/>
  <c r="U2954" i="1"/>
  <c r="T2955" i="1"/>
  <c r="U2955" i="1"/>
  <c r="T2956" i="1"/>
  <c r="U2956" i="1"/>
  <c r="T2957" i="1"/>
  <c r="U2957" i="1"/>
  <c r="T2958" i="1"/>
  <c r="U2958" i="1"/>
  <c r="T2959" i="1"/>
  <c r="U2959" i="1"/>
  <c r="T2960" i="1"/>
  <c r="U2960" i="1"/>
  <c r="T2961" i="1"/>
  <c r="U2961" i="1"/>
  <c r="T2962" i="1"/>
  <c r="U2962" i="1"/>
  <c r="T2963" i="1"/>
  <c r="U2963" i="1"/>
  <c r="T2964" i="1"/>
  <c r="U2964" i="1"/>
  <c r="T2965" i="1"/>
  <c r="U2965" i="1"/>
  <c r="T2966" i="1"/>
  <c r="U2966" i="1"/>
  <c r="T2967" i="1"/>
  <c r="U2967" i="1"/>
  <c r="T2968" i="1"/>
  <c r="U2968" i="1"/>
  <c r="T2969" i="1"/>
  <c r="U2969" i="1"/>
  <c r="T2970" i="1"/>
  <c r="U2970" i="1"/>
  <c r="T2971" i="1"/>
  <c r="U2971" i="1"/>
  <c r="T2972" i="1"/>
  <c r="U2972" i="1"/>
  <c r="T2973" i="1"/>
  <c r="U2973" i="1"/>
  <c r="T2974" i="1"/>
  <c r="U2974" i="1"/>
  <c r="T2975" i="1"/>
  <c r="U2975" i="1"/>
  <c r="T2976" i="1"/>
  <c r="U2976" i="1"/>
  <c r="T2977" i="1"/>
  <c r="U2977" i="1"/>
  <c r="T2978" i="1"/>
  <c r="U2978" i="1"/>
  <c r="T2979" i="1"/>
  <c r="U2979" i="1"/>
  <c r="T2980" i="1"/>
  <c r="U2980" i="1"/>
  <c r="T2981" i="1"/>
  <c r="U2981" i="1"/>
  <c r="T2982" i="1"/>
  <c r="U2982" i="1"/>
  <c r="T2983" i="1"/>
  <c r="U2983" i="1"/>
  <c r="T2984" i="1"/>
  <c r="U2984" i="1"/>
  <c r="T2985" i="1"/>
  <c r="U2985" i="1"/>
  <c r="T2986" i="1"/>
  <c r="U2986" i="1"/>
  <c r="T2987" i="1"/>
  <c r="U2987" i="1"/>
  <c r="T2988" i="1"/>
  <c r="U2988" i="1"/>
  <c r="T2989" i="1"/>
  <c r="U2989" i="1"/>
  <c r="T2990" i="1"/>
  <c r="U2990" i="1"/>
  <c r="T2991" i="1"/>
  <c r="U2991" i="1"/>
  <c r="T2992" i="1"/>
  <c r="U2992" i="1"/>
  <c r="T2993" i="1"/>
  <c r="U2993" i="1"/>
  <c r="T2994" i="1"/>
  <c r="U2994" i="1"/>
  <c r="T2995" i="1"/>
  <c r="U2995" i="1"/>
  <c r="T2996" i="1"/>
  <c r="U2996" i="1"/>
  <c r="T2997" i="1"/>
  <c r="U2997" i="1"/>
  <c r="T2998" i="1"/>
  <c r="U2998" i="1"/>
  <c r="T2999" i="1"/>
  <c r="U2999" i="1"/>
  <c r="T3000" i="1"/>
  <c r="U3000" i="1"/>
  <c r="T3001" i="1"/>
  <c r="U3001" i="1"/>
  <c r="U2" i="1"/>
  <c r="T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A8" i="8"/>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2" i="1"/>
  <c r="K3" i="1"/>
  <c r="K4" i="1"/>
  <c r="K5" i="1"/>
  <c r="L5" i="1" s="1"/>
  <c r="K6" i="1"/>
  <c r="K7" i="1"/>
  <c r="K8" i="1"/>
  <c r="K9" i="1"/>
  <c r="K10" i="1"/>
  <c r="K11" i="1"/>
  <c r="K12" i="1"/>
  <c r="K13" i="1"/>
  <c r="L13" i="1" s="1"/>
  <c r="K14" i="1"/>
  <c r="L14" i="1" s="1"/>
  <c r="K15" i="1"/>
  <c r="L15" i="1" s="1"/>
  <c r="K16" i="1"/>
  <c r="K17" i="1"/>
  <c r="L17" i="1" s="1"/>
  <c r="K18" i="1"/>
  <c r="K19" i="1"/>
  <c r="K20" i="1"/>
  <c r="K21" i="1"/>
  <c r="L21" i="1" s="1"/>
  <c r="K22" i="1"/>
  <c r="K23" i="1"/>
  <c r="L23" i="1" s="1"/>
  <c r="K24" i="1"/>
  <c r="K25" i="1"/>
  <c r="K26" i="1"/>
  <c r="K27" i="1"/>
  <c r="K28" i="1"/>
  <c r="K29" i="1"/>
  <c r="L29" i="1" s="1"/>
  <c r="K30" i="1"/>
  <c r="K31" i="1"/>
  <c r="K32" i="1"/>
  <c r="K33" i="1"/>
  <c r="L33" i="1" s="1"/>
  <c r="K34" i="1"/>
  <c r="K35" i="1"/>
  <c r="K36" i="1"/>
  <c r="K37" i="1"/>
  <c r="L37" i="1" s="1"/>
  <c r="K38" i="1"/>
  <c r="K39" i="1"/>
  <c r="K40" i="1"/>
  <c r="K41" i="1"/>
  <c r="L41" i="1" s="1"/>
  <c r="K42" i="1"/>
  <c r="K43" i="1"/>
  <c r="K44" i="1"/>
  <c r="K45" i="1"/>
  <c r="L45" i="1" s="1"/>
  <c r="K46" i="1"/>
  <c r="K47" i="1"/>
  <c r="K48" i="1"/>
  <c r="K49" i="1"/>
  <c r="L49" i="1" s="1"/>
  <c r="K50" i="1"/>
  <c r="K51" i="1"/>
  <c r="K52" i="1"/>
  <c r="K53" i="1"/>
  <c r="L53" i="1" s="1"/>
  <c r="K54" i="1"/>
  <c r="K55" i="1"/>
  <c r="K56" i="1"/>
  <c r="K57" i="1"/>
  <c r="L57" i="1" s="1"/>
  <c r="K58" i="1"/>
  <c r="K59" i="1"/>
  <c r="K60" i="1"/>
  <c r="K61" i="1"/>
  <c r="L61" i="1" s="1"/>
  <c r="K62" i="1"/>
  <c r="K63" i="1"/>
  <c r="K64" i="1"/>
  <c r="K65" i="1"/>
  <c r="L65" i="1" s="1"/>
  <c r="K66" i="1"/>
  <c r="K67" i="1"/>
  <c r="K68" i="1"/>
  <c r="K69" i="1"/>
  <c r="L69" i="1" s="1"/>
  <c r="K70" i="1"/>
  <c r="L70" i="1" s="1"/>
  <c r="K71" i="1"/>
  <c r="K72" i="1"/>
  <c r="K73" i="1"/>
  <c r="L73" i="1" s="1"/>
  <c r="K74" i="1"/>
  <c r="K75" i="1"/>
  <c r="K76" i="1"/>
  <c r="K77" i="1"/>
  <c r="L77" i="1" s="1"/>
  <c r="K78" i="1"/>
  <c r="L78" i="1" s="1"/>
  <c r="K79" i="1"/>
  <c r="L79" i="1" s="1"/>
  <c r="K80" i="1"/>
  <c r="K81" i="1"/>
  <c r="L81" i="1" s="1"/>
  <c r="K82" i="1"/>
  <c r="K83" i="1"/>
  <c r="K84" i="1"/>
  <c r="K85" i="1"/>
  <c r="L85" i="1" s="1"/>
  <c r="K86" i="1"/>
  <c r="K87" i="1"/>
  <c r="L87" i="1" s="1"/>
  <c r="K88" i="1"/>
  <c r="K89" i="1"/>
  <c r="L89" i="1" s="1"/>
  <c r="K90" i="1"/>
  <c r="K91" i="1"/>
  <c r="K92" i="1"/>
  <c r="K93" i="1"/>
  <c r="L93" i="1" s="1"/>
  <c r="K94" i="1"/>
  <c r="K95" i="1"/>
  <c r="K96" i="1"/>
  <c r="K97" i="1"/>
  <c r="L97" i="1" s="1"/>
  <c r="K98" i="1"/>
  <c r="K99" i="1"/>
  <c r="K100" i="1"/>
  <c r="K101" i="1"/>
  <c r="L101" i="1" s="1"/>
  <c r="K102" i="1"/>
  <c r="K103" i="1"/>
  <c r="K104" i="1"/>
  <c r="K105" i="1"/>
  <c r="L105" i="1" s="1"/>
  <c r="K106" i="1"/>
  <c r="K107" i="1"/>
  <c r="K108" i="1"/>
  <c r="K109" i="1"/>
  <c r="L109" i="1" s="1"/>
  <c r="K110" i="1"/>
  <c r="K111" i="1"/>
  <c r="K112" i="1"/>
  <c r="K113" i="1"/>
  <c r="K114" i="1"/>
  <c r="K115" i="1"/>
  <c r="K116" i="1"/>
  <c r="K117" i="1"/>
  <c r="L117" i="1" s="1"/>
  <c r="K118" i="1"/>
  <c r="K119" i="1"/>
  <c r="K120" i="1"/>
  <c r="K121" i="1"/>
  <c r="K122" i="1"/>
  <c r="K123" i="1"/>
  <c r="K124" i="1"/>
  <c r="K125" i="1"/>
  <c r="L125" i="1" s="1"/>
  <c r="K126" i="1"/>
  <c r="K127" i="1"/>
  <c r="K128" i="1"/>
  <c r="K129" i="1"/>
  <c r="K130" i="1"/>
  <c r="K131" i="1"/>
  <c r="K132" i="1"/>
  <c r="K133" i="1"/>
  <c r="L133" i="1" s="1"/>
  <c r="K134" i="1"/>
  <c r="L134" i="1" s="1"/>
  <c r="K135" i="1"/>
  <c r="K136" i="1"/>
  <c r="K137" i="1"/>
  <c r="L137" i="1" s="1"/>
  <c r="K138" i="1"/>
  <c r="K139" i="1"/>
  <c r="K140" i="1"/>
  <c r="K141" i="1"/>
  <c r="L141" i="1" s="1"/>
  <c r="K142" i="1"/>
  <c r="L142" i="1" s="1"/>
  <c r="K143" i="1"/>
  <c r="L143" i="1" s="1"/>
  <c r="K144" i="1"/>
  <c r="K145" i="1"/>
  <c r="K146" i="1"/>
  <c r="K147" i="1"/>
  <c r="K148" i="1"/>
  <c r="K149" i="1"/>
  <c r="L149" i="1" s="1"/>
  <c r="K150" i="1"/>
  <c r="K151" i="1"/>
  <c r="L151" i="1" s="1"/>
  <c r="K152" i="1"/>
  <c r="K153" i="1"/>
  <c r="K154" i="1"/>
  <c r="K155" i="1"/>
  <c r="K156" i="1"/>
  <c r="K157" i="1"/>
  <c r="L157" i="1" s="1"/>
  <c r="K158" i="1"/>
  <c r="K159" i="1"/>
  <c r="K160" i="1"/>
  <c r="K161" i="1"/>
  <c r="L161" i="1" s="1"/>
  <c r="K162" i="1"/>
  <c r="K163" i="1"/>
  <c r="K164" i="1"/>
  <c r="K165" i="1"/>
  <c r="L165" i="1" s="1"/>
  <c r="K166" i="1"/>
  <c r="K167" i="1"/>
  <c r="K168" i="1"/>
  <c r="K169" i="1"/>
  <c r="L169" i="1" s="1"/>
  <c r="K170" i="1"/>
  <c r="K171" i="1"/>
  <c r="K172" i="1"/>
  <c r="K173" i="1"/>
  <c r="L173" i="1" s="1"/>
  <c r="K174" i="1"/>
  <c r="K175" i="1"/>
  <c r="K176" i="1"/>
  <c r="K177" i="1"/>
  <c r="K178" i="1"/>
  <c r="K179" i="1"/>
  <c r="K180" i="1"/>
  <c r="K181" i="1"/>
  <c r="L181" i="1" s="1"/>
  <c r="K182" i="1"/>
  <c r="K183" i="1"/>
  <c r="K184" i="1"/>
  <c r="K185" i="1"/>
  <c r="K186" i="1"/>
  <c r="K187" i="1"/>
  <c r="K188" i="1"/>
  <c r="K189" i="1"/>
  <c r="L189" i="1" s="1"/>
  <c r="K190" i="1"/>
  <c r="K191" i="1"/>
  <c r="K192" i="1"/>
  <c r="K193" i="1"/>
  <c r="K194" i="1"/>
  <c r="K195" i="1"/>
  <c r="K196" i="1"/>
  <c r="K197" i="1"/>
  <c r="L197" i="1" s="1"/>
  <c r="K198" i="1"/>
  <c r="L198" i="1" s="1"/>
  <c r="K199" i="1"/>
  <c r="K200" i="1"/>
  <c r="K201" i="1"/>
  <c r="L201" i="1" s="1"/>
  <c r="K202" i="1"/>
  <c r="K203" i="1"/>
  <c r="K204" i="1"/>
  <c r="K205" i="1"/>
  <c r="L205" i="1" s="1"/>
  <c r="K206" i="1"/>
  <c r="L206" i="1" s="1"/>
  <c r="K207" i="1"/>
  <c r="L207" i="1" s="1"/>
  <c r="K208" i="1"/>
  <c r="K209" i="1"/>
  <c r="L209" i="1" s="1"/>
  <c r="K210" i="1"/>
  <c r="K211" i="1"/>
  <c r="K212" i="1"/>
  <c r="K213" i="1"/>
  <c r="L213" i="1" s="1"/>
  <c r="K214" i="1"/>
  <c r="K215" i="1"/>
  <c r="L215" i="1" s="1"/>
  <c r="K216" i="1"/>
  <c r="K217" i="1"/>
  <c r="K218" i="1"/>
  <c r="K219" i="1"/>
  <c r="K220" i="1"/>
  <c r="K221" i="1"/>
  <c r="L221" i="1" s="1"/>
  <c r="K222" i="1"/>
  <c r="K223" i="1"/>
  <c r="K224" i="1"/>
  <c r="K225" i="1"/>
  <c r="L225" i="1" s="1"/>
  <c r="K226" i="1"/>
  <c r="K227" i="1"/>
  <c r="K228" i="1"/>
  <c r="K229" i="1"/>
  <c r="K230" i="1"/>
  <c r="K231" i="1"/>
  <c r="K232" i="1"/>
  <c r="K233" i="1"/>
  <c r="L233" i="1" s="1"/>
  <c r="K234" i="1"/>
  <c r="K235" i="1"/>
  <c r="K236" i="1"/>
  <c r="K237" i="1"/>
  <c r="L237" i="1" s="1"/>
  <c r="K238" i="1"/>
  <c r="K239" i="1"/>
  <c r="K240" i="1"/>
  <c r="K241" i="1"/>
  <c r="L241" i="1" s="1"/>
  <c r="K242" i="1"/>
  <c r="L242" i="1" s="1"/>
  <c r="K243" i="1"/>
  <c r="K244" i="1"/>
  <c r="K245" i="1"/>
  <c r="L245" i="1" s="1"/>
  <c r="K246" i="1"/>
  <c r="K247" i="1"/>
  <c r="K248" i="1"/>
  <c r="K249" i="1"/>
  <c r="K250" i="1"/>
  <c r="L250" i="1" s="1"/>
  <c r="K251" i="1"/>
  <c r="K252" i="1"/>
  <c r="K253" i="1"/>
  <c r="L253" i="1" s="1"/>
  <c r="K254" i="1"/>
  <c r="K255" i="1"/>
  <c r="K256" i="1"/>
  <c r="K257" i="1"/>
  <c r="K258" i="1"/>
  <c r="K259" i="1"/>
  <c r="K260" i="1"/>
  <c r="K261" i="1"/>
  <c r="L261" i="1" s="1"/>
  <c r="K262" i="1"/>
  <c r="K263" i="1"/>
  <c r="K264" i="1"/>
  <c r="K265" i="1"/>
  <c r="K266" i="1"/>
  <c r="K267" i="1"/>
  <c r="K268" i="1"/>
  <c r="K269" i="1"/>
  <c r="L269" i="1" s="1"/>
  <c r="K270" i="1"/>
  <c r="L270" i="1" s="1"/>
  <c r="K271" i="1"/>
  <c r="K272" i="1"/>
  <c r="K273" i="1"/>
  <c r="L273" i="1" s="1"/>
  <c r="K274" i="1"/>
  <c r="L274" i="1" s="1"/>
  <c r="K275" i="1"/>
  <c r="K276" i="1"/>
  <c r="K277" i="1"/>
  <c r="L277" i="1" s="1"/>
  <c r="K278" i="1"/>
  <c r="L278" i="1" s="1"/>
  <c r="K279" i="1"/>
  <c r="L279" i="1" s="1"/>
  <c r="K280" i="1"/>
  <c r="K281" i="1"/>
  <c r="K282" i="1"/>
  <c r="K283" i="1"/>
  <c r="K284" i="1"/>
  <c r="K285" i="1"/>
  <c r="L285" i="1" s="1"/>
  <c r="K286" i="1"/>
  <c r="K287" i="1"/>
  <c r="L287" i="1" s="1"/>
  <c r="K288" i="1"/>
  <c r="K289" i="1"/>
  <c r="K290" i="1"/>
  <c r="K291" i="1"/>
  <c r="K292" i="1"/>
  <c r="K293" i="1"/>
  <c r="L293" i="1" s="1"/>
  <c r="K294" i="1"/>
  <c r="K295" i="1"/>
  <c r="K296" i="1"/>
  <c r="K297" i="1"/>
  <c r="L297" i="1" s="1"/>
  <c r="K298" i="1"/>
  <c r="L298" i="1" s="1"/>
  <c r="K299" i="1"/>
  <c r="K300" i="1"/>
  <c r="K301" i="1"/>
  <c r="L301" i="1" s="1"/>
  <c r="K302" i="1"/>
  <c r="K303" i="1"/>
  <c r="K304" i="1"/>
  <c r="K305" i="1"/>
  <c r="L305" i="1" s="1"/>
  <c r="K306" i="1"/>
  <c r="L306" i="1" s="1"/>
  <c r="K307" i="1"/>
  <c r="K308" i="1"/>
  <c r="K309" i="1"/>
  <c r="L309" i="1" s="1"/>
  <c r="K310" i="1"/>
  <c r="K311" i="1"/>
  <c r="K312" i="1"/>
  <c r="K313" i="1"/>
  <c r="K314" i="1"/>
  <c r="L314" i="1" s="1"/>
  <c r="K315" i="1"/>
  <c r="K316" i="1"/>
  <c r="K317" i="1"/>
  <c r="L317" i="1" s="1"/>
  <c r="K318" i="1"/>
  <c r="K319" i="1"/>
  <c r="K320" i="1"/>
  <c r="K321" i="1"/>
  <c r="K322" i="1"/>
  <c r="K323" i="1"/>
  <c r="K324" i="1"/>
  <c r="K325" i="1"/>
  <c r="L325" i="1" s="1"/>
  <c r="K326" i="1"/>
  <c r="K327" i="1"/>
  <c r="K328" i="1"/>
  <c r="K329" i="1"/>
  <c r="L329" i="1" s="1"/>
  <c r="K330" i="1"/>
  <c r="K331" i="1"/>
  <c r="K332" i="1"/>
  <c r="K333" i="1"/>
  <c r="L333" i="1" s="1"/>
  <c r="K334" i="1"/>
  <c r="L334" i="1" s="1"/>
  <c r="K335" i="1"/>
  <c r="K336" i="1"/>
  <c r="K337" i="1"/>
  <c r="L337" i="1" s="1"/>
  <c r="K338" i="1"/>
  <c r="L338" i="1" s="1"/>
  <c r="K339" i="1"/>
  <c r="K340" i="1"/>
  <c r="K341" i="1"/>
  <c r="L341" i="1" s="1"/>
  <c r="K342" i="1"/>
  <c r="L342" i="1" s="1"/>
  <c r="K343" i="1"/>
  <c r="L343" i="1" s="1"/>
  <c r="K344" i="1"/>
  <c r="K345" i="1"/>
  <c r="K346" i="1"/>
  <c r="K347" i="1"/>
  <c r="K348" i="1"/>
  <c r="K349" i="1"/>
  <c r="L349" i="1" s="1"/>
  <c r="K350" i="1"/>
  <c r="K351" i="1"/>
  <c r="L351" i="1" s="1"/>
  <c r="K352" i="1"/>
  <c r="K353" i="1"/>
  <c r="L353" i="1" s="1"/>
  <c r="K354" i="1"/>
  <c r="K355" i="1"/>
  <c r="K356" i="1"/>
  <c r="K357" i="1"/>
  <c r="L357" i="1" s="1"/>
  <c r="K358" i="1"/>
  <c r="K359" i="1"/>
  <c r="K360" i="1"/>
  <c r="K361" i="1"/>
  <c r="L361" i="1" s="1"/>
  <c r="K362" i="1"/>
  <c r="L362" i="1" s="1"/>
  <c r="K363" i="1"/>
  <c r="K364" i="1"/>
  <c r="K365" i="1"/>
  <c r="L365" i="1" s="1"/>
  <c r="K366" i="1"/>
  <c r="K367" i="1"/>
  <c r="K368" i="1"/>
  <c r="K369" i="1"/>
  <c r="L369" i="1" s="1"/>
  <c r="K370" i="1"/>
  <c r="L370" i="1" s="1"/>
  <c r="K371" i="1"/>
  <c r="K372" i="1"/>
  <c r="K373" i="1"/>
  <c r="L373" i="1" s="1"/>
  <c r="K374" i="1"/>
  <c r="K375" i="1"/>
  <c r="K376" i="1"/>
  <c r="K377" i="1"/>
  <c r="K378" i="1"/>
  <c r="L378" i="1" s="1"/>
  <c r="K379" i="1"/>
  <c r="K380" i="1"/>
  <c r="K381" i="1"/>
  <c r="L381" i="1" s="1"/>
  <c r="K382" i="1"/>
  <c r="K383" i="1"/>
  <c r="K384" i="1"/>
  <c r="K385" i="1"/>
  <c r="L385" i="1" s="1"/>
  <c r="K386" i="1"/>
  <c r="K387" i="1"/>
  <c r="K388" i="1"/>
  <c r="K389" i="1"/>
  <c r="L389" i="1" s="1"/>
  <c r="K390" i="1"/>
  <c r="K391" i="1"/>
  <c r="K392" i="1"/>
  <c r="K393" i="1"/>
  <c r="L393" i="1" s="1"/>
  <c r="K394" i="1"/>
  <c r="L394" i="1" s="1"/>
  <c r="K395" i="1"/>
  <c r="K396" i="1"/>
  <c r="K397" i="1"/>
  <c r="L397" i="1" s="1"/>
  <c r="K398" i="1"/>
  <c r="L398" i="1" s="1"/>
  <c r="K399" i="1"/>
  <c r="K400" i="1"/>
  <c r="K401" i="1"/>
  <c r="L401" i="1" s="1"/>
  <c r="K402" i="1"/>
  <c r="L402" i="1" s="1"/>
  <c r="K403" i="1"/>
  <c r="K404" i="1"/>
  <c r="K405" i="1"/>
  <c r="L405" i="1" s="1"/>
  <c r="K406" i="1"/>
  <c r="L406" i="1" s="1"/>
  <c r="K407" i="1"/>
  <c r="L407" i="1" s="1"/>
  <c r="K408" i="1"/>
  <c r="K409" i="1"/>
  <c r="K410" i="1"/>
  <c r="K411" i="1"/>
  <c r="K412" i="1"/>
  <c r="K413" i="1"/>
  <c r="L413" i="1" s="1"/>
  <c r="K414" i="1"/>
  <c r="K415" i="1"/>
  <c r="L415" i="1" s="1"/>
  <c r="K416" i="1"/>
  <c r="K417" i="1"/>
  <c r="L417" i="1" s="1"/>
  <c r="K418" i="1"/>
  <c r="L418" i="1" s="1"/>
  <c r="K419" i="1"/>
  <c r="K420" i="1"/>
  <c r="K421" i="1"/>
  <c r="L421" i="1" s="1"/>
  <c r="K422" i="1"/>
  <c r="K423" i="1"/>
  <c r="K424" i="1"/>
  <c r="K425" i="1"/>
  <c r="L425" i="1" s="1"/>
  <c r="K426" i="1"/>
  <c r="L426" i="1" s="1"/>
  <c r="K427" i="1"/>
  <c r="K428" i="1"/>
  <c r="K429" i="1"/>
  <c r="L429" i="1" s="1"/>
  <c r="K430" i="1"/>
  <c r="K431" i="1"/>
  <c r="K432" i="1"/>
  <c r="K433" i="1"/>
  <c r="L433" i="1" s="1"/>
  <c r="K434" i="1"/>
  <c r="L434" i="1" s="1"/>
  <c r="K435" i="1"/>
  <c r="K436" i="1"/>
  <c r="K437" i="1"/>
  <c r="L437" i="1" s="1"/>
  <c r="K438" i="1"/>
  <c r="K439" i="1"/>
  <c r="K440" i="1"/>
  <c r="K441" i="1"/>
  <c r="K442" i="1"/>
  <c r="L442" i="1" s="1"/>
  <c r="K443" i="1"/>
  <c r="K444" i="1"/>
  <c r="K445" i="1"/>
  <c r="L445" i="1" s="1"/>
  <c r="K446" i="1"/>
  <c r="K447" i="1"/>
  <c r="K448" i="1"/>
  <c r="K449" i="1"/>
  <c r="L449" i="1" s="1"/>
  <c r="K450" i="1"/>
  <c r="L450" i="1" s="1"/>
  <c r="K451" i="1"/>
  <c r="K452" i="1"/>
  <c r="K453" i="1"/>
  <c r="L453" i="1" s="1"/>
  <c r="K454" i="1"/>
  <c r="K455" i="1"/>
  <c r="K456" i="1"/>
  <c r="K457" i="1"/>
  <c r="L457" i="1" s="1"/>
  <c r="K458" i="1"/>
  <c r="L458" i="1" s="1"/>
  <c r="K459" i="1"/>
  <c r="K460" i="1"/>
  <c r="K461" i="1"/>
  <c r="L461" i="1" s="1"/>
  <c r="K462" i="1"/>
  <c r="L462" i="1" s="1"/>
  <c r="K463" i="1"/>
  <c r="K464" i="1"/>
  <c r="K465" i="1"/>
  <c r="L465" i="1" s="1"/>
  <c r="K466" i="1"/>
  <c r="K467" i="1"/>
  <c r="K468" i="1"/>
  <c r="K469" i="1"/>
  <c r="L469" i="1" s="1"/>
  <c r="K470" i="1"/>
  <c r="L470" i="1" s="1"/>
  <c r="K471" i="1"/>
  <c r="L471" i="1" s="1"/>
  <c r="K472" i="1"/>
  <c r="K473" i="1"/>
  <c r="L473" i="1" s="1"/>
  <c r="K474" i="1"/>
  <c r="K475" i="1"/>
  <c r="K476" i="1"/>
  <c r="K477" i="1"/>
  <c r="L477" i="1" s="1"/>
  <c r="K478" i="1"/>
  <c r="K479" i="1"/>
  <c r="L479" i="1" s="1"/>
  <c r="K480" i="1"/>
  <c r="K481" i="1"/>
  <c r="L481" i="1" s="1"/>
  <c r="K482" i="1"/>
  <c r="L482" i="1" s="1"/>
  <c r="K483" i="1"/>
  <c r="K484" i="1"/>
  <c r="K485" i="1"/>
  <c r="L485" i="1" s="1"/>
  <c r="K486" i="1"/>
  <c r="K487" i="1"/>
  <c r="K488" i="1"/>
  <c r="K489" i="1"/>
  <c r="L489" i="1" s="1"/>
  <c r="K490" i="1"/>
  <c r="L490" i="1" s="1"/>
  <c r="K491" i="1"/>
  <c r="K492" i="1"/>
  <c r="K493" i="1"/>
  <c r="L493" i="1" s="1"/>
  <c r="K494" i="1"/>
  <c r="K495" i="1"/>
  <c r="K496" i="1"/>
  <c r="K497" i="1"/>
  <c r="L497" i="1" s="1"/>
  <c r="K498" i="1"/>
  <c r="L498" i="1" s="1"/>
  <c r="K499" i="1"/>
  <c r="K500" i="1"/>
  <c r="K501" i="1"/>
  <c r="L501" i="1" s="1"/>
  <c r="K502" i="1"/>
  <c r="K503" i="1"/>
  <c r="K504" i="1"/>
  <c r="K505" i="1"/>
  <c r="L505" i="1" s="1"/>
  <c r="K506" i="1"/>
  <c r="L506" i="1" s="1"/>
  <c r="K507" i="1"/>
  <c r="K508" i="1"/>
  <c r="K509" i="1"/>
  <c r="L509" i="1" s="1"/>
  <c r="K510" i="1"/>
  <c r="K511" i="1"/>
  <c r="K512" i="1"/>
  <c r="K513" i="1"/>
  <c r="L513" i="1" s="1"/>
  <c r="K514" i="1"/>
  <c r="L514" i="1" s="1"/>
  <c r="K515" i="1"/>
  <c r="K516" i="1"/>
  <c r="K517" i="1"/>
  <c r="L517" i="1" s="1"/>
  <c r="K518" i="1"/>
  <c r="K519" i="1"/>
  <c r="K520" i="1"/>
  <c r="K521" i="1"/>
  <c r="L521" i="1" s="1"/>
  <c r="K522" i="1"/>
  <c r="L522" i="1" s="1"/>
  <c r="K523" i="1"/>
  <c r="K524" i="1"/>
  <c r="K525" i="1"/>
  <c r="L525" i="1" s="1"/>
  <c r="K526" i="1"/>
  <c r="L526" i="1" s="1"/>
  <c r="K527" i="1"/>
  <c r="K528" i="1"/>
  <c r="K529" i="1"/>
  <c r="L529" i="1" s="1"/>
  <c r="K530" i="1"/>
  <c r="K531" i="1"/>
  <c r="K532" i="1"/>
  <c r="K533" i="1"/>
  <c r="L533" i="1" s="1"/>
  <c r="K534" i="1"/>
  <c r="L534" i="1" s="1"/>
  <c r="K535" i="1"/>
  <c r="L535" i="1" s="1"/>
  <c r="K536" i="1"/>
  <c r="K537" i="1"/>
  <c r="L537" i="1" s="1"/>
  <c r="K538" i="1"/>
  <c r="L538" i="1" s="1"/>
  <c r="K539" i="1"/>
  <c r="K540" i="1"/>
  <c r="K541" i="1"/>
  <c r="L541" i="1" s="1"/>
  <c r="K542" i="1"/>
  <c r="K543" i="1"/>
  <c r="L543" i="1" s="1"/>
  <c r="K544" i="1"/>
  <c r="K545" i="1"/>
  <c r="L545" i="1" s="1"/>
  <c r="K546" i="1"/>
  <c r="L546" i="1" s="1"/>
  <c r="K547" i="1"/>
  <c r="K548" i="1"/>
  <c r="K549" i="1"/>
  <c r="L549" i="1" s="1"/>
  <c r="K550" i="1"/>
  <c r="K551" i="1"/>
  <c r="L551" i="1" s="1"/>
  <c r="K552" i="1"/>
  <c r="K553" i="1"/>
  <c r="L553" i="1" s="1"/>
  <c r="K554" i="1"/>
  <c r="K555" i="1"/>
  <c r="K556" i="1"/>
  <c r="K557" i="1"/>
  <c r="L557" i="1" s="1"/>
  <c r="K558" i="1"/>
  <c r="K559" i="1"/>
  <c r="K560" i="1"/>
  <c r="K561" i="1"/>
  <c r="L561" i="1" s="1"/>
  <c r="K562" i="1"/>
  <c r="L562" i="1" s="1"/>
  <c r="K563" i="1"/>
  <c r="K564" i="1"/>
  <c r="K565" i="1"/>
  <c r="L565" i="1" s="1"/>
  <c r="K566" i="1"/>
  <c r="K567" i="1"/>
  <c r="K568" i="1"/>
  <c r="K569" i="1"/>
  <c r="L569" i="1" s="1"/>
  <c r="K570" i="1"/>
  <c r="L570" i="1" s="1"/>
  <c r="K571" i="1"/>
  <c r="K572" i="1"/>
  <c r="K573" i="1"/>
  <c r="L573" i="1" s="1"/>
  <c r="K574" i="1"/>
  <c r="K575" i="1"/>
  <c r="K576" i="1"/>
  <c r="K577" i="1"/>
  <c r="K578" i="1"/>
  <c r="L578" i="1" s="1"/>
  <c r="K579" i="1"/>
  <c r="K580" i="1"/>
  <c r="K581" i="1"/>
  <c r="L581" i="1" s="1"/>
  <c r="K582" i="1"/>
  <c r="K583" i="1"/>
  <c r="L583" i="1" s="1"/>
  <c r="K584" i="1"/>
  <c r="K585" i="1"/>
  <c r="K586" i="1"/>
  <c r="K587" i="1"/>
  <c r="K588" i="1"/>
  <c r="K589" i="1"/>
  <c r="L589" i="1" s="1"/>
  <c r="K590" i="1"/>
  <c r="L590" i="1" s="1"/>
  <c r="K591" i="1"/>
  <c r="K592" i="1"/>
  <c r="K593" i="1"/>
  <c r="L593" i="1" s="1"/>
  <c r="K594" i="1"/>
  <c r="L594" i="1" s="1"/>
  <c r="K595" i="1"/>
  <c r="K596" i="1"/>
  <c r="K597" i="1"/>
  <c r="L597" i="1" s="1"/>
  <c r="K598" i="1"/>
  <c r="L598" i="1" s="1"/>
  <c r="K599" i="1"/>
  <c r="L599" i="1" s="1"/>
  <c r="K600" i="1"/>
  <c r="K601" i="1"/>
  <c r="K602" i="1"/>
  <c r="L602" i="1" s="1"/>
  <c r="K603" i="1"/>
  <c r="K604" i="1"/>
  <c r="K605" i="1"/>
  <c r="L605" i="1" s="1"/>
  <c r="K606" i="1"/>
  <c r="K607" i="1"/>
  <c r="L607" i="1" s="1"/>
  <c r="K608" i="1"/>
  <c r="K609" i="1"/>
  <c r="K610" i="1"/>
  <c r="K611" i="1"/>
  <c r="K612" i="1"/>
  <c r="K613" i="1"/>
  <c r="L613" i="1" s="1"/>
  <c r="K614" i="1"/>
  <c r="K615" i="1"/>
  <c r="L615" i="1" s="1"/>
  <c r="K616" i="1"/>
  <c r="K617" i="1"/>
  <c r="L617" i="1" s="1"/>
  <c r="K618" i="1"/>
  <c r="L618" i="1" s="1"/>
  <c r="K619" i="1"/>
  <c r="K620" i="1"/>
  <c r="K621" i="1"/>
  <c r="L621" i="1" s="1"/>
  <c r="K622" i="1"/>
  <c r="K623" i="1"/>
  <c r="K624" i="1"/>
  <c r="K625" i="1"/>
  <c r="L625" i="1" s="1"/>
  <c r="K626" i="1"/>
  <c r="L626" i="1" s="1"/>
  <c r="K627" i="1"/>
  <c r="K628" i="1"/>
  <c r="K629" i="1"/>
  <c r="L629" i="1" s="1"/>
  <c r="K630" i="1"/>
  <c r="K631" i="1"/>
  <c r="K632" i="1"/>
  <c r="K633" i="1"/>
  <c r="K634" i="1"/>
  <c r="L634" i="1" s="1"/>
  <c r="K635" i="1"/>
  <c r="K636" i="1"/>
  <c r="K637" i="1"/>
  <c r="L637" i="1" s="1"/>
  <c r="K638" i="1"/>
  <c r="K639" i="1"/>
  <c r="K640" i="1"/>
  <c r="K641" i="1"/>
  <c r="K642" i="1"/>
  <c r="K643" i="1"/>
  <c r="K644" i="1"/>
  <c r="K645" i="1"/>
  <c r="L645" i="1" s="1"/>
  <c r="K646" i="1"/>
  <c r="K647" i="1"/>
  <c r="L647" i="1" s="1"/>
  <c r="K648" i="1"/>
  <c r="K649" i="1"/>
  <c r="L649" i="1" s="1"/>
  <c r="K650" i="1"/>
  <c r="L650" i="1" s="1"/>
  <c r="K651" i="1"/>
  <c r="K652" i="1"/>
  <c r="K653" i="1"/>
  <c r="L653" i="1" s="1"/>
  <c r="K654" i="1"/>
  <c r="L654" i="1" s="1"/>
  <c r="K655" i="1"/>
  <c r="K656" i="1"/>
  <c r="K657" i="1"/>
  <c r="L657" i="1" s="1"/>
  <c r="K658" i="1"/>
  <c r="L658" i="1" s="1"/>
  <c r="K659" i="1"/>
  <c r="K660" i="1"/>
  <c r="K661" i="1"/>
  <c r="L661" i="1" s="1"/>
  <c r="K662" i="1"/>
  <c r="L662" i="1" s="1"/>
  <c r="K663" i="1"/>
  <c r="L663" i="1" s="1"/>
  <c r="K664" i="1"/>
  <c r="K665" i="1"/>
  <c r="K666" i="1"/>
  <c r="K667" i="1"/>
  <c r="K668" i="1"/>
  <c r="K669" i="1"/>
  <c r="L669" i="1" s="1"/>
  <c r="K670" i="1"/>
  <c r="K671" i="1"/>
  <c r="L671" i="1" s="1"/>
  <c r="K672" i="1"/>
  <c r="K673" i="1"/>
  <c r="L673" i="1" s="1"/>
  <c r="K674" i="1"/>
  <c r="L674" i="1" s="1"/>
  <c r="K675" i="1"/>
  <c r="K676" i="1"/>
  <c r="K677" i="1"/>
  <c r="L677" i="1" s="1"/>
  <c r="K678" i="1"/>
  <c r="K679" i="1"/>
  <c r="L679" i="1" s="1"/>
  <c r="K680" i="1"/>
  <c r="K681" i="1"/>
  <c r="L681" i="1" s="1"/>
  <c r="K682" i="1"/>
  <c r="L682" i="1" s="1"/>
  <c r="K683" i="1"/>
  <c r="K684" i="1"/>
  <c r="K685" i="1"/>
  <c r="L685" i="1" s="1"/>
  <c r="K686" i="1"/>
  <c r="K687" i="1"/>
  <c r="K688" i="1"/>
  <c r="K689" i="1"/>
  <c r="L689" i="1" s="1"/>
  <c r="K690" i="1"/>
  <c r="L690" i="1" s="1"/>
  <c r="K691" i="1"/>
  <c r="K692" i="1"/>
  <c r="K693" i="1"/>
  <c r="K694" i="1"/>
  <c r="K695" i="1"/>
  <c r="K696" i="1"/>
  <c r="K697" i="1"/>
  <c r="L697" i="1" s="1"/>
  <c r="K698" i="1"/>
  <c r="L698" i="1" s="1"/>
  <c r="K699" i="1"/>
  <c r="K700" i="1"/>
  <c r="K701" i="1"/>
  <c r="K702" i="1"/>
  <c r="K703" i="1"/>
  <c r="K704" i="1"/>
  <c r="K705" i="1"/>
  <c r="L705" i="1" s="1"/>
  <c r="K706" i="1"/>
  <c r="L706" i="1" s="1"/>
  <c r="K707" i="1"/>
  <c r="K708" i="1"/>
  <c r="K709" i="1"/>
  <c r="K710" i="1"/>
  <c r="K711" i="1"/>
  <c r="L711" i="1" s="1"/>
  <c r="K712" i="1"/>
  <c r="K713" i="1"/>
  <c r="L713" i="1" s="1"/>
  <c r="K714" i="1"/>
  <c r="L714" i="1" s="1"/>
  <c r="K715" i="1"/>
  <c r="K716" i="1"/>
  <c r="K717" i="1"/>
  <c r="K718" i="1"/>
  <c r="K719" i="1"/>
  <c r="K720" i="1"/>
  <c r="K721" i="1"/>
  <c r="L721" i="1" s="1"/>
  <c r="K722" i="1"/>
  <c r="L722" i="1" s="1"/>
  <c r="K723" i="1"/>
  <c r="K724" i="1"/>
  <c r="K725" i="1"/>
  <c r="K726" i="1"/>
  <c r="K727" i="1"/>
  <c r="K728" i="1"/>
  <c r="K729" i="1"/>
  <c r="L729" i="1" s="1"/>
  <c r="K730" i="1"/>
  <c r="L730" i="1" s="1"/>
  <c r="K731" i="1"/>
  <c r="K732" i="1"/>
  <c r="K733" i="1"/>
  <c r="K734" i="1"/>
  <c r="K735" i="1"/>
  <c r="K736" i="1"/>
  <c r="K737" i="1"/>
  <c r="L737" i="1" s="1"/>
  <c r="K738" i="1"/>
  <c r="L738" i="1" s="1"/>
  <c r="K739" i="1"/>
  <c r="K740" i="1"/>
  <c r="K741" i="1"/>
  <c r="K742" i="1"/>
  <c r="K743" i="1"/>
  <c r="L743" i="1" s="1"/>
  <c r="K744" i="1"/>
  <c r="K745" i="1"/>
  <c r="L745" i="1" s="1"/>
  <c r="K746" i="1"/>
  <c r="L746" i="1" s="1"/>
  <c r="K747" i="1"/>
  <c r="K748" i="1"/>
  <c r="K749" i="1"/>
  <c r="K750" i="1"/>
  <c r="K751" i="1"/>
  <c r="K752" i="1"/>
  <c r="K753" i="1"/>
  <c r="L753" i="1" s="1"/>
  <c r="K754" i="1"/>
  <c r="L754" i="1" s="1"/>
  <c r="K755" i="1"/>
  <c r="K756" i="1"/>
  <c r="K757" i="1"/>
  <c r="K758" i="1"/>
  <c r="K759" i="1"/>
  <c r="K760" i="1"/>
  <c r="K761" i="1"/>
  <c r="L761" i="1" s="1"/>
  <c r="K762" i="1"/>
  <c r="L762" i="1" s="1"/>
  <c r="K763" i="1"/>
  <c r="K764" i="1"/>
  <c r="K765" i="1"/>
  <c r="K766" i="1"/>
  <c r="K767" i="1"/>
  <c r="K768" i="1"/>
  <c r="K769" i="1"/>
  <c r="L769" i="1" s="1"/>
  <c r="K770" i="1"/>
  <c r="L770" i="1" s="1"/>
  <c r="K771" i="1"/>
  <c r="K772" i="1"/>
  <c r="K773" i="1"/>
  <c r="K774" i="1"/>
  <c r="K775" i="1"/>
  <c r="L775" i="1" s="1"/>
  <c r="K776" i="1"/>
  <c r="K777" i="1"/>
  <c r="L777" i="1" s="1"/>
  <c r="K778" i="1"/>
  <c r="L778" i="1" s="1"/>
  <c r="K779" i="1"/>
  <c r="K780" i="1"/>
  <c r="K781" i="1"/>
  <c r="K782" i="1"/>
  <c r="K783" i="1"/>
  <c r="K784" i="1"/>
  <c r="K785" i="1"/>
  <c r="L785" i="1" s="1"/>
  <c r="K786" i="1"/>
  <c r="L786" i="1" s="1"/>
  <c r="K787" i="1"/>
  <c r="K788" i="1"/>
  <c r="K789" i="1"/>
  <c r="K790" i="1"/>
  <c r="K791" i="1"/>
  <c r="K792" i="1"/>
  <c r="K793" i="1"/>
  <c r="L793" i="1" s="1"/>
  <c r="K794" i="1"/>
  <c r="L794" i="1" s="1"/>
  <c r="K795" i="1"/>
  <c r="K796" i="1"/>
  <c r="K797" i="1"/>
  <c r="K798" i="1"/>
  <c r="K799" i="1"/>
  <c r="K800" i="1"/>
  <c r="K801" i="1"/>
  <c r="L801" i="1" s="1"/>
  <c r="K802" i="1"/>
  <c r="L802" i="1" s="1"/>
  <c r="K803" i="1"/>
  <c r="K804" i="1"/>
  <c r="K805" i="1"/>
  <c r="K806" i="1"/>
  <c r="K807" i="1"/>
  <c r="L807" i="1" s="1"/>
  <c r="K808" i="1"/>
  <c r="K809" i="1"/>
  <c r="L809" i="1" s="1"/>
  <c r="K810" i="1"/>
  <c r="L810" i="1" s="1"/>
  <c r="K811" i="1"/>
  <c r="K812" i="1"/>
  <c r="K813" i="1"/>
  <c r="K814" i="1"/>
  <c r="K815" i="1"/>
  <c r="K816" i="1"/>
  <c r="K817" i="1"/>
  <c r="L817" i="1" s="1"/>
  <c r="K818" i="1"/>
  <c r="L818" i="1" s="1"/>
  <c r="K819" i="1"/>
  <c r="K820" i="1"/>
  <c r="K821" i="1"/>
  <c r="K822" i="1"/>
  <c r="K823" i="1"/>
  <c r="K824" i="1"/>
  <c r="K825" i="1"/>
  <c r="L825" i="1" s="1"/>
  <c r="K826" i="1"/>
  <c r="L826" i="1" s="1"/>
  <c r="K827" i="1"/>
  <c r="K828" i="1"/>
  <c r="K829" i="1"/>
  <c r="K830" i="1"/>
  <c r="K831" i="1"/>
  <c r="K832" i="1"/>
  <c r="K833" i="1"/>
  <c r="L833" i="1" s="1"/>
  <c r="K834" i="1"/>
  <c r="L834" i="1" s="1"/>
  <c r="K835" i="1"/>
  <c r="K836" i="1"/>
  <c r="K837" i="1"/>
  <c r="K838" i="1"/>
  <c r="K839" i="1"/>
  <c r="L839" i="1" s="1"/>
  <c r="K840" i="1"/>
  <c r="K841" i="1"/>
  <c r="L841" i="1" s="1"/>
  <c r="K842" i="1"/>
  <c r="L842" i="1" s="1"/>
  <c r="K843" i="1"/>
  <c r="K844" i="1"/>
  <c r="K845" i="1"/>
  <c r="K846" i="1"/>
  <c r="K847" i="1"/>
  <c r="K848" i="1"/>
  <c r="K849" i="1"/>
  <c r="L849" i="1" s="1"/>
  <c r="K850" i="1"/>
  <c r="L850" i="1" s="1"/>
  <c r="K851" i="1"/>
  <c r="K852" i="1"/>
  <c r="K853" i="1"/>
  <c r="K854" i="1"/>
  <c r="K855" i="1"/>
  <c r="K856" i="1"/>
  <c r="K857" i="1"/>
  <c r="L857" i="1" s="1"/>
  <c r="K858" i="1"/>
  <c r="L858" i="1" s="1"/>
  <c r="K859" i="1"/>
  <c r="K860" i="1"/>
  <c r="K861" i="1"/>
  <c r="K862" i="1"/>
  <c r="K863" i="1"/>
  <c r="K864" i="1"/>
  <c r="K865" i="1"/>
  <c r="L865" i="1" s="1"/>
  <c r="K866" i="1"/>
  <c r="L866" i="1" s="1"/>
  <c r="K867" i="1"/>
  <c r="K868" i="1"/>
  <c r="K869" i="1"/>
  <c r="K870" i="1"/>
  <c r="K871" i="1"/>
  <c r="L871" i="1" s="1"/>
  <c r="K872" i="1"/>
  <c r="K873" i="1"/>
  <c r="L873" i="1" s="1"/>
  <c r="K874" i="1"/>
  <c r="L874" i="1" s="1"/>
  <c r="K875" i="1"/>
  <c r="K876" i="1"/>
  <c r="K877" i="1"/>
  <c r="K878" i="1"/>
  <c r="K879" i="1"/>
  <c r="K880" i="1"/>
  <c r="K881" i="1"/>
  <c r="L881" i="1" s="1"/>
  <c r="K882" i="1"/>
  <c r="L882" i="1" s="1"/>
  <c r="K883" i="1"/>
  <c r="K884" i="1"/>
  <c r="K885" i="1"/>
  <c r="K886" i="1"/>
  <c r="K887" i="1"/>
  <c r="K888" i="1"/>
  <c r="K889" i="1"/>
  <c r="L889" i="1" s="1"/>
  <c r="K890" i="1"/>
  <c r="L890" i="1" s="1"/>
  <c r="K891" i="1"/>
  <c r="K892" i="1"/>
  <c r="K893" i="1"/>
  <c r="K894" i="1"/>
  <c r="K895" i="1"/>
  <c r="K896" i="1"/>
  <c r="K897" i="1"/>
  <c r="L897" i="1" s="1"/>
  <c r="K898" i="1"/>
  <c r="L898" i="1" s="1"/>
  <c r="K899" i="1"/>
  <c r="K900" i="1"/>
  <c r="K901" i="1"/>
  <c r="K902" i="1"/>
  <c r="K903" i="1"/>
  <c r="L903" i="1" s="1"/>
  <c r="K904" i="1"/>
  <c r="K905" i="1"/>
  <c r="L905" i="1" s="1"/>
  <c r="K906" i="1"/>
  <c r="L906" i="1" s="1"/>
  <c r="K907" i="1"/>
  <c r="K908" i="1"/>
  <c r="K909" i="1"/>
  <c r="K910" i="1"/>
  <c r="K911" i="1"/>
  <c r="K912" i="1"/>
  <c r="K913" i="1"/>
  <c r="L913" i="1" s="1"/>
  <c r="K914" i="1"/>
  <c r="L914" i="1" s="1"/>
  <c r="K915" i="1"/>
  <c r="K916" i="1"/>
  <c r="K917" i="1"/>
  <c r="K918" i="1"/>
  <c r="K919" i="1"/>
  <c r="K920" i="1"/>
  <c r="K921" i="1"/>
  <c r="L921" i="1" s="1"/>
  <c r="K922" i="1"/>
  <c r="L922" i="1" s="1"/>
  <c r="K923" i="1"/>
  <c r="K924" i="1"/>
  <c r="K925" i="1"/>
  <c r="K926" i="1"/>
  <c r="K927" i="1"/>
  <c r="K928" i="1"/>
  <c r="K929" i="1"/>
  <c r="L929" i="1" s="1"/>
  <c r="K930" i="1"/>
  <c r="L930" i="1" s="1"/>
  <c r="K931" i="1"/>
  <c r="K932" i="1"/>
  <c r="K933" i="1"/>
  <c r="K934" i="1"/>
  <c r="K935" i="1"/>
  <c r="L935" i="1" s="1"/>
  <c r="K936" i="1"/>
  <c r="K937" i="1"/>
  <c r="L937" i="1" s="1"/>
  <c r="K938" i="1"/>
  <c r="L938" i="1" s="1"/>
  <c r="K939" i="1"/>
  <c r="K940" i="1"/>
  <c r="K941" i="1"/>
  <c r="K942" i="1"/>
  <c r="K943" i="1"/>
  <c r="K944" i="1"/>
  <c r="K945" i="1"/>
  <c r="L945" i="1" s="1"/>
  <c r="K946" i="1"/>
  <c r="L946" i="1" s="1"/>
  <c r="K947" i="1"/>
  <c r="K948" i="1"/>
  <c r="K949" i="1"/>
  <c r="K950" i="1"/>
  <c r="K951" i="1"/>
  <c r="K952" i="1"/>
  <c r="K953" i="1"/>
  <c r="L953" i="1" s="1"/>
  <c r="K954" i="1"/>
  <c r="L954" i="1" s="1"/>
  <c r="K955" i="1"/>
  <c r="K956" i="1"/>
  <c r="K957" i="1"/>
  <c r="K958" i="1"/>
  <c r="K959" i="1"/>
  <c r="K960" i="1"/>
  <c r="K961" i="1"/>
  <c r="L961" i="1" s="1"/>
  <c r="K962" i="1"/>
  <c r="L962" i="1" s="1"/>
  <c r="K963" i="1"/>
  <c r="K964" i="1"/>
  <c r="K965" i="1"/>
  <c r="K966" i="1"/>
  <c r="K967" i="1"/>
  <c r="L967" i="1" s="1"/>
  <c r="K968" i="1"/>
  <c r="K969" i="1"/>
  <c r="L969" i="1" s="1"/>
  <c r="K970" i="1"/>
  <c r="L970" i="1" s="1"/>
  <c r="K971" i="1"/>
  <c r="K972" i="1"/>
  <c r="K973" i="1"/>
  <c r="K974" i="1"/>
  <c r="K975" i="1"/>
  <c r="K976" i="1"/>
  <c r="K977" i="1"/>
  <c r="L977" i="1" s="1"/>
  <c r="K978" i="1"/>
  <c r="L978" i="1" s="1"/>
  <c r="K979" i="1"/>
  <c r="K980" i="1"/>
  <c r="K981" i="1"/>
  <c r="K982" i="1"/>
  <c r="K983" i="1"/>
  <c r="K984" i="1"/>
  <c r="K985" i="1"/>
  <c r="L985" i="1" s="1"/>
  <c r="K986" i="1"/>
  <c r="L986" i="1" s="1"/>
  <c r="K987" i="1"/>
  <c r="K988" i="1"/>
  <c r="K989" i="1"/>
  <c r="K990" i="1"/>
  <c r="K991" i="1"/>
  <c r="K992" i="1"/>
  <c r="K993" i="1"/>
  <c r="L993" i="1" s="1"/>
  <c r="K994" i="1"/>
  <c r="L994" i="1" s="1"/>
  <c r="K995" i="1"/>
  <c r="K996" i="1"/>
  <c r="K997" i="1"/>
  <c r="K998" i="1"/>
  <c r="K999" i="1"/>
  <c r="L999" i="1" s="1"/>
  <c r="K1000" i="1"/>
  <c r="K1001" i="1"/>
  <c r="L1001" i="1" s="1"/>
  <c r="K1002" i="1"/>
  <c r="L1002" i="1" s="1"/>
  <c r="K1003" i="1"/>
  <c r="K1004" i="1"/>
  <c r="K1005" i="1"/>
  <c r="K1006" i="1"/>
  <c r="K1007" i="1"/>
  <c r="K1008" i="1"/>
  <c r="K1009" i="1"/>
  <c r="L1009" i="1" s="1"/>
  <c r="K1010" i="1"/>
  <c r="L1010" i="1" s="1"/>
  <c r="K1011" i="1"/>
  <c r="K1012" i="1"/>
  <c r="K1013" i="1"/>
  <c r="K1014" i="1"/>
  <c r="K1015" i="1"/>
  <c r="K1016" i="1"/>
  <c r="K1017" i="1"/>
  <c r="L1017" i="1" s="1"/>
  <c r="K1018" i="1"/>
  <c r="L1018" i="1" s="1"/>
  <c r="K1019" i="1"/>
  <c r="K1020" i="1"/>
  <c r="K1021" i="1"/>
  <c r="K1022" i="1"/>
  <c r="K1023" i="1"/>
  <c r="K1024" i="1"/>
  <c r="K1025" i="1"/>
  <c r="L1025" i="1" s="1"/>
  <c r="K1026" i="1"/>
  <c r="L1026" i="1" s="1"/>
  <c r="K1027" i="1"/>
  <c r="K1028" i="1"/>
  <c r="K1029" i="1"/>
  <c r="K1030" i="1"/>
  <c r="K1031" i="1"/>
  <c r="L1031" i="1" s="1"/>
  <c r="K1032" i="1"/>
  <c r="K1033" i="1"/>
  <c r="L1033" i="1" s="1"/>
  <c r="K1034" i="1"/>
  <c r="L1034" i="1" s="1"/>
  <c r="K1035" i="1"/>
  <c r="K1036" i="1"/>
  <c r="K1037" i="1"/>
  <c r="K1038" i="1"/>
  <c r="K1039" i="1"/>
  <c r="K1040" i="1"/>
  <c r="K1041" i="1"/>
  <c r="L1041" i="1" s="1"/>
  <c r="K1042" i="1"/>
  <c r="L1042" i="1" s="1"/>
  <c r="K1043" i="1"/>
  <c r="K1044" i="1"/>
  <c r="K1045" i="1"/>
  <c r="K1046" i="1"/>
  <c r="K1047" i="1"/>
  <c r="K1048" i="1"/>
  <c r="K1049" i="1"/>
  <c r="L1049" i="1" s="1"/>
  <c r="K1050" i="1"/>
  <c r="L1050" i="1" s="1"/>
  <c r="K1051" i="1"/>
  <c r="K1052" i="1"/>
  <c r="K1053" i="1"/>
  <c r="K1054" i="1"/>
  <c r="K1055" i="1"/>
  <c r="K1056" i="1"/>
  <c r="K1057" i="1"/>
  <c r="K1058" i="1"/>
  <c r="L1058" i="1" s="1"/>
  <c r="K1059" i="1"/>
  <c r="K1060" i="1"/>
  <c r="K1061" i="1"/>
  <c r="K1062" i="1"/>
  <c r="K1063" i="1"/>
  <c r="K1064" i="1"/>
  <c r="K1065" i="1"/>
  <c r="K1066" i="1"/>
  <c r="L1066" i="1" s="1"/>
  <c r="K1067" i="1"/>
  <c r="K1068" i="1"/>
  <c r="K1069" i="1"/>
  <c r="K1070" i="1"/>
  <c r="K1071" i="1"/>
  <c r="L1071" i="1" s="1"/>
  <c r="K1072" i="1"/>
  <c r="K1073" i="1"/>
  <c r="K1074" i="1"/>
  <c r="L1074" i="1" s="1"/>
  <c r="K1075" i="1"/>
  <c r="K1076" i="1"/>
  <c r="K1077" i="1"/>
  <c r="K1078" i="1"/>
  <c r="K1079" i="1"/>
  <c r="L1079" i="1" s="1"/>
  <c r="K1080" i="1"/>
  <c r="K1081" i="1"/>
  <c r="L1081" i="1" s="1"/>
  <c r="K1082" i="1"/>
  <c r="L1082" i="1" s="1"/>
  <c r="K1083" i="1"/>
  <c r="K1084" i="1"/>
  <c r="K1085" i="1"/>
  <c r="K1086" i="1"/>
  <c r="K1087" i="1"/>
  <c r="L1087" i="1" s="1"/>
  <c r="K1088" i="1"/>
  <c r="K1089" i="1"/>
  <c r="L1089" i="1" s="1"/>
  <c r="K1090" i="1"/>
  <c r="L1090" i="1" s="1"/>
  <c r="K1091" i="1"/>
  <c r="K1092" i="1"/>
  <c r="K1093" i="1"/>
  <c r="K1094" i="1"/>
  <c r="K1095" i="1"/>
  <c r="L1095" i="1" s="1"/>
  <c r="K1096" i="1"/>
  <c r="K1097" i="1"/>
  <c r="L1097" i="1" s="1"/>
  <c r="K1098" i="1"/>
  <c r="L1098" i="1" s="1"/>
  <c r="K1099" i="1"/>
  <c r="K1100" i="1"/>
  <c r="K1101" i="1"/>
  <c r="K1102" i="1"/>
  <c r="K1103" i="1"/>
  <c r="L1103" i="1" s="1"/>
  <c r="K1104" i="1"/>
  <c r="K1105" i="1"/>
  <c r="K1106" i="1"/>
  <c r="L1106" i="1" s="1"/>
  <c r="K1107" i="1"/>
  <c r="K1108" i="1"/>
  <c r="K1109" i="1"/>
  <c r="K1110" i="1"/>
  <c r="K1111" i="1"/>
  <c r="L1111" i="1" s="1"/>
  <c r="K1112" i="1"/>
  <c r="K1113" i="1"/>
  <c r="K1114" i="1"/>
  <c r="K1115" i="1"/>
  <c r="K1116" i="1"/>
  <c r="K1117" i="1"/>
  <c r="K1118" i="1"/>
  <c r="K1119" i="1"/>
  <c r="L1119" i="1" s="1"/>
  <c r="K1120" i="1"/>
  <c r="K1121" i="1"/>
  <c r="K1122" i="1"/>
  <c r="K1123" i="1"/>
  <c r="K1124" i="1"/>
  <c r="K1125" i="1"/>
  <c r="K1126" i="1"/>
  <c r="K1127" i="1"/>
  <c r="L1127" i="1" s="1"/>
  <c r="K1128" i="1"/>
  <c r="K1129" i="1"/>
  <c r="K1130" i="1"/>
  <c r="K1131" i="1"/>
  <c r="K1132" i="1"/>
  <c r="K1133" i="1"/>
  <c r="K1134" i="1"/>
  <c r="K1135" i="1"/>
  <c r="L1135" i="1" s="1"/>
  <c r="K1136" i="1"/>
  <c r="K1137" i="1"/>
  <c r="L1137" i="1" s="1"/>
  <c r="K1138" i="1"/>
  <c r="K1139" i="1"/>
  <c r="K1140" i="1"/>
  <c r="K1141" i="1"/>
  <c r="K1142" i="1"/>
  <c r="K1143" i="1"/>
  <c r="L1143" i="1" s="1"/>
  <c r="K1144" i="1"/>
  <c r="K1145" i="1"/>
  <c r="L1145" i="1" s="1"/>
  <c r="K1146" i="1"/>
  <c r="L1146" i="1" s="1"/>
  <c r="K1147" i="1"/>
  <c r="K1148" i="1"/>
  <c r="K1149" i="1"/>
  <c r="K1150" i="1"/>
  <c r="K1151" i="1"/>
  <c r="L1151" i="1" s="1"/>
  <c r="K1152" i="1"/>
  <c r="K1153" i="1"/>
  <c r="L1153" i="1" s="1"/>
  <c r="K1154" i="1"/>
  <c r="L1154" i="1" s="1"/>
  <c r="K1155" i="1"/>
  <c r="K1156" i="1"/>
  <c r="K1157" i="1"/>
  <c r="K1158" i="1"/>
  <c r="K1159" i="1"/>
  <c r="L1159" i="1" s="1"/>
  <c r="K1160" i="1"/>
  <c r="K1161" i="1"/>
  <c r="L1161" i="1" s="1"/>
  <c r="K1162" i="1"/>
  <c r="L1162" i="1" s="1"/>
  <c r="K1163" i="1"/>
  <c r="K1164" i="1"/>
  <c r="K1165" i="1"/>
  <c r="K1166" i="1"/>
  <c r="K1167" i="1"/>
  <c r="L1167" i="1" s="1"/>
  <c r="K1168" i="1"/>
  <c r="K1169" i="1"/>
  <c r="K1170" i="1"/>
  <c r="L1170" i="1" s="1"/>
  <c r="K1171" i="1"/>
  <c r="K1172" i="1"/>
  <c r="K1173" i="1"/>
  <c r="K1174" i="1"/>
  <c r="K1175" i="1"/>
  <c r="L1175" i="1" s="1"/>
  <c r="K1176" i="1"/>
  <c r="K1177" i="1"/>
  <c r="K1178" i="1"/>
  <c r="K1179" i="1"/>
  <c r="K1180" i="1"/>
  <c r="K1181" i="1"/>
  <c r="K1182" i="1"/>
  <c r="K1183" i="1"/>
  <c r="L1183" i="1" s="1"/>
  <c r="K1184" i="1"/>
  <c r="K1185" i="1"/>
  <c r="K1186" i="1"/>
  <c r="K1187" i="1"/>
  <c r="K1188" i="1"/>
  <c r="K1189" i="1"/>
  <c r="K1190" i="1"/>
  <c r="K1191" i="1"/>
  <c r="L1191" i="1" s="1"/>
  <c r="K1192" i="1"/>
  <c r="K1193" i="1"/>
  <c r="K1194" i="1"/>
  <c r="K1195" i="1"/>
  <c r="K1196" i="1"/>
  <c r="K1197" i="1"/>
  <c r="K1198" i="1"/>
  <c r="K1199" i="1"/>
  <c r="L1199" i="1" s="1"/>
  <c r="K1200" i="1"/>
  <c r="K1201" i="1"/>
  <c r="L1201" i="1" s="1"/>
  <c r="K1202" i="1"/>
  <c r="K1203" i="1"/>
  <c r="K1204" i="1"/>
  <c r="K1205" i="1"/>
  <c r="K1206" i="1"/>
  <c r="K1207" i="1"/>
  <c r="L1207" i="1" s="1"/>
  <c r="K1208" i="1"/>
  <c r="K1209" i="1"/>
  <c r="L1209" i="1" s="1"/>
  <c r="K1210" i="1"/>
  <c r="L1210" i="1" s="1"/>
  <c r="K1211" i="1"/>
  <c r="K1212" i="1"/>
  <c r="K1213" i="1"/>
  <c r="K1214" i="1"/>
  <c r="K1215" i="1"/>
  <c r="L1215" i="1" s="1"/>
  <c r="K1216" i="1"/>
  <c r="K1217" i="1"/>
  <c r="L1217" i="1" s="1"/>
  <c r="K1218" i="1"/>
  <c r="L1218" i="1" s="1"/>
  <c r="K1219" i="1"/>
  <c r="K1220" i="1"/>
  <c r="K1221" i="1"/>
  <c r="K1222" i="1"/>
  <c r="K1223" i="1"/>
  <c r="L1223" i="1" s="1"/>
  <c r="K1224" i="1"/>
  <c r="K1225" i="1"/>
  <c r="L1225" i="1" s="1"/>
  <c r="K1226" i="1"/>
  <c r="L1226" i="1" s="1"/>
  <c r="K1227" i="1"/>
  <c r="K1228" i="1"/>
  <c r="K1229" i="1"/>
  <c r="K1230" i="1"/>
  <c r="K1231" i="1"/>
  <c r="L1231" i="1" s="1"/>
  <c r="K1232" i="1"/>
  <c r="K1233" i="1"/>
  <c r="K1234" i="1"/>
  <c r="L1234" i="1" s="1"/>
  <c r="K1235" i="1"/>
  <c r="K1236" i="1"/>
  <c r="K1237" i="1"/>
  <c r="K1238" i="1"/>
  <c r="K1239" i="1"/>
  <c r="L1239" i="1" s="1"/>
  <c r="K1240" i="1"/>
  <c r="K1241" i="1"/>
  <c r="K1242" i="1"/>
  <c r="K1243" i="1"/>
  <c r="K1244" i="1"/>
  <c r="K1245" i="1"/>
  <c r="K1246" i="1"/>
  <c r="K1247" i="1"/>
  <c r="L1247" i="1" s="1"/>
  <c r="K1248" i="1"/>
  <c r="K1249" i="1"/>
  <c r="K1250" i="1"/>
  <c r="K1251" i="1"/>
  <c r="K1252" i="1"/>
  <c r="K1253" i="1"/>
  <c r="K1254" i="1"/>
  <c r="K1255" i="1"/>
  <c r="L1255" i="1" s="1"/>
  <c r="K1256" i="1"/>
  <c r="K1257" i="1"/>
  <c r="K1258" i="1"/>
  <c r="K1259" i="1"/>
  <c r="K1260" i="1"/>
  <c r="K1261" i="1"/>
  <c r="K1262" i="1"/>
  <c r="K1263" i="1"/>
  <c r="L1263" i="1" s="1"/>
  <c r="K1264" i="1"/>
  <c r="K1265" i="1"/>
  <c r="L1265" i="1" s="1"/>
  <c r="K1266" i="1"/>
  <c r="K1267" i="1"/>
  <c r="K1268" i="1"/>
  <c r="K1269" i="1"/>
  <c r="K1270" i="1"/>
  <c r="K1271" i="1"/>
  <c r="L1271" i="1" s="1"/>
  <c r="K1272" i="1"/>
  <c r="K1273" i="1"/>
  <c r="L1273" i="1" s="1"/>
  <c r="K1274" i="1"/>
  <c r="L1274" i="1" s="1"/>
  <c r="K1275" i="1"/>
  <c r="K1276" i="1"/>
  <c r="K1277" i="1"/>
  <c r="K1278" i="1"/>
  <c r="K1279" i="1"/>
  <c r="L1279" i="1" s="1"/>
  <c r="K1280" i="1"/>
  <c r="K1281" i="1"/>
  <c r="L1281" i="1" s="1"/>
  <c r="K1282" i="1"/>
  <c r="L1282" i="1" s="1"/>
  <c r="K1283" i="1"/>
  <c r="K1284" i="1"/>
  <c r="K1285" i="1"/>
  <c r="K1286" i="1"/>
  <c r="K1287" i="1"/>
  <c r="L1287" i="1" s="1"/>
  <c r="K1288" i="1"/>
  <c r="K1289" i="1"/>
  <c r="L1289" i="1" s="1"/>
  <c r="K1290" i="1"/>
  <c r="L1290" i="1" s="1"/>
  <c r="K1291" i="1"/>
  <c r="K1292" i="1"/>
  <c r="K1293" i="1"/>
  <c r="K1294" i="1"/>
  <c r="K1295" i="1"/>
  <c r="L1295" i="1" s="1"/>
  <c r="K1296" i="1"/>
  <c r="K1297" i="1"/>
  <c r="K1298" i="1"/>
  <c r="L1298" i="1" s="1"/>
  <c r="K1299" i="1"/>
  <c r="K1300" i="1"/>
  <c r="K1301" i="1"/>
  <c r="K1302" i="1"/>
  <c r="K1303" i="1"/>
  <c r="L1303" i="1" s="1"/>
  <c r="K1304" i="1"/>
  <c r="K1305" i="1"/>
  <c r="K1306" i="1"/>
  <c r="K1307" i="1"/>
  <c r="K1308" i="1"/>
  <c r="K1309" i="1"/>
  <c r="K1310" i="1"/>
  <c r="K1311" i="1"/>
  <c r="L1311" i="1" s="1"/>
  <c r="K1312" i="1"/>
  <c r="K1313" i="1"/>
  <c r="K1314" i="1"/>
  <c r="K1315" i="1"/>
  <c r="K1316" i="1"/>
  <c r="K1317" i="1"/>
  <c r="K1318" i="1"/>
  <c r="K1319" i="1"/>
  <c r="L1319" i="1" s="1"/>
  <c r="K1320" i="1"/>
  <c r="K1321" i="1"/>
  <c r="K1322" i="1"/>
  <c r="K1323" i="1"/>
  <c r="K1324" i="1"/>
  <c r="K1325" i="1"/>
  <c r="K1326" i="1"/>
  <c r="K1327" i="1"/>
  <c r="L1327" i="1" s="1"/>
  <c r="K1328" i="1"/>
  <c r="K1329" i="1"/>
  <c r="L1329" i="1" s="1"/>
  <c r="K1330" i="1"/>
  <c r="K1331" i="1"/>
  <c r="K1332" i="1"/>
  <c r="K1333" i="1"/>
  <c r="K1334" i="1"/>
  <c r="K1335" i="1"/>
  <c r="L1335" i="1" s="1"/>
  <c r="K1336" i="1"/>
  <c r="K1337" i="1"/>
  <c r="L1337" i="1" s="1"/>
  <c r="K1338" i="1"/>
  <c r="L1338" i="1" s="1"/>
  <c r="K1339" i="1"/>
  <c r="K1340" i="1"/>
  <c r="K1341" i="1"/>
  <c r="K1342" i="1"/>
  <c r="K1343" i="1"/>
  <c r="L1343" i="1" s="1"/>
  <c r="K1344" i="1"/>
  <c r="K1345" i="1"/>
  <c r="L1345" i="1" s="1"/>
  <c r="K1346" i="1"/>
  <c r="L1346" i="1" s="1"/>
  <c r="K1347" i="1"/>
  <c r="K1348" i="1"/>
  <c r="K1349" i="1"/>
  <c r="K1350" i="1"/>
  <c r="K1351" i="1"/>
  <c r="L1351" i="1" s="1"/>
  <c r="K1352" i="1"/>
  <c r="K1353" i="1"/>
  <c r="L1353" i="1" s="1"/>
  <c r="K1354" i="1"/>
  <c r="L1354" i="1" s="1"/>
  <c r="K1355" i="1"/>
  <c r="K1356" i="1"/>
  <c r="K1357" i="1"/>
  <c r="K1358" i="1"/>
  <c r="K1359" i="1"/>
  <c r="L1359" i="1" s="1"/>
  <c r="K1360" i="1"/>
  <c r="K1361" i="1"/>
  <c r="K1362" i="1"/>
  <c r="L1362" i="1" s="1"/>
  <c r="K1363" i="1"/>
  <c r="K1364" i="1"/>
  <c r="K1365" i="1"/>
  <c r="K1366" i="1"/>
  <c r="K1367" i="1"/>
  <c r="L1367" i="1" s="1"/>
  <c r="K1368" i="1"/>
  <c r="K1369" i="1"/>
  <c r="K1370" i="1"/>
  <c r="K1371" i="1"/>
  <c r="K1372" i="1"/>
  <c r="K1373" i="1"/>
  <c r="K1374" i="1"/>
  <c r="K1375" i="1"/>
  <c r="L1375" i="1" s="1"/>
  <c r="K1376" i="1"/>
  <c r="K1377" i="1"/>
  <c r="K1378" i="1"/>
  <c r="K1379" i="1"/>
  <c r="K1380" i="1"/>
  <c r="K1381" i="1"/>
  <c r="K1382" i="1"/>
  <c r="K1383" i="1"/>
  <c r="L1383" i="1" s="1"/>
  <c r="K1384" i="1"/>
  <c r="K1385" i="1"/>
  <c r="K1386" i="1"/>
  <c r="K1387" i="1"/>
  <c r="K1388" i="1"/>
  <c r="K1389" i="1"/>
  <c r="K1390" i="1"/>
  <c r="K1391" i="1"/>
  <c r="L1391" i="1" s="1"/>
  <c r="K1392" i="1"/>
  <c r="K1393" i="1"/>
  <c r="L1393" i="1" s="1"/>
  <c r="K1394" i="1"/>
  <c r="K1395" i="1"/>
  <c r="K1396" i="1"/>
  <c r="K1397" i="1"/>
  <c r="K1398" i="1"/>
  <c r="K1399" i="1"/>
  <c r="L1399" i="1" s="1"/>
  <c r="K1400" i="1"/>
  <c r="K1401" i="1"/>
  <c r="L1401" i="1" s="1"/>
  <c r="K1402" i="1"/>
  <c r="L1402" i="1" s="1"/>
  <c r="K1403" i="1"/>
  <c r="K1404" i="1"/>
  <c r="K1405" i="1"/>
  <c r="K1406" i="1"/>
  <c r="K1407" i="1"/>
  <c r="L1407" i="1" s="1"/>
  <c r="K1408" i="1"/>
  <c r="K1409" i="1"/>
  <c r="L1409" i="1" s="1"/>
  <c r="K1410" i="1"/>
  <c r="L1410" i="1" s="1"/>
  <c r="K1411" i="1"/>
  <c r="K1412" i="1"/>
  <c r="K1413" i="1"/>
  <c r="K1414" i="1"/>
  <c r="K1415" i="1"/>
  <c r="L1415" i="1" s="1"/>
  <c r="K1416" i="1"/>
  <c r="K1417" i="1"/>
  <c r="L1417" i="1" s="1"/>
  <c r="K1418" i="1"/>
  <c r="L1418" i="1" s="1"/>
  <c r="K1419" i="1"/>
  <c r="K1420" i="1"/>
  <c r="K1421" i="1"/>
  <c r="K1422" i="1"/>
  <c r="K1423" i="1"/>
  <c r="L1423" i="1" s="1"/>
  <c r="K1424" i="1"/>
  <c r="K1425" i="1"/>
  <c r="K1426" i="1"/>
  <c r="L1426" i="1" s="1"/>
  <c r="K1427" i="1"/>
  <c r="K1428" i="1"/>
  <c r="K1429" i="1"/>
  <c r="K1430" i="1"/>
  <c r="K1431" i="1"/>
  <c r="L1431" i="1" s="1"/>
  <c r="K1432" i="1"/>
  <c r="K1433" i="1"/>
  <c r="K1434" i="1"/>
  <c r="K1435" i="1"/>
  <c r="K1436" i="1"/>
  <c r="K1437" i="1"/>
  <c r="K1438" i="1"/>
  <c r="K1439" i="1"/>
  <c r="L1439" i="1" s="1"/>
  <c r="K1440" i="1"/>
  <c r="K1441" i="1"/>
  <c r="K1442" i="1"/>
  <c r="K1443" i="1"/>
  <c r="K1444" i="1"/>
  <c r="K1445" i="1"/>
  <c r="K1446" i="1"/>
  <c r="K1447" i="1"/>
  <c r="L1447" i="1" s="1"/>
  <c r="K1448" i="1"/>
  <c r="K1449" i="1"/>
  <c r="K1450" i="1"/>
  <c r="K1451" i="1"/>
  <c r="K1452" i="1"/>
  <c r="K1453" i="1"/>
  <c r="K1454" i="1"/>
  <c r="K1455" i="1"/>
  <c r="L1455" i="1" s="1"/>
  <c r="K1456" i="1"/>
  <c r="K1457" i="1"/>
  <c r="L1457" i="1" s="1"/>
  <c r="K1458" i="1"/>
  <c r="K1459" i="1"/>
  <c r="K1460" i="1"/>
  <c r="K1461" i="1"/>
  <c r="K1462" i="1"/>
  <c r="K1463" i="1"/>
  <c r="L1463" i="1" s="1"/>
  <c r="K1464" i="1"/>
  <c r="K1465" i="1"/>
  <c r="L1465" i="1" s="1"/>
  <c r="K1466" i="1"/>
  <c r="L1466" i="1" s="1"/>
  <c r="K1467" i="1"/>
  <c r="K1468" i="1"/>
  <c r="K1469" i="1"/>
  <c r="K1470" i="1"/>
  <c r="K1471" i="1"/>
  <c r="L1471" i="1" s="1"/>
  <c r="K1472" i="1"/>
  <c r="K1473" i="1"/>
  <c r="L1473" i="1" s="1"/>
  <c r="K1474" i="1"/>
  <c r="L1474" i="1" s="1"/>
  <c r="K1475" i="1"/>
  <c r="K1476" i="1"/>
  <c r="K1477" i="1"/>
  <c r="K1478" i="1"/>
  <c r="K1479" i="1"/>
  <c r="L1479" i="1" s="1"/>
  <c r="K1480" i="1"/>
  <c r="K1481" i="1"/>
  <c r="L1481" i="1" s="1"/>
  <c r="K1482" i="1"/>
  <c r="L1482" i="1" s="1"/>
  <c r="K1483" i="1"/>
  <c r="K1484" i="1"/>
  <c r="K1485" i="1"/>
  <c r="K1486" i="1"/>
  <c r="K1487" i="1"/>
  <c r="L1487" i="1" s="1"/>
  <c r="K1488" i="1"/>
  <c r="K1489" i="1"/>
  <c r="K1490" i="1"/>
  <c r="L1490" i="1" s="1"/>
  <c r="K1491" i="1"/>
  <c r="K1492" i="1"/>
  <c r="K1493" i="1"/>
  <c r="K1494" i="1"/>
  <c r="K1495" i="1"/>
  <c r="L1495" i="1" s="1"/>
  <c r="K1496" i="1"/>
  <c r="K1497" i="1"/>
  <c r="K1498" i="1"/>
  <c r="K1499" i="1"/>
  <c r="K1500" i="1"/>
  <c r="K1501" i="1"/>
  <c r="K1502" i="1"/>
  <c r="K1503" i="1"/>
  <c r="L1503" i="1" s="1"/>
  <c r="K1504" i="1"/>
  <c r="K1505" i="1"/>
  <c r="K1506" i="1"/>
  <c r="K1507" i="1"/>
  <c r="K1508" i="1"/>
  <c r="K1509" i="1"/>
  <c r="K1510" i="1"/>
  <c r="K1511" i="1"/>
  <c r="L1511" i="1" s="1"/>
  <c r="K1512" i="1"/>
  <c r="K1513" i="1"/>
  <c r="K1514" i="1"/>
  <c r="K1515" i="1"/>
  <c r="K1516" i="1"/>
  <c r="K1517" i="1"/>
  <c r="K1518" i="1"/>
  <c r="K1519" i="1"/>
  <c r="L1519" i="1" s="1"/>
  <c r="K1520" i="1"/>
  <c r="K1521" i="1"/>
  <c r="L1521" i="1" s="1"/>
  <c r="K1522" i="1"/>
  <c r="K1523" i="1"/>
  <c r="K1524" i="1"/>
  <c r="K1525" i="1"/>
  <c r="K1526" i="1"/>
  <c r="K1527" i="1"/>
  <c r="L1527" i="1" s="1"/>
  <c r="K1528" i="1"/>
  <c r="K1529" i="1"/>
  <c r="L1529" i="1" s="1"/>
  <c r="K1530" i="1"/>
  <c r="L1530" i="1" s="1"/>
  <c r="K1531" i="1"/>
  <c r="K1532" i="1"/>
  <c r="K1533" i="1"/>
  <c r="K1534" i="1"/>
  <c r="K1535" i="1"/>
  <c r="L1535" i="1" s="1"/>
  <c r="K1536" i="1"/>
  <c r="K1537" i="1"/>
  <c r="L1537" i="1" s="1"/>
  <c r="K1538" i="1"/>
  <c r="L1538" i="1" s="1"/>
  <c r="K1539" i="1"/>
  <c r="K1540" i="1"/>
  <c r="K1541" i="1"/>
  <c r="K1542" i="1"/>
  <c r="K1543" i="1"/>
  <c r="L1543" i="1" s="1"/>
  <c r="K1544" i="1"/>
  <c r="K1545" i="1"/>
  <c r="L1545" i="1" s="1"/>
  <c r="K1546" i="1"/>
  <c r="L1546" i="1" s="1"/>
  <c r="K1547" i="1"/>
  <c r="K1548" i="1"/>
  <c r="K1549" i="1"/>
  <c r="K1550" i="1"/>
  <c r="K1551" i="1"/>
  <c r="L1551" i="1" s="1"/>
  <c r="K1552" i="1"/>
  <c r="K1553" i="1"/>
  <c r="K1554" i="1"/>
  <c r="L1554" i="1" s="1"/>
  <c r="K1555" i="1"/>
  <c r="K1556" i="1"/>
  <c r="K1557" i="1"/>
  <c r="K1558" i="1"/>
  <c r="K1559" i="1"/>
  <c r="L1559" i="1" s="1"/>
  <c r="K1560" i="1"/>
  <c r="K1561" i="1"/>
  <c r="K1562" i="1"/>
  <c r="K1563" i="1"/>
  <c r="K1564" i="1"/>
  <c r="K1565" i="1"/>
  <c r="K1566" i="1"/>
  <c r="K1567" i="1"/>
  <c r="L1567" i="1" s="1"/>
  <c r="K1568" i="1"/>
  <c r="K1569" i="1"/>
  <c r="K1570" i="1"/>
  <c r="K1571" i="1"/>
  <c r="K1572" i="1"/>
  <c r="K1573" i="1"/>
  <c r="K1574" i="1"/>
  <c r="K1575" i="1"/>
  <c r="L1575" i="1" s="1"/>
  <c r="K1576" i="1"/>
  <c r="K1577" i="1"/>
  <c r="K1578" i="1"/>
  <c r="K1579" i="1"/>
  <c r="K1580" i="1"/>
  <c r="K1581" i="1"/>
  <c r="K1582" i="1"/>
  <c r="K1583" i="1"/>
  <c r="L1583" i="1" s="1"/>
  <c r="K1584" i="1"/>
  <c r="K1585" i="1"/>
  <c r="L1585" i="1" s="1"/>
  <c r="K1586" i="1"/>
  <c r="K1587" i="1"/>
  <c r="K1588" i="1"/>
  <c r="K1589" i="1"/>
  <c r="K1590" i="1"/>
  <c r="K1591" i="1"/>
  <c r="L1591" i="1" s="1"/>
  <c r="K1592" i="1"/>
  <c r="K1593" i="1"/>
  <c r="L1593" i="1" s="1"/>
  <c r="K1594" i="1"/>
  <c r="L1594" i="1" s="1"/>
  <c r="K1595" i="1"/>
  <c r="K1596" i="1"/>
  <c r="K1597" i="1"/>
  <c r="K1598" i="1"/>
  <c r="K1599" i="1"/>
  <c r="L1599" i="1" s="1"/>
  <c r="K1600" i="1"/>
  <c r="K1601" i="1"/>
  <c r="L1601" i="1" s="1"/>
  <c r="K1602" i="1"/>
  <c r="L1602" i="1" s="1"/>
  <c r="K1603" i="1"/>
  <c r="K1604" i="1"/>
  <c r="K1605" i="1"/>
  <c r="K1606" i="1"/>
  <c r="K1607" i="1"/>
  <c r="L1607" i="1" s="1"/>
  <c r="K1608" i="1"/>
  <c r="K1609" i="1"/>
  <c r="L1609" i="1" s="1"/>
  <c r="K1610" i="1"/>
  <c r="L1610" i="1" s="1"/>
  <c r="K1611" i="1"/>
  <c r="K1612" i="1"/>
  <c r="K1613" i="1"/>
  <c r="K1614" i="1"/>
  <c r="K1615" i="1"/>
  <c r="L1615" i="1" s="1"/>
  <c r="K1616" i="1"/>
  <c r="K1617" i="1"/>
  <c r="K1618" i="1"/>
  <c r="L1618" i="1" s="1"/>
  <c r="K1619" i="1"/>
  <c r="K1620" i="1"/>
  <c r="K1621" i="1"/>
  <c r="K1622" i="1"/>
  <c r="K1623" i="1"/>
  <c r="L1623" i="1" s="1"/>
  <c r="K1624" i="1"/>
  <c r="K1625" i="1"/>
  <c r="K1626" i="1"/>
  <c r="K1627" i="1"/>
  <c r="K1628" i="1"/>
  <c r="K1629" i="1"/>
  <c r="K1630" i="1"/>
  <c r="K1631" i="1"/>
  <c r="L1631" i="1" s="1"/>
  <c r="K1632" i="1"/>
  <c r="K1633" i="1"/>
  <c r="K1634" i="1"/>
  <c r="K1635" i="1"/>
  <c r="K1636" i="1"/>
  <c r="K1637" i="1"/>
  <c r="K1638" i="1"/>
  <c r="K1639" i="1"/>
  <c r="L1639" i="1" s="1"/>
  <c r="K1640" i="1"/>
  <c r="K1641" i="1"/>
  <c r="K1642" i="1"/>
  <c r="K1643" i="1"/>
  <c r="K1644" i="1"/>
  <c r="K1645" i="1"/>
  <c r="K1646" i="1"/>
  <c r="K1647" i="1"/>
  <c r="L1647" i="1" s="1"/>
  <c r="K1648" i="1"/>
  <c r="K1649" i="1"/>
  <c r="L1649" i="1" s="1"/>
  <c r="K1650" i="1"/>
  <c r="K1651" i="1"/>
  <c r="K1652" i="1"/>
  <c r="K1653" i="1"/>
  <c r="K1654" i="1"/>
  <c r="K1655" i="1"/>
  <c r="L1655" i="1" s="1"/>
  <c r="K1656" i="1"/>
  <c r="K1657" i="1"/>
  <c r="L1657" i="1" s="1"/>
  <c r="K1658" i="1"/>
  <c r="L1658" i="1" s="1"/>
  <c r="K1659" i="1"/>
  <c r="K1660" i="1"/>
  <c r="K1661" i="1"/>
  <c r="K1662" i="1"/>
  <c r="K1663" i="1"/>
  <c r="L1663" i="1" s="1"/>
  <c r="K1664" i="1"/>
  <c r="K1665" i="1"/>
  <c r="L1665" i="1" s="1"/>
  <c r="K1666" i="1"/>
  <c r="L1666" i="1" s="1"/>
  <c r="K1667" i="1"/>
  <c r="K1668" i="1"/>
  <c r="K1669" i="1"/>
  <c r="K1670" i="1"/>
  <c r="K1671" i="1"/>
  <c r="L1671" i="1" s="1"/>
  <c r="K1672" i="1"/>
  <c r="K1673" i="1"/>
  <c r="L1673" i="1" s="1"/>
  <c r="K1674" i="1"/>
  <c r="L1674" i="1" s="1"/>
  <c r="K1675" i="1"/>
  <c r="K1676" i="1"/>
  <c r="K1677" i="1"/>
  <c r="K1678" i="1"/>
  <c r="K1679" i="1"/>
  <c r="L1679" i="1" s="1"/>
  <c r="K1680" i="1"/>
  <c r="K1681" i="1"/>
  <c r="K1682" i="1"/>
  <c r="L1682" i="1" s="1"/>
  <c r="K1683" i="1"/>
  <c r="K1684" i="1"/>
  <c r="K1685" i="1"/>
  <c r="K1686" i="1"/>
  <c r="K1687" i="1"/>
  <c r="L1687" i="1" s="1"/>
  <c r="K1688" i="1"/>
  <c r="K1689" i="1"/>
  <c r="K1690" i="1"/>
  <c r="K1691" i="1"/>
  <c r="K1692" i="1"/>
  <c r="K1693" i="1"/>
  <c r="K1694" i="1"/>
  <c r="K1695" i="1"/>
  <c r="L1695" i="1" s="1"/>
  <c r="K1696" i="1"/>
  <c r="K1697" i="1"/>
  <c r="K1698" i="1"/>
  <c r="K1699" i="1"/>
  <c r="K1700" i="1"/>
  <c r="K1701" i="1"/>
  <c r="K1702" i="1"/>
  <c r="K1703" i="1"/>
  <c r="L1703" i="1" s="1"/>
  <c r="K1704" i="1"/>
  <c r="K1705" i="1"/>
  <c r="K1706" i="1"/>
  <c r="K1707" i="1"/>
  <c r="K1708" i="1"/>
  <c r="K1709" i="1"/>
  <c r="K1710" i="1"/>
  <c r="K1711" i="1"/>
  <c r="L1711" i="1" s="1"/>
  <c r="K1712" i="1"/>
  <c r="K1713" i="1"/>
  <c r="L1713" i="1" s="1"/>
  <c r="K1714" i="1"/>
  <c r="K1715" i="1"/>
  <c r="K1716" i="1"/>
  <c r="K1717" i="1"/>
  <c r="K1718" i="1"/>
  <c r="K1719" i="1"/>
  <c r="L1719" i="1" s="1"/>
  <c r="K1720" i="1"/>
  <c r="K1721" i="1"/>
  <c r="L1721" i="1" s="1"/>
  <c r="K1722" i="1"/>
  <c r="L1722" i="1" s="1"/>
  <c r="K1723" i="1"/>
  <c r="K1724" i="1"/>
  <c r="K1725" i="1"/>
  <c r="K1726" i="1"/>
  <c r="K1727" i="1"/>
  <c r="L1727" i="1" s="1"/>
  <c r="K1728" i="1"/>
  <c r="K1729" i="1"/>
  <c r="L1729" i="1" s="1"/>
  <c r="K1730" i="1"/>
  <c r="L1730" i="1" s="1"/>
  <c r="K1731" i="1"/>
  <c r="K1732" i="1"/>
  <c r="K1733" i="1"/>
  <c r="K1734" i="1"/>
  <c r="K1735" i="1"/>
  <c r="L1735" i="1" s="1"/>
  <c r="K1736" i="1"/>
  <c r="K1737" i="1"/>
  <c r="L1737" i="1" s="1"/>
  <c r="K1738" i="1"/>
  <c r="L1738" i="1" s="1"/>
  <c r="K1739" i="1"/>
  <c r="K1740" i="1"/>
  <c r="K1741" i="1"/>
  <c r="K1742" i="1"/>
  <c r="K1743" i="1"/>
  <c r="L1743" i="1" s="1"/>
  <c r="K1744" i="1"/>
  <c r="K1745" i="1"/>
  <c r="K1746" i="1"/>
  <c r="L1746" i="1" s="1"/>
  <c r="K1747" i="1"/>
  <c r="K1748" i="1"/>
  <c r="K1749" i="1"/>
  <c r="K1750" i="1"/>
  <c r="K1751" i="1"/>
  <c r="L1751" i="1" s="1"/>
  <c r="K1752" i="1"/>
  <c r="K1753" i="1"/>
  <c r="K1754" i="1"/>
  <c r="L1754" i="1" s="1"/>
  <c r="K1755" i="1"/>
  <c r="K1756" i="1"/>
  <c r="K1757" i="1"/>
  <c r="K1758" i="1"/>
  <c r="K1759" i="1"/>
  <c r="L1759" i="1" s="1"/>
  <c r="K1760" i="1"/>
  <c r="K1761" i="1"/>
  <c r="L1761" i="1" s="1"/>
  <c r="K1762" i="1"/>
  <c r="K1763" i="1"/>
  <c r="K1764" i="1"/>
  <c r="K1765" i="1"/>
  <c r="K1766" i="1"/>
  <c r="K1767" i="1"/>
  <c r="L1767" i="1" s="1"/>
  <c r="K1768" i="1"/>
  <c r="K1769" i="1"/>
  <c r="K1770" i="1"/>
  <c r="K1771" i="1"/>
  <c r="K1772" i="1"/>
  <c r="K1773" i="1"/>
  <c r="K1774" i="1"/>
  <c r="K1775" i="1"/>
  <c r="L1775" i="1" s="1"/>
  <c r="K1776" i="1"/>
  <c r="K1777" i="1"/>
  <c r="L1777" i="1" s="1"/>
  <c r="K1778" i="1"/>
  <c r="K1779" i="1"/>
  <c r="K1780" i="1"/>
  <c r="K1781" i="1"/>
  <c r="K1782" i="1"/>
  <c r="K1783" i="1"/>
  <c r="L1783" i="1" s="1"/>
  <c r="K1784" i="1"/>
  <c r="K1785" i="1"/>
  <c r="L1785" i="1" s="1"/>
  <c r="K1786" i="1"/>
  <c r="L1786" i="1" s="1"/>
  <c r="K1787" i="1"/>
  <c r="K1788" i="1"/>
  <c r="K1789" i="1"/>
  <c r="K1790" i="1"/>
  <c r="K1791" i="1"/>
  <c r="L1791" i="1" s="1"/>
  <c r="K1792" i="1"/>
  <c r="K1793" i="1"/>
  <c r="L1793" i="1" s="1"/>
  <c r="K1794" i="1"/>
  <c r="L1794" i="1" s="1"/>
  <c r="K1795" i="1"/>
  <c r="K1796" i="1"/>
  <c r="K1797" i="1"/>
  <c r="K1798" i="1"/>
  <c r="K1799" i="1"/>
  <c r="L1799" i="1" s="1"/>
  <c r="K1800" i="1"/>
  <c r="K1801" i="1"/>
  <c r="L1801" i="1" s="1"/>
  <c r="K1802" i="1"/>
  <c r="L1802" i="1" s="1"/>
  <c r="K1803" i="1"/>
  <c r="K1804" i="1"/>
  <c r="K1805" i="1"/>
  <c r="K1806" i="1"/>
  <c r="K1807" i="1"/>
  <c r="L1807" i="1" s="1"/>
  <c r="K1808" i="1"/>
  <c r="K1809" i="1"/>
  <c r="K1810" i="1"/>
  <c r="L1810" i="1" s="1"/>
  <c r="K1811" i="1"/>
  <c r="K1812" i="1"/>
  <c r="K1813" i="1"/>
  <c r="K1814" i="1"/>
  <c r="K1815" i="1"/>
  <c r="L1815" i="1" s="1"/>
  <c r="K1816" i="1"/>
  <c r="K1817" i="1"/>
  <c r="K1818" i="1"/>
  <c r="K1819" i="1"/>
  <c r="K1820" i="1"/>
  <c r="K1821" i="1"/>
  <c r="K1822" i="1"/>
  <c r="K1823" i="1"/>
  <c r="L1823" i="1" s="1"/>
  <c r="K1824" i="1"/>
  <c r="K1825" i="1"/>
  <c r="L1825" i="1" s="1"/>
  <c r="K1826" i="1"/>
  <c r="K1827" i="1"/>
  <c r="K1828" i="1"/>
  <c r="K1829" i="1"/>
  <c r="K1830" i="1"/>
  <c r="K1831" i="1"/>
  <c r="L1831" i="1" s="1"/>
  <c r="K1832" i="1"/>
  <c r="K1833" i="1"/>
  <c r="K1834" i="1"/>
  <c r="K1835" i="1"/>
  <c r="K1836" i="1"/>
  <c r="K1837" i="1"/>
  <c r="K1838" i="1"/>
  <c r="K1839" i="1"/>
  <c r="L1839" i="1" s="1"/>
  <c r="K1840" i="1"/>
  <c r="K1841" i="1"/>
  <c r="L1841" i="1" s="1"/>
  <c r="K1842" i="1"/>
  <c r="K1843" i="1"/>
  <c r="K1844" i="1"/>
  <c r="K1845" i="1"/>
  <c r="K1846" i="1"/>
  <c r="K1847" i="1"/>
  <c r="L1847" i="1" s="1"/>
  <c r="K1848" i="1"/>
  <c r="K1849" i="1"/>
  <c r="L1849" i="1" s="1"/>
  <c r="K1850" i="1"/>
  <c r="L1850" i="1" s="1"/>
  <c r="K1851" i="1"/>
  <c r="K1852" i="1"/>
  <c r="K1853" i="1"/>
  <c r="K1854" i="1"/>
  <c r="K1855" i="1"/>
  <c r="L1855" i="1" s="1"/>
  <c r="K1856" i="1"/>
  <c r="K1857" i="1"/>
  <c r="L1857" i="1" s="1"/>
  <c r="K1858" i="1"/>
  <c r="L1858" i="1" s="1"/>
  <c r="K1859" i="1"/>
  <c r="K1860" i="1"/>
  <c r="K1861" i="1"/>
  <c r="K1862" i="1"/>
  <c r="K1863" i="1"/>
  <c r="L1863" i="1" s="1"/>
  <c r="K1864" i="1"/>
  <c r="K1865" i="1"/>
  <c r="L1865" i="1" s="1"/>
  <c r="K1866" i="1"/>
  <c r="L1866" i="1" s="1"/>
  <c r="K1867" i="1"/>
  <c r="K1868" i="1"/>
  <c r="K1869" i="1"/>
  <c r="K1870" i="1"/>
  <c r="K1871" i="1"/>
  <c r="L1871" i="1" s="1"/>
  <c r="K1872" i="1"/>
  <c r="K1873" i="1"/>
  <c r="K1874" i="1"/>
  <c r="L1874" i="1" s="1"/>
  <c r="K1875" i="1"/>
  <c r="K1876" i="1"/>
  <c r="K1877" i="1"/>
  <c r="K1878" i="1"/>
  <c r="K1879" i="1"/>
  <c r="L1879" i="1" s="1"/>
  <c r="K1880" i="1"/>
  <c r="K1881" i="1"/>
  <c r="K1882" i="1"/>
  <c r="K1883" i="1"/>
  <c r="K1884" i="1"/>
  <c r="K1885" i="1"/>
  <c r="K1886" i="1"/>
  <c r="K1887" i="1"/>
  <c r="L1887" i="1" s="1"/>
  <c r="K1888" i="1"/>
  <c r="K1889" i="1"/>
  <c r="L1889" i="1" s="1"/>
  <c r="K1890" i="1"/>
  <c r="K1891" i="1"/>
  <c r="K1892" i="1"/>
  <c r="K1893" i="1"/>
  <c r="K1894" i="1"/>
  <c r="K1895" i="1"/>
  <c r="L1895" i="1" s="1"/>
  <c r="K1896" i="1"/>
  <c r="K1897" i="1"/>
  <c r="K1898" i="1"/>
  <c r="K1899" i="1"/>
  <c r="K1900" i="1"/>
  <c r="K1901" i="1"/>
  <c r="K1902" i="1"/>
  <c r="K1903" i="1"/>
  <c r="L1903" i="1" s="1"/>
  <c r="K1904" i="1"/>
  <c r="K1905" i="1"/>
  <c r="L1905" i="1" s="1"/>
  <c r="K1906" i="1"/>
  <c r="K1907" i="1"/>
  <c r="K1908" i="1"/>
  <c r="K1909" i="1"/>
  <c r="K1910" i="1"/>
  <c r="K1911" i="1"/>
  <c r="L1911" i="1" s="1"/>
  <c r="K1912" i="1"/>
  <c r="K1913" i="1"/>
  <c r="L1913" i="1" s="1"/>
  <c r="K1914" i="1"/>
  <c r="L1914" i="1" s="1"/>
  <c r="K1915" i="1"/>
  <c r="K1916" i="1"/>
  <c r="K1917" i="1"/>
  <c r="K1918" i="1"/>
  <c r="K1919" i="1"/>
  <c r="L1919" i="1" s="1"/>
  <c r="K1920" i="1"/>
  <c r="K1921" i="1"/>
  <c r="L1921" i="1" s="1"/>
  <c r="K1922" i="1"/>
  <c r="L1922" i="1" s="1"/>
  <c r="K1923" i="1"/>
  <c r="K1924" i="1"/>
  <c r="K1925" i="1"/>
  <c r="K1926" i="1"/>
  <c r="K1927" i="1"/>
  <c r="L1927" i="1" s="1"/>
  <c r="K1928" i="1"/>
  <c r="K1929" i="1"/>
  <c r="L1929" i="1" s="1"/>
  <c r="K1930" i="1"/>
  <c r="L1930" i="1" s="1"/>
  <c r="K1931" i="1"/>
  <c r="K1932" i="1"/>
  <c r="K1933" i="1"/>
  <c r="K1934" i="1"/>
  <c r="K1935" i="1"/>
  <c r="L1935" i="1" s="1"/>
  <c r="K1936" i="1"/>
  <c r="K1937" i="1"/>
  <c r="K1938" i="1"/>
  <c r="L1938" i="1" s="1"/>
  <c r="K1939" i="1"/>
  <c r="K1940" i="1"/>
  <c r="K1941" i="1"/>
  <c r="K1942" i="1"/>
  <c r="K1943" i="1"/>
  <c r="L1943" i="1" s="1"/>
  <c r="K1944" i="1"/>
  <c r="K1945" i="1"/>
  <c r="K1946" i="1"/>
  <c r="L1946" i="1" s="1"/>
  <c r="K1947" i="1"/>
  <c r="K1948" i="1"/>
  <c r="K1949" i="1"/>
  <c r="K1950" i="1"/>
  <c r="K1951" i="1"/>
  <c r="L1951" i="1" s="1"/>
  <c r="K1952" i="1"/>
  <c r="K1953" i="1"/>
  <c r="L1953" i="1" s="1"/>
  <c r="K1954" i="1"/>
  <c r="K1955" i="1"/>
  <c r="K1956" i="1"/>
  <c r="K1957" i="1"/>
  <c r="K1958" i="1"/>
  <c r="K1959" i="1"/>
  <c r="L1959" i="1" s="1"/>
  <c r="K1960" i="1"/>
  <c r="K1961" i="1"/>
  <c r="K1962" i="1"/>
  <c r="K1963" i="1"/>
  <c r="K1964" i="1"/>
  <c r="K1965" i="1"/>
  <c r="K1966" i="1"/>
  <c r="K1967" i="1"/>
  <c r="L1967" i="1" s="1"/>
  <c r="K1968" i="1"/>
  <c r="K1969" i="1"/>
  <c r="L1969" i="1" s="1"/>
  <c r="K1970" i="1"/>
  <c r="K1971" i="1"/>
  <c r="K1972" i="1"/>
  <c r="K1973" i="1"/>
  <c r="K1974" i="1"/>
  <c r="K1975" i="1"/>
  <c r="L1975" i="1" s="1"/>
  <c r="K1976" i="1"/>
  <c r="K1977" i="1"/>
  <c r="L1977" i="1" s="1"/>
  <c r="K1978" i="1"/>
  <c r="L1978" i="1" s="1"/>
  <c r="K1979" i="1"/>
  <c r="K1980" i="1"/>
  <c r="K1981" i="1"/>
  <c r="K1982" i="1"/>
  <c r="K1983" i="1"/>
  <c r="L1983" i="1" s="1"/>
  <c r="K1984" i="1"/>
  <c r="K1985" i="1"/>
  <c r="L1985" i="1" s="1"/>
  <c r="K1986" i="1"/>
  <c r="L1986" i="1" s="1"/>
  <c r="K1987" i="1"/>
  <c r="K1988" i="1"/>
  <c r="K1989" i="1"/>
  <c r="K1990" i="1"/>
  <c r="K1991" i="1"/>
  <c r="L1991" i="1" s="1"/>
  <c r="K1992" i="1"/>
  <c r="K1993" i="1"/>
  <c r="L1993" i="1" s="1"/>
  <c r="K1994" i="1"/>
  <c r="L1994" i="1" s="1"/>
  <c r="K1995" i="1"/>
  <c r="K1996" i="1"/>
  <c r="K1997" i="1"/>
  <c r="K1998" i="1"/>
  <c r="K1999" i="1"/>
  <c r="L1999" i="1" s="1"/>
  <c r="K2000" i="1"/>
  <c r="K2001" i="1"/>
  <c r="K2002" i="1"/>
  <c r="L2002" i="1" s="1"/>
  <c r="K2003" i="1"/>
  <c r="K2004" i="1"/>
  <c r="K2005" i="1"/>
  <c r="K2006" i="1"/>
  <c r="K2007" i="1"/>
  <c r="L2007" i="1" s="1"/>
  <c r="K2008" i="1"/>
  <c r="K2009" i="1"/>
  <c r="K2010" i="1"/>
  <c r="L2010" i="1" s="1"/>
  <c r="K2011" i="1"/>
  <c r="K2012" i="1"/>
  <c r="K2013" i="1"/>
  <c r="K2014" i="1"/>
  <c r="K2015" i="1"/>
  <c r="L2015" i="1" s="1"/>
  <c r="K2016" i="1"/>
  <c r="K2017" i="1"/>
  <c r="L2017" i="1" s="1"/>
  <c r="K2018" i="1"/>
  <c r="K2019" i="1"/>
  <c r="K2020" i="1"/>
  <c r="K2021" i="1"/>
  <c r="K2022" i="1"/>
  <c r="K2023" i="1"/>
  <c r="L2023" i="1" s="1"/>
  <c r="K2024" i="1"/>
  <c r="K2025" i="1"/>
  <c r="K2026" i="1"/>
  <c r="K2027" i="1"/>
  <c r="K2028" i="1"/>
  <c r="K2029" i="1"/>
  <c r="K2030" i="1"/>
  <c r="K2031" i="1"/>
  <c r="L2031" i="1" s="1"/>
  <c r="K2032" i="1"/>
  <c r="K2033" i="1"/>
  <c r="L2033" i="1" s="1"/>
  <c r="K2034" i="1"/>
  <c r="K2035" i="1"/>
  <c r="K2036" i="1"/>
  <c r="K2037" i="1"/>
  <c r="K2038" i="1"/>
  <c r="K2039" i="1"/>
  <c r="L2039" i="1" s="1"/>
  <c r="K2040" i="1"/>
  <c r="K2041" i="1"/>
  <c r="L2041" i="1" s="1"/>
  <c r="K2042" i="1"/>
  <c r="L2042" i="1" s="1"/>
  <c r="K2043" i="1"/>
  <c r="K2044" i="1"/>
  <c r="K2045" i="1"/>
  <c r="K2046" i="1"/>
  <c r="K2047" i="1"/>
  <c r="L2047" i="1" s="1"/>
  <c r="K2048" i="1"/>
  <c r="K2049" i="1"/>
  <c r="L2049" i="1" s="1"/>
  <c r="K2050" i="1"/>
  <c r="L2050" i="1" s="1"/>
  <c r="K2051" i="1"/>
  <c r="K2052" i="1"/>
  <c r="K2053" i="1"/>
  <c r="K2054" i="1"/>
  <c r="K2055" i="1"/>
  <c r="L2055" i="1" s="1"/>
  <c r="K2056" i="1"/>
  <c r="K2057" i="1"/>
  <c r="L2057" i="1" s="1"/>
  <c r="K2058" i="1"/>
  <c r="L2058" i="1" s="1"/>
  <c r="K2059" i="1"/>
  <c r="K2060" i="1"/>
  <c r="K2061" i="1"/>
  <c r="K2062" i="1"/>
  <c r="K2063" i="1"/>
  <c r="L2063" i="1" s="1"/>
  <c r="K2064" i="1"/>
  <c r="K2065" i="1"/>
  <c r="K2066" i="1"/>
  <c r="L2066" i="1" s="1"/>
  <c r="K2067" i="1"/>
  <c r="K2068" i="1"/>
  <c r="K2069" i="1"/>
  <c r="K2070" i="1"/>
  <c r="K2071" i="1"/>
  <c r="L2071" i="1" s="1"/>
  <c r="K2072" i="1"/>
  <c r="K2073" i="1"/>
  <c r="K2074" i="1"/>
  <c r="L2074" i="1" s="1"/>
  <c r="K2075" i="1"/>
  <c r="K2076" i="1"/>
  <c r="K2077" i="1"/>
  <c r="K2078" i="1"/>
  <c r="K2079" i="1"/>
  <c r="L2079" i="1" s="1"/>
  <c r="K2080" i="1"/>
  <c r="K2081" i="1"/>
  <c r="L2081" i="1" s="1"/>
  <c r="K2082" i="1"/>
  <c r="K2083" i="1"/>
  <c r="K2084" i="1"/>
  <c r="K2085" i="1"/>
  <c r="K2086" i="1"/>
  <c r="K2087" i="1"/>
  <c r="L2087" i="1" s="1"/>
  <c r="K2088" i="1"/>
  <c r="K2089" i="1"/>
  <c r="K2090" i="1"/>
  <c r="K2091" i="1"/>
  <c r="K2092" i="1"/>
  <c r="K2093" i="1"/>
  <c r="K2094" i="1"/>
  <c r="K2095" i="1"/>
  <c r="L2095" i="1" s="1"/>
  <c r="K2096" i="1"/>
  <c r="K2097" i="1"/>
  <c r="L2097" i="1" s="1"/>
  <c r="K2098" i="1"/>
  <c r="K2099" i="1"/>
  <c r="K2100" i="1"/>
  <c r="K2101" i="1"/>
  <c r="K2102" i="1"/>
  <c r="K2103" i="1"/>
  <c r="L2103" i="1" s="1"/>
  <c r="K2104" i="1"/>
  <c r="K2105" i="1"/>
  <c r="L2105" i="1" s="1"/>
  <c r="K2106" i="1"/>
  <c r="L2106" i="1" s="1"/>
  <c r="K2107" i="1"/>
  <c r="K2108" i="1"/>
  <c r="K2109" i="1"/>
  <c r="K2110" i="1"/>
  <c r="K2111" i="1"/>
  <c r="L2111" i="1" s="1"/>
  <c r="K2112" i="1"/>
  <c r="K2113" i="1"/>
  <c r="L2113" i="1" s="1"/>
  <c r="K2114" i="1"/>
  <c r="L2114" i="1" s="1"/>
  <c r="K2115" i="1"/>
  <c r="K2116" i="1"/>
  <c r="K2117" i="1"/>
  <c r="K2118" i="1"/>
  <c r="K2119" i="1"/>
  <c r="L2119" i="1" s="1"/>
  <c r="K2120" i="1"/>
  <c r="K2121" i="1"/>
  <c r="L2121" i="1" s="1"/>
  <c r="K2122" i="1"/>
  <c r="L2122" i="1" s="1"/>
  <c r="K2123" i="1"/>
  <c r="K2124" i="1"/>
  <c r="K2125" i="1"/>
  <c r="K2126" i="1"/>
  <c r="K2127" i="1"/>
  <c r="L2127" i="1" s="1"/>
  <c r="K2128" i="1"/>
  <c r="K2129" i="1"/>
  <c r="K2130" i="1"/>
  <c r="L2130" i="1" s="1"/>
  <c r="K2131" i="1"/>
  <c r="K2132" i="1"/>
  <c r="K2133" i="1"/>
  <c r="K2134" i="1"/>
  <c r="K2135" i="1"/>
  <c r="L2135" i="1" s="1"/>
  <c r="K2136" i="1"/>
  <c r="K2137" i="1"/>
  <c r="K2138" i="1"/>
  <c r="L2138" i="1" s="1"/>
  <c r="K2139" i="1"/>
  <c r="K2140" i="1"/>
  <c r="K2141" i="1"/>
  <c r="K2142" i="1"/>
  <c r="K2143" i="1"/>
  <c r="L2143" i="1" s="1"/>
  <c r="K2144" i="1"/>
  <c r="K2145" i="1"/>
  <c r="L2145" i="1" s="1"/>
  <c r="K2146" i="1"/>
  <c r="L2146" i="1" s="1"/>
  <c r="K2147" i="1"/>
  <c r="K2148" i="1"/>
  <c r="K2149" i="1"/>
  <c r="K2150" i="1"/>
  <c r="K2151" i="1"/>
  <c r="L2151" i="1" s="1"/>
  <c r="K2152" i="1"/>
  <c r="K2153" i="1"/>
  <c r="K2154" i="1"/>
  <c r="K2155" i="1"/>
  <c r="K2156" i="1"/>
  <c r="K2157" i="1"/>
  <c r="K2158" i="1"/>
  <c r="K2159" i="1"/>
  <c r="L2159" i="1" s="1"/>
  <c r="K2160" i="1"/>
  <c r="K2161" i="1"/>
  <c r="L2161" i="1" s="1"/>
  <c r="K2162" i="1"/>
  <c r="K2163" i="1"/>
  <c r="K2164" i="1"/>
  <c r="K2165" i="1"/>
  <c r="K2166" i="1"/>
  <c r="K2167" i="1"/>
  <c r="L2167" i="1" s="1"/>
  <c r="K2168" i="1"/>
  <c r="K2169" i="1"/>
  <c r="L2169" i="1" s="1"/>
  <c r="K2170" i="1"/>
  <c r="L2170" i="1" s="1"/>
  <c r="K2171" i="1"/>
  <c r="K2172" i="1"/>
  <c r="K2173" i="1"/>
  <c r="K2174" i="1"/>
  <c r="K2175" i="1"/>
  <c r="L2175" i="1" s="1"/>
  <c r="K2176" i="1"/>
  <c r="K2177" i="1"/>
  <c r="L2177" i="1" s="1"/>
  <c r="K2178" i="1"/>
  <c r="L2178" i="1" s="1"/>
  <c r="K2179" i="1"/>
  <c r="K2180" i="1"/>
  <c r="K2181" i="1"/>
  <c r="K2182" i="1"/>
  <c r="K2183" i="1"/>
  <c r="L2183" i="1" s="1"/>
  <c r="K2184" i="1"/>
  <c r="K2185" i="1"/>
  <c r="L2185" i="1" s="1"/>
  <c r="K2186" i="1"/>
  <c r="L2186" i="1" s="1"/>
  <c r="K2187" i="1"/>
  <c r="K2188" i="1"/>
  <c r="K2189" i="1"/>
  <c r="K2190" i="1"/>
  <c r="K2191" i="1"/>
  <c r="L2191" i="1" s="1"/>
  <c r="K2192" i="1"/>
  <c r="K2193" i="1"/>
  <c r="K2194" i="1"/>
  <c r="L2194" i="1" s="1"/>
  <c r="K2195" i="1"/>
  <c r="K2196" i="1"/>
  <c r="K2197" i="1"/>
  <c r="K2198" i="1"/>
  <c r="K2199" i="1"/>
  <c r="L2199" i="1" s="1"/>
  <c r="K2200" i="1"/>
  <c r="K2201" i="1"/>
  <c r="K2202" i="1"/>
  <c r="L2202" i="1" s="1"/>
  <c r="K2203" i="1"/>
  <c r="K2204" i="1"/>
  <c r="K2205" i="1"/>
  <c r="K2206" i="1"/>
  <c r="K2207" i="1"/>
  <c r="L2207" i="1" s="1"/>
  <c r="K2208" i="1"/>
  <c r="K2209" i="1"/>
  <c r="L2209" i="1" s="1"/>
  <c r="K2210" i="1"/>
  <c r="L2210" i="1" s="1"/>
  <c r="K2211" i="1"/>
  <c r="K2212" i="1"/>
  <c r="K2213" i="1"/>
  <c r="K2214" i="1"/>
  <c r="K2215" i="1"/>
  <c r="L2215" i="1" s="1"/>
  <c r="K2216" i="1"/>
  <c r="K2217" i="1"/>
  <c r="K2218" i="1"/>
  <c r="K2219" i="1"/>
  <c r="K2220" i="1"/>
  <c r="K2221" i="1"/>
  <c r="K2222" i="1"/>
  <c r="K2223" i="1"/>
  <c r="L2223" i="1" s="1"/>
  <c r="K2224" i="1"/>
  <c r="K2225" i="1"/>
  <c r="L2225" i="1" s="1"/>
  <c r="K2226" i="1"/>
  <c r="K2227" i="1"/>
  <c r="K2228" i="1"/>
  <c r="K2229" i="1"/>
  <c r="K2230" i="1"/>
  <c r="K2231" i="1"/>
  <c r="L2231" i="1" s="1"/>
  <c r="K2232" i="1"/>
  <c r="K2233" i="1"/>
  <c r="L2233" i="1" s="1"/>
  <c r="K2234" i="1"/>
  <c r="L2234" i="1" s="1"/>
  <c r="K2235" i="1"/>
  <c r="K2236" i="1"/>
  <c r="K2237" i="1"/>
  <c r="K2238" i="1"/>
  <c r="K2239" i="1"/>
  <c r="L2239" i="1" s="1"/>
  <c r="K2240" i="1"/>
  <c r="K2241" i="1"/>
  <c r="L2241" i="1" s="1"/>
  <c r="K2242" i="1"/>
  <c r="L2242" i="1" s="1"/>
  <c r="K2243" i="1"/>
  <c r="K2244" i="1"/>
  <c r="K2245" i="1"/>
  <c r="K2246" i="1"/>
  <c r="K2247" i="1"/>
  <c r="L2247" i="1" s="1"/>
  <c r="K2248" i="1"/>
  <c r="K2249" i="1"/>
  <c r="L2249" i="1" s="1"/>
  <c r="K2250" i="1"/>
  <c r="L2250" i="1" s="1"/>
  <c r="K2251" i="1"/>
  <c r="K2252" i="1"/>
  <c r="K2253" i="1"/>
  <c r="K2254" i="1"/>
  <c r="K2255" i="1"/>
  <c r="L2255" i="1" s="1"/>
  <c r="K2256" i="1"/>
  <c r="K2257" i="1"/>
  <c r="K2258" i="1"/>
  <c r="L2258" i="1" s="1"/>
  <c r="K2259" i="1"/>
  <c r="K2260" i="1"/>
  <c r="K2261" i="1"/>
  <c r="K2262" i="1"/>
  <c r="K2263" i="1"/>
  <c r="L2263" i="1" s="1"/>
  <c r="K2264" i="1"/>
  <c r="K2265" i="1"/>
  <c r="K2266" i="1"/>
  <c r="L2266" i="1" s="1"/>
  <c r="K2267" i="1"/>
  <c r="K2268" i="1"/>
  <c r="K2269" i="1"/>
  <c r="K2270" i="1"/>
  <c r="K2271" i="1"/>
  <c r="L2271" i="1" s="1"/>
  <c r="K2272" i="1"/>
  <c r="K2273" i="1"/>
  <c r="L2273" i="1" s="1"/>
  <c r="K2274" i="1"/>
  <c r="L2274" i="1" s="1"/>
  <c r="K2275" i="1"/>
  <c r="K2276" i="1"/>
  <c r="K2277" i="1"/>
  <c r="K2278" i="1"/>
  <c r="K2279" i="1"/>
  <c r="L2279" i="1" s="1"/>
  <c r="K2280" i="1"/>
  <c r="K2281" i="1"/>
  <c r="K2282" i="1"/>
  <c r="K2283" i="1"/>
  <c r="K2284" i="1"/>
  <c r="K2285" i="1"/>
  <c r="K2286" i="1"/>
  <c r="K2287" i="1"/>
  <c r="L2287" i="1" s="1"/>
  <c r="K2288" i="1"/>
  <c r="K2289" i="1"/>
  <c r="L2289" i="1" s="1"/>
  <c r="K2290" i="1"/>
  <c r="K2291" i="1"/>
  <c r="K2292" i="1"/>
  <c r="K2293" i="1"/>
  <c r="K2294" i="1"/>
  <c r="K2295" i="1"/>
  <c r="L2295" i="1" s="1"/>
  <c r="K2296" i="1"/>
  <c r="K2297" i="1"/>
  <c r="L2297" i="1" s="1"/>
  <c r="K2298" i="1"/>
  <c r="L2298" i="1" s="1"/>
  <c r="K2299" i="1"/>
  <c r="K2300" i="1"/>
  <c r="K2301" i="1"/>
  <c r="K2302" i="1"/>
  <c r="K2303" i="1"/>
  <c r="L2303" i="1" s="1"/>
  <c r="K2304" i="1"/>
  <c r="K2305" i="1"/>
  <c r="L2305" i="1" s="1"/>
  <c r="K2306" i="1"/>
  <c r="L2306" i="1" s="1"/>
  <c r="K2307" i="1"/>
  <c r="K2308" i="1"/>
  <c r="K2309" i="1"/>
  <c r="K2310" i="1"/>
  <c r="K2311" i="1"/>
  <c r="L2311" i="1" s="1"/>
  <c r="K2312" i="1"/>
  <c r="K2313" i="1"/>
  <c r="L2313" i="1" s="1"/>
  <c r="K2314" i="1"/>
  <c r="L2314" i="1" s="1"/>
  <c r="K2315" i="1"/>
  <c r="K2316" i="1"/>
  <c r="K2317" i="1"/>
  <c r="K2318" i="1"/>
  <c r="K2319" i="1"/>
  <c r="L2319" i="1" s="1"/>
  <c r="K2320" i="1"/>
  <c r="K2321" i="1"/>
  <c r="K2322" i="1"/>
  <c r="L2322" i="1" s="1"/>
  <c r="K2323" i="1"/>
  <c r="K2324" i="1"/>
  <c r="K2325" i="1"/>
  <c r="K2326" i="1"/>
  <c r="K2327" i="1"/>
  <c r="L2327" i="1" s="1"/>
  <c r="K2328" i="1"/>
  <c r="K2329" i="1"/>
  <c r="K2330" i="1"/>
  <c r="L2330" i="1" s="1"/>
  <c r="K2331" i="1"/>
  <c r="K2332" i="1"/>
  <c r="K2333" i="1"/>
  <c r="K2334" i="1"/>
  <c r="K2335" i="1"/>
  <c r="L2335" i="1" s="1"/>
  <c r="K2336" i="1"/>
  <c r="K2337" i="1"/>
  <c r="L2337" i="1" s="1"/>
  <c r="K2338" i="1"/>
  <c r="L2338" i="1" s="1"/>
  <c r="K2339" i="1"/>
  <c r="K2340" i="1"/>
  <c r="K2341" i="1"/>
  <c r="K2342" i="1"/>
  <c r="K2343" i="1"/>
  <c r="L2343" i="1" s="1"/>
  <c r="K2344" i="1"/>
  <c r="K2345" i="1"/>
  <c r="K2346" i="1"/>
  <c r="K2347" i="1"/>
  <c r="K2348" i="1"/>
  <c r="K2349" i="1"/>
  <c r="K2350" i="1"/>
  <c r="K2351" i="1"/>
  <c r="L2351" i="1" s="1"/>
  <c r="K2352" i="1"/>
  <c r="K2353" i="1"/>
  <c r="L2353" i="1" s="1"/>
  <c r="K2354" i="1"/>
  <c r="K2355" i="1"/>
  <c r="K2356" i="1"/>
  <c r="K2357" i="1"/>
  <c r="K2358" i="1"/>
  <c r="K2359" i="1"/>
  <c r="L2359" i="1" s="1"/>
  <c r="K2360" i="1"/>
  <c r="K2361" i="1"/>
  <c r="L2361" i="1" s="1"/>
  <c r="K2362" i="1"/>
  <c r="L2362" i="1" s="1"/>
  <c r="K2363" i="1"/>
  <c r="K2364" i="1"/>
  <c r="K2365" i="1"/>
  <c r="K2366" i="1"/>
  <c r="K2367" i="1"/>
  <c r="L2367" i="1" s="1"/>
  <c r="K2368" i="1"/>
  <c r="K2369" i="1"/>
  <c r="L2369" i="1" s="1"/>
  <c r="K2370" i="1"/>
  <c r="L2370" i="1" s="1"/>
  <c r="K2371" i="1"/>
  <c r="K2372" i="1"/>
  <c r="K2373" i="1"/>
  <c r="K2374" i="1"/>
  <c r="K2375" i="1"/>
  <c r="L2375" i="1" s="1"/>
  <c r="K2376" i="1"/>
  <c r="K2377" i="1"/>
  <c r="L2377" i="1" s="1"/>
  <c r="K2378" i="1"/>
  <c r="L2378" i="1" s="1"/>
  <c r="K2379" i="1"/>
  <c r="K2380" i="1"/>
  <c r="K2381" i="1"/>
  <c r="K2382" i="1"/>
  <c r="K2383" i="1"/>
  <c r="L2383" i="1" s="1"/>
  <c r="K2384" i="1"/>
  <c r="K2385" i="1"/>
  <c r="K2386" i="1"/>
  <c r="L2386" i="1" s="1"/>
  <c r="K2387" i="1"/>
  <c r="K2388" i="1"/>
  <c r="K2389" i="1"/>
  <c r="K2390" i="1"/>
  <c r="K2391" i="1"/>
  <c r="L2391" i="1" s="1"/>
  <c r="K2392" i="1"/>
  <c r="K2393" i="1"/>
  <c r="K2394" i="1"/>
  <c r="L2394" i="1" s="1"/>
  <c r="K2395" i="1"/>
  <c r="K2396" i="1"/>
  <c r="K2397" i="1"/>
  <c r="K2398" i="1"/>
  <c r="K2399" i="1"/>
  <c r="L2399" i="1" s="1"/>
  <c r="K2400" i="1"/>
  <c r="K2401" i="1"/>
  <c r="L2401" i="1" s="1"/>
  <c r="K2402" i="1"/>
  <c r="L2402" i="1" s="1"/>
  <c r="K2403" i="1"/>
  <c r="K2404" i="1"/>
  <c r="K2405" i="1"/>
  <c r="K2406" i="1"/>
  <c r="K2407" i="1"/>
  <c r="L2407" i="1" s="1"/>
  <c r="K2408" i="1"/>
  <c r="K2409" i="1"/>
  <c r="K2410" i="1"/>
  <c r="K2411" i="1"/>
  <c r="K2412" i="1"/>
  <c r="K2413" i="1"/>
  <c r="K2414" i="1"/>
  <c r="K2415" i="1"/>
  <c r="L2415" i="1" s="1"/>
  <c r="K2416" i="1"/>
  <c r="K2417" i="1"/>
  <c r="L2417" i="1" s="1"/>
  <c r="K2418" i="1"/>
  <c r="K2419" i="1"/>
  <c r="K2420" i="1"/>
  <c r="K2421" i="1"/>
  <c r="K2422" i="1"/>
  <c r="K2423" i="1"/>
  <c r="L2423" i="1" s="1"/>
  <c r="K2424" i="1"/>
  <c r="K2425" i="1"/>
  <c r="L2425" i="1" s="1"/>
  <c r="K2426" i="1"/>
  <c r="K2427" i="1"/>
  <c r="K2428" i="1"/>
  <c r="K2429" i="1"/>
  <c r="K2430" i="1"/>
  <c r="K2431" i="1"/>
  <c r="L2431" i="1" s="1"/>
  <c r="K2432" i="1"/>
  <c r="K2433" i="1"/>
  <c r="L2433" i="1" s="1"/>
  <c r="K2434" i="1"/>
  <c r="L2434" i="1" s="1"/>
  <c r="K2435" i="1"/>
  <c r="K2436" i="1"/>
  <c r="K2437" i="1"/>
  <c r="K2438" i="1"/>
  <c r="K2439" i="1"/>
  <c r="L2439" i="1" s="1"/>
  <c r="K2440" i="1"/>
  <c r="K2441" i="1"/>
  <c r="L2441" i="1" s="1"/>
  <c r="K2442" i="1"/>
  <c r="K2443" i="1"/>
  <c r="K2444" i="1"/>
  <c r="K2445" i="1"/>
  <c r="K2446" i="1"/>
  <c r="K2447" i="1"/>
  <c r="L2447" i="1" s="1"/>
  <c r="K2448" i="1"/>
  <c r="K2449" i="1"/>
  <c r="L2449" i="1" s="1"/>
  <c r="K2450" i="1"/>
  <c r="K2451" i="1"/>
  <c r="K2452" i="1"/>
  <c r="K2453" i="1"/>
  <c r="K2454" i="1"/>
  <c r="K2455" i="1"/>
  <c r="L2455" i="1" s="1"/>
  <c r="K2456" i="1"/>
  <c r="K2457" i="1"/>
  <c r="L2457" i="1" s="1"/>
  <c r="K2458" i="1"/>
  <c r="K2459" i="1"/>
  <c r="K2460" i="1"/>
  <c r="K2461" i="1"/>
  <c r="K2462" i="1"/>
  <c r="K2463" i="1"/>
  <c r="L2463" i="1" s="1"/>
  <c r="K2464" i="1"/>
  <c r="K2465" i="1"/>
  <c r="L2465" i="1" s="1"/>
  <c r="K2466" i="1"/>
  <c r="L2466" i="1" s="1"/>
  <c r="K2467" i="1"/>
  <c r="K2468" i="1"/>
  <c r="K2469" i="1"/>
  <c r="K2470" i="1"/>
  <c r="K2471" i="1"/>
  <c r="L2471" i="1" s="1"/>
  <c r="K2472" i="1"/>
  <c r="K2473" i="1"/>
  <c r="L2473" i="1" s="1"/>
  <c r="K2474" i="1"/>
  <c r="K2475" i="1"/>
  <c r="K2476" i="1"/>
  <c r="K2477" i="1"/>
  <c r="K2478" i="1"/>
  <c r="K2479" i="1"/>
  <c r="L2479" i="1" s="1"/>
  <c r="K2480" i="1"/>
  <c r="K2481" i="1"/>
  <c r="L2481" i="1" s="1"/>
  <c r="K2482" i="1"/>
  <c r="K2483" i="1"/>
  <c r="K2484" i="1"/>
  <c r="K2485" i="1"/>
  <c r="K2486" i="1"/>
  <c r="K2487" i="1"/>
  <c r="L2487" i="1" s="1"/>
  <c r="K2488" i="1"/>
  <c r="K2489" i="1"/>
  <c r="L2489" i="1" s="1"/>
  <c r="K2490" i="1"/>
  <c r="K2491" i="1"/>
  <c r="K2492" i="1"/>
  <c r="K2493" i="1"/>
  <c r="K2494" i="1"/>
  <c r="K2495" i="1"/>
  <c r="L2495" i="1" s="1"/>
  <c r="K2496" i="1"/>
  <c r="K2497" i="1"/>
  <c r="L2497" i="1" s="1"/>
  <c r="K2498" i="1"/>
  <c r="L2498" i="1" s="1"/>
  <c r="K2499" i="1"/>
  <c r="K2500" i="1"/>
  <c r="K2501" i="1"/>
  <c r="K2502" i="1"/>
  <c r="K2503" i="1"/>
  <c r="L2503" i="1" s="1"/>
  <c r="K2504" i="1"/>
  <c r="K2505" i="1"/>
  <c r="L2505" i="1" s="1"/>
  <c r="K2506" i="1"/>
  <c r="K2507" i="1"/>
  <c r="K2508" i="1"/>
  <c r="K2509" i="1"/>
  <c r="K2510" i="1"/>
  <c r="K2511" i="1"/>
  <c r="L2511" i="1" s="1"/>
  <c r="K2512" i="1"/>
  <c r="K2513" i="1"/>
  <c r="L2513" i="1" s="1"/>
  <c r="K2514" i="1"/>
  <c r="K2515" i="1"/>
  <c r="K2516" i="1"/>
  <c r="K2517" i="1"/>
  <c r="K2518" i="1"/>
  <c r="K2519" i="1"/>
  <c r="L2519" i="1" s="1"/>
  <c r="K2520" i="1"/>
  <c r="K2521" i="1"/>
  <c r="L2521" i="1" s="1"/>
  <c r="K2522" i="1"/>
  <c r="K2523" i="1"/>
  <c r="K2524" i="1"/>
  <c r="K2525" i="1"/>
  <c r="K2526" i="1"/>
  <c r="K2527" i="1"/>
  <c r="L2527" i="1" s="1"/>
  <c r="K2528" i="1"/>
  <c r="K2529" i="1"/>
  <c r="L2529" i="1" s="1"/>
  <c r="K2530" i="1"/>
  <c r="L2530" i="1" s="1"/>
  <c r="K2531" i="1"/>
  <c r="K2532" i="1"/>
  <c r="K2533" i="1"/>
  <c r="K2534" i="1"/>
  <c r="K2535" i="1"/>
  <c r="L2535" i="1" s="1"/>
  <c r="K2536" i="1"/>
  <c r="K2537" i="1"/>
  <c r="L2537" i="1" s="1"/>
  <c r="K2538" i="1"/>
  <c r="K2539" i="1"/>
  <c r="K2540" i="1"/>
  <c r="K2541" i="1"/>
  <c r="K2542" i="1"/>
  <c r="K2543" i="1"/>
  <c r="L2543" i="1" s="1"/>
  <c r="K2544" i="1"/>
  <c r="K2545" i="1"/>
  <c r="L2545" i="1" s="1"/>
  <c r="K2546" i="1"/>
  <c r="K2547" i="1"/>
  <c r="K2548" i="1"/>
  <c r="K2549" i="1"/>
  <c r="K2550" i="1"/>
  <c r="K2551" i="1"/>
  <c r="L2551" i="1" s="1"/>
  <c r="K2552" i="1"/>
  <c r="K2553" i="1"/>
  <c r="L2553" i="1" s="1"/>
  <c r="K2554" i="1"/>
  <c r="K2555" i="1"/>
  <c r="K2556" i="1"/>
  <c r="K2557" i="1"/>
  <c r="K2558" i="1"/>
  <c r="K2559" i="1"/>
  <c r="L2559" i="1" s="1"/>
  <c r="K2560" i="1"/>
  <c r="K2561" i="1"/>
  <c r="L2561" i="1" s="1"/>
  <c r="K2562" i="1"/>
  <c r="L2562" i="1" s="1"/>
  <c r="K2563" i="1"/>
  <c r="K2564" i="1"/>
  <c r="K2565" i="1"/>
  <c r="K2566" i="1"/>
  <c r="K2567" i="1"/>
  <c r="L2567" i="1" s="1"/>
  <c r="K2568" i="1"/>
  <c r="K2569" i="1"/>
  <c r="L2569" i="1" s="1"/>
  <c r="K2570" i="1"/>
  <c r="K2571" i="1"/>
  <c r="K2572" i="1"/>
  <c r="K2573" i="1"/>
  <c r="K2574" i="1"/>
  <c r="K2575" i="1"/>
  <c r="L2575" i="1" s="1"/>
  <c r="K2576" i="1"/>
  <c r="K2577" i="1"/>
  <c r="L2577" i="1" s="1"/>
  <c r="K2578" i="1"/>
  <c r="K2579" i="1"/>
  <c r="K2580" i="1"/>
  <c r="K2581" i="1"/>
  <c r="K2582" i="1"/>
  <c r="K2583" i="1"/>
  <c r="L2583" i="1" s="1"/>
  <c r="K2584" i="1"/>
  <c r="K2585" i="1"/>
  <c r="L2585" i="1" s="1"/>
  <c r="K2586" i="1"/>
  <c r="K2587" i="1"/>
  <c r="K2588" i="1"/>
  <c r="K2589" i="1"/>
  <c r="K2590" i="1"/>
  <c r="K2591" i="1"/>
  <c r="L2591" i="1" s="1"/>
  <c r="K2592" i="1"/>
  <c r="K2593" i="1"/>
  <c r="L2593" i="1" s="1"/>
  <c r="K2594" i="1"/>
  <c r="L2594" i="1" s="1"/>
  <c r="K2595" i="1"/>
  <c r="K2596" i="1"/>
  <c r="K2597" i="1"/>
  <c r="K2598" i="1"/>
  <c r="K2599" i="1"/>
  <c r="L2599" i="1" s="1"/>
  <c r="K2600" i="1"/>
  <c r="K2601" i="1"/>
  <c r="L2601" i="1" s="1"/>
  <c r="K2602" i="1"/>
  <c r="K2603" i="1"/>
  <c r="K2604" i="1"/>
  <c r="K2605" i="1"/>
  <c r="K2606" i="1"/>
  <c r="K2607" i="1"/>
  <c r="L2607" i="1" s="1"/>
  <c r="K2608" i="1"/>
  <c r="K2609" i="1"/>
  <c r="L2609" i="1" s="1"/>
  <c r="K2610" i="1"/>
  <c r="K2611" i="1"/>
  <c r="K2612" i="1"/>
  <c r="K2613" i="1"/>
  <c r="K2614" i="1"/>
  <c r="K2615" i="1"/>
  <c r="L2615" i="1" s="1"/>
  <c r="K2616" i="1"/>
  <c r="K2617" i="1"/>
  <c r="L2617" i="1" s="1"/>
  <c r="K2618" i="1"/>
  <c r="K2619" i="1"/>
  <c r="K2620" i="1"/>
  <c r="K2621" i="1"/>
  <c r="K2622" i="1"/>
  <c r="K2623" i="1"/>
  <c r="L2623" i="1" s="1"/>
  <c r="K2624" i="1"/>
  <c r="K2625" i="1"/>
  <c r="L2625" i="1" s="1"/>
  <c r="K2626" i="1"/>
  <c r="L2626" i="1" s="1"/>
  <c r="K2627" i="1"/>
  <c r="K2628" i="1"/>
  <c r="K2629" i="1"/>
  <c r="K2630" i="1"/>
  <c r="K2631" i="1"/>
  <c r="L2631" i="1" s="1"/>
  <c r="K2632" i="1"/>
  <c r="K2633" i="1"/>
  <c r="L2633" i="1" s="1"/>
  <c r="K2634" i="1"/>
  <c r="K2635" i="1"/>
  <c r="K2636" i="1"/>
  <c r="K2637" i="1"/>
  <c r="K2638" i="1"/>
  <c r="K2639" i="1"/>
  <c r="L2639" i="1" s="1"/>
  <c r="K2640" i="1"/>
  <c r="K2641" i="1"/>
  <c r="L2641" i="1" s="1"/>
  <c r="K2642" i="1"/>
  <c r="K2643" i="1"/>
  <c r="K2644" i="1"/>
  <c r="K2645" i="1"/>
  <c r="K2646" i="1"/>
  <c r="K2647" i="1"/>
  <c r="L2647" i="1" s="1"/>
  <c r="K2648" i="1"/>
  <c r="K2649" i="1"/>
  <c r="K2650" i="1"/>
  <c r="L2650" i="1" s="1"/>
  <c r="K2651" i="1"/>
  <c r="K2652" i="1"/>
  <c r="K2653" i="1"/>
  <c r="K2654" i="1"/>
  <c r="K2655" i="1"/>
  <c r="L2655" i="1" s="1"/>
  <c r="K2656" i="1"/>
  <c r="K2657" i="1"/>
  <c r="K2658" i="1"/>
  <c r="K2659" i="1"/>
  <c r="K2660" i="1"/>
  <c r="K2661" i="1"/>
  <c r="K2662" i="1"/>
  <c r="K2663" i="1"/>
  <c r="L2663" i="1" s="1"/>
  <c r="K2664" i="1"/>
  <c r="K2665" i="1"/>
  <c r="K2666" i="1"/>
  <c r="L2666" i="1" s="1"/>
  <c r="K2667" i="1"/>
  <c r="K2668" i="1"/>
  <c r="K2669" i="1"/>
  <c r="K2670" i="1"/>
  <c r="K2671" i="1"/>
  <c r="L2671" i="1" s="1"/>
  <c r="K2672" i="1"/>
  <c r="K2673" i="1"/>
  <c r="K2674" i="1"/>
  <c r="L2674" i="1" s="1"/>
  <c r="K2675" i="1"/>
  <c r="K2676" i="1"/>
  <c r="K2677" i="1"/>
  <c r="K2678" i="1"/>
  <c r="K2679" i="1"/>
  <c r="L2679" i="1" s="1"/>
  <c r="K2680" i="1"/>
  <c r="K2681" i="1"/>
  <c r="L2681" i="1" s="1"/>
  <c r="K2682" i="1"/>
  <c r="L2682" i="1" s="1"/>
  <c r="K2683" i="1"/>
  <c r="K2684" i="1"/>
  <c r="K2685" i="1"/>
  <c r="K2686" i="1"/>
  <c r="K2687" i="1"/>
  <c r="L2687" i="1" s="1"/>
  <c r="K2688" i="1"/>
  <c r="K2689" i="1"/>
  <c r="K2690" i="1"/>
  <c r="K2691" i="1"/>
  <c r="K2692" i="1"/>
  <c r="K2693" i="1"/>
  <c r="K2694" i="1"/>
  <c r="K2695" i="1"/>
  <c r="L2695" i="1" s="1"/>
  <c r="K2696" i="1"/>
  <c r="K2697" i="1"/>
  <c r="K2698" i="1"/>
  <c r="K2699" i="1"/>
  <c r="K2700" i="1"/>
  <c r="K2701" i="1"/>
  <c r="K2702" i="1"/>
  <c r="K2703" i="1"/>
  <c r="L2703" i="1" s="1"/>
  <c r="K2704" i="1"/>
  <c r="K2705" i="1"/>
  <c r="K2706" i="1"/>
  <c r="K2707" i="1"/>
  <c r="K2708" i="1"/>
  <c r="K2709" i="1"/>
  <c r="K2710" i="1"/>
  <c r="K2711" i="1"/>
  <c r="L2711" i="1" s="1"/>
  <c r="K2712" i="1"/>
  <c r="K2713" i="1"/>
  <c r="K2714" i="1"/>
  <c r="L2714" i="1" s="1"/>
  <c r="K2715" i="1"/>
  <c r="K2716" i="1"/>
  <c r="K2717" i="1"/>
  <c r="K2718" i="1"/>
  <c r="K2719" i="1"/>
  <c r="L2719" i="1" s="1"/>
  <c r="K2720" i="1"/>
  <c r="K2721" i="1"/>
  <c r="K2722" i="1"/>
  <c r="K2723" i="1"/>
  <c r="K2724" i="1"/>
  <c r="K2725" i="1"/>
  <c r="K2726" i="1"/>
  <c r="K2727" i="1"/>
  <c r="L2727" i="1" s="1"/>
  <c r="K2728" i="1"/>
  <c r="K2729" i="1"/>
  <c r="K2730" i="1"/>
  <c r="L2730" i="1" s="1"/>
  <c r="K2731" i="1"/>
  <c r="K2732" i="1"/>
  <c r="K2733" i="1"/>
  <c r="K2734" i="1"/>
  <c r="K2735" i="1"/>
  <c r="L2735" i="1" s="1"/>
  <c r="K2736" i="1"/>
  <c r="K2737" i="1"/>
  <c r="K2738" i="1"/>
  <c r="L2738" i="1" s="1"/>
  <c r="K2739" i="1"/>
  <c r="K2740" i="1"/>
  <c r="K2741" i="1"/>
  <c r="K2742" i="1"/>
  <c r="K2743" i="1"/>
  <c r="L2743" i="1" s="1"/>
  <c r="K2744" i="1"/>
  <c r="K2745" i="1"/>
  <c r="L2745" i="1" s="1"/>
  <c r="K2746" i="1"/>
  <c r="L2746" i="1" s="1"/>
  <c r="K2747" i="1"/>
  <c r="K2748" i="1"/>
  <c r="K2749" i="1"/>
  <c r="K2750" i="1"/>
  <c r="K2751" i="1"/>
  <c r="L2751" i="1" s="1"/>
  <c r="K2752" i="1"/>
  <c r="K2753" i="1"/>
  <c r="K2754" i="1"/>
  <c r="K2755" i="1"/>
  <c r="K2756" i="1"/>
  <c r="K2757" i="1"/>
  <c r="K2758" i="1"/>
  <c r="K2759" i="1"/>
  <c r="L2759" i="1" s="1"/>
  <c r="K2760" i="1"/>
  <c r="K2761" i="1"/>
  <c r="K2762" i="1"/>
  <c r="K2763" i="1"/>
  <c r="K2764" i="1"/>
  <c r="K2765" i="1"/>
  <c r="K2766" i="1"/>
  <c r="K2767" i="1"/>
  <c r="L2767" i="1" s="1"/>
  <c r="K2768" i="1"/>
  <c r="K2769" i="1"/>
  <c r="K2770" i="1"/>
  <c r="K2771" i="1"/>
  <c r="K2772" i="1"/>
  <c r="K2773" i="1"/>
  <c r="K2774" i="1"/>
  <c r="K2775" i="1"/>
  <c r="L2775" i="1" s="1"/>
  <c r="K2776" i="1"/>
  <c r="K2777" i="1"/>
  <c r="K2778" i="1"/>
  <c r="L2778" i="1" s="1"/>
  <c r="K2779" i="1"/>
  <c r="K2780" i="1"/>
  <c r="K2781" i="1"/>
  <c r="K2782" i="1"/>
  <c r="K2783" i="1"/>
  <c r="L2783" i="1" s="1"/>
  <c r="K2784" i="1"/>
  <c r="K2785" i="1"/>
  <c r="K2786" i="1"/>
  <c r="K2787" i="1"/>
  <c r="K2788" i="1"/>
  <c r="K2789" i="1"/>
  <c r="K2790" i="1"/>
  <c r="K2791" i="1"/>
  <c r="L2791" i="1" s="1"/>
  <c r="K2792" i="1"/>
  <c r="K2793" i="1"/>
  <c r="K2794" i="1"/>
  <c r="L2794" i="1" s="1"/>
  <c r="K2795" i="1"/>
  <c r="K2796" i="1"/>
  <c r="K2797" i="1"/>
  <c r="K2798" i="1"/>
  <c r="K2799" i="1"/>
  <c r="L2799" i="1" s="1"/>
  <c r="K2800" i="1"/>
  <c r="K2801" i="1"/>
  <c r="K2802" i="1"/>
  <c r="L2802" i="1" s="1"/>
  <c r="K2803" i="1"/>
  <c r="K2804" i="1"/>
  <c r="K2805" i="1"/>
  <c r="K2806" i="1"/>
  <c r="K2807" i="1"/>
  <c r="L2807" i="1" s="1"/>
  <c r="K2808" i="1"/>
  <c r="K2809" i="1"/>
  <c r="L2809" i="1" s="1"/>
  <c r="K2810" i="1"/>
  <c r="L2810" i="1" s="1"/>
  <c r="K2811" i="1"/>
  <c r="K2812" i="1"/>
  <c r="K2813" i="1"/>
  <c r="K2814" i="1"/>
  <c r="K2815" i="1"/>
  <c r="L2815" i="1" s="1"/>
  <c r="K2816" i="1"/>
  <c r="K2817" i="1"/>
  <c r="K2818" i="1"/>
  <c r="K2819" i="1"/>
  <c r="K2820" i="1"/>
  <c r="K2821" i="1"/>
  <c r="K2822" i="1"/>
  <c r="K2823" i="1"/>
  <c r="L2823" i="1" s="1"/>
  <c r="K2824" i="1"/>
  <c r="K2825" i="1"/>
  <c r="K2826" i="1"/>
  <c r="K2827" i="1"/>
  <c r="K2828" i="1"/>
  <c r="K2829" i="1"/>
  <c r="K2830" i="1"/>
  <c r="K2831" i="1"/>
  <c r="L2831" i="1" s="1"/>
  <c r="K2832" i="1"/>
  <c r="K2833" i="1"/>
  <c r="K2834" i="1"/>
  <c r="K2835" i="1"/>
  <c r="K2836" i="1"/>
  <c r="K2837" i="1"/>
  <c r="K2838" i="1"/>
  <c r="K2839" i="1"/>
  <c r="L2839" i="1" s="1"/>
  <c r="K2840" i="1"/>
  <c r="K2841" i="1"/>
  <c r="K2842" i="1"/>
  <c r="L2842" i="1" s="1"/>
  <c r="K2843" i="1"/>
  <c r="K2844" i="1"/>
  <c r="K2845" i="1"/>
  <c r="K2846" i="1"/>
  <c r="K2847" i="1"/>
  <c r="L2847" i="1" s="1"/>
  <c r="K2848" i="1"/>
  <c r="K2849" i="1"/>
  <c r="K2850" i="1"/>
  <c r="K2851" i="1"/>
  <c r="K2852" i="1"/>
  <c r="K2853" i="1"/>
  <c r="K2854" i="1"/>
  <c r="K2855" i="1"/>
  <c r="L2855" i="1" s="1"/>
  <c r="K2856" i="1"/>
  <c r="K2857" i="1"/>
  <c r="K2858" i="1"/>
  <c r="L2858" i="1" s="1"/>
  <c r="K2859" i="1"/>
  <c r="K2860" i="1"/>
  <c r="K2861" i="1"/>
  <c r="K2862" i="1"/>
  <c r="K2863" i="1"/>
  <c r="L2863" i="1" s="1"/>
  <c r="K2864" i="1"/>
  <c r="K2865" i="1"/>
  <c r="K2866" i="1"/>
  <c r="L2866" i="1" s="1"/>
  <c r="K2867" i="1"/>
  <c r="K2868" i="1"/>
  <c r="K2869" i="1"/>
  <c r="K2870" i="1"/>
  <c r="K2871" i="1"/>
  <c r="L2871" i="1" s="1"/>
  <c r="K2872" i="1"/>
  <c r="K2873" i="1"/>
  <c r="L2873" i="1" s="1"/>
  <c r="K2874" i="1"/>
  <c r="L2874" i="1" s="1"/>
  <c r="K2875" i="1"/>
  <c r="K2876" i="1"/>
  <c r="K2877" i="1"/>
  <c r="K2878" i="1"/>
  <c r="K2879" i="1"/>
  <c r="L2879" i="1" s="1"/>
  <c r="K2880" i="1"/>
  <c r="K2881" i="1"/>
  <c r="K2882" i="1"/>
  <c r="K2883" i="1"/>
  <c r="K2884" i="1"/>
  <c r="K2885" i="1"/>
  <c r="K2886" i="1"/>
  <c r="K2887" i="1"/>
  <c r="L2887" i="1" s="1"/>
  <c r="K2888" i="1"/>
  <c r="K2889" i="1"/>
  <c r="K2890" i="1"/>
  <c r="K2891" i="1"/>
  <c r="K2892" i="1"/>
  <c r="K2893" i="1"/>
  <c r="K2894" i="1"/>
  <c r="K2895" i="1"/>
  <c r="L2895" i="1" s="1"/>
  <c r="K2896" i="1"/>
  <c r="K2897" i="1"/>
  <c r="K2898" i="1"/>
  <c r="K2899" i="1"/>
  <c r="K2900" i="1"/>
  <c r="K2901" i="1"/>
  <c r="K2902" i="1"/>
  <c r="K2903" i="1"/>
  <c r="L2903" i="1" s="1"/>
  <c r="K2904" i="1"/>
  <c r="K2905" i="1"/>
  <c r="K2906" i="1"/>
  <c r="L2906" i="1" s="1"/>
  <c r="K2907" i="1"/>
  <c r="K2908" i="1"/>
  <c r="K2909" i="1"/>
  <c r="K2910" i="1"/>
  <c r="K2911" i="1"/>
  <c r="L2911" i="1" s="1"/>
  <c r="K2912" i="1"/>
  <c r="K2913" i="1"/>
  <c r="K2914" i="1"/>
  <c r="K2915" i="1"/>
  <c r="K2916" i="1"/>
  <c r="K2917" i="1"/>
  <c r="K2918" i="1"/>
  <c r="K2919" i="1"/>
  <c r="L2919" i="1" s="1"/>
  <c r="K2920" i="1"/>
  <c r="K2921" i="1"/>
  <c r="K2922" i="1"/>
  <c r="L2922" i="1" s="1"/>
  <c r="K2923" i="1"/>
  <c r="K2924" i="1"/>
  <c r="K2925" i="1"/>
  <c r="K2926" i="1"/>
  <c r="K2927" i="1"/>
  <c r="L2927" i="1" s="1"/>
  <c r="K2928" i="1"/>
  <c r="K2929" i="1"/>
  <c r="K2930" i="1"/>
  <c r="L2930" i="1" s="1"/>
  <c r="K2931" i="1"/>
  <c r="K2932" i="1"/>
  <c r="K2933" i="1"/>
  <c r="K2934" i="1"/>
  <c r="K2935" i="1"/>
  <c r="L2935" i="1" s="1"/>
  <c r="K2936" i="1"/>
  <c r="K2937" i="1"/>
  <c r="L2937" i="1" s="1"/>
  <c r="K2938" i="1"/>
  <c r="L2938" i="1" s="1"/>
  <c r="K2939" i="1"/>
  <c r="K2940" i="1"/>
  <c r="K2941" i="1"/>
  <c r="K2942" i="1"/>
  <c r="K2943" i="1"/>
  <c r="L2943" i="1" s="1"/>
  <c r="K2944" i="1"/>
  <c r="K2945" i="1"/>
  <c r="K2946" i="1"/>
  <c r="K2947" i="1"/>
  <c r="K2948" i="1"/>
  <c r="K2949" i="1"/>
  <c r="K2950" i="1"/>
  <c r="K2951" i="1"/>
  <c r="L2951" i="1" s="1"/>
  <c r="K2952" i="1"/>
  <c r="K2953" i="1"/>
  <c r="K2954" i="1"/>
  <c r="K2955" i="1"/>
  <c r="K2956" i="1"/>
  <c r="K2957" i="1"/>
  <c r="K2958" i="1"/>
  <c r="K2959" i="1"/>
  <c r="L2959" i="1" s="1"/>
  <c r="K2960" i="1"/>
  <c r="K2961" i="1"/>
  <c r="K2962" i="1"/>
  <c r="K2963" i="1"/>
  <c r="K2964" i="1"/>
  <c r="K2965" i="1"/>
  <c r="K2966" i="1"/>
  <c r="K2967" i="1"/>
  <c r="L2967" i="1" s="1"/>
  <c r="K2968" i="1"/>
  <c r="K2969" i="1"/>
  <c r="K2970" i="1"/>
  <c r="L2970" i="1" s="1"/>
  <c r="K2971" i="1"/>
  <c r="K2972" i="1"/>
  <c r="K2973" i="1"/>
  <c r="K2974" i="1"/>
  <c r="K2975" i="1"/>
  <c r="L2975" i="1" s="1"/>
  <c r="K2976" i="1"/>
  <c r="K2977" i="1"/>
  <c r="K2978" i="1"/>
  <c r="K2979" i="1"/>
  <c r="K2980" i="1"/>
  <c r="K2981" i="1"/>
  <c r="K2982" i="1"/>
  <c r="K2983" i="1"/>
  <c r="L2983" i="1" s="1"/>
  <c r="K2984" i="1"/>
  <c r="K2985" i="1"/>
  <c r="K2986" i="1"/>
  <c r="L2986" i="1" s="1"/>
  <c r="K2987" i="1"/>
  <c r="K2988" i="1"/>
  <c r="K2989" i="1"/>
  <c r="K2990" i="1"/>
  <c r="K2991" i="1"/>
  <c r="L2991" i="1" s="1"/>
  <c r="K2992" i="1"/>
  <c r="K2993" i="1"/>
  <c r="K2994" i="1"/>
  <c r="K2995" i="1"/>
  <c r="K2996" i="1"/>
  <c r="K2997" i="1"/>
  <c r="K2998" i="1"/>
  <c r="K2999" i="1"/>
  <c r="L2999" i="1" s="1"/>
  <c r="K3000" i="1"/>
  <c r="K3001" i="1"/>
  <c r="L3001" i="1" s="1"/>
  <c r="E8" i="8"/>
  <c r="N2" i="2"/>
  <c r="M2" i="2"/>
  <c r="O2" i="2"/>
  <c r="M3" i="2"/>
  <c r="M4" i="2"/>
  <c r="M5" i="2"/>
  <c r="M6" i="2"/>
  <c r="M7" i="2"/>
  <c r="M8" i="2"/>
  <c r="M9" i="2"/>
  <c r="M10" i="2"/>
  <c r="M11" i="2"/>
  <c r="M12" i="2"/>
  <c r="M13" i="2"/>
  <c r="K3" i="2"/>
  <c r="K4" i="2"/>
  <c r="K5" i="2"/>
  <c r="L5" i="2" s="1"/>
  <c r="K6" i="2"/>
  <c r="K7" i="2"/>
  <c r="K8" i="2"/>
  <c r="L8" i="2" s="1"/>
  <c r="K9" i="2"/>
  <c r="L9" i="2" s="1"/>
  <c r="K10" i="2"/>
  <c r="L10" i="2" s="1"/>
  <c r="K11" i="2"/>
  <c r="K12" i="2"/>
  <c r="K13" i="2"/>
  <c r="L3" i="2"/>
  <c r="L4" i="2"/>
  <c r="L6" i="2"/>
  <c r="L7" i="2"/>
  <c r="L11" i="2"/>
  <c r="L12" i="2"/>
  <c r="L13" i="2"/>
  <c r="L2" i="2"/>
  <c r="K2" i="2"/>
  <c r="J2" i="2"/>
  <c r="I2" i="2"/>
  <c r="G3" i="2"/>
  <c r="H3" i="2" s="1"/>
  <c r="G4" i="2"/>
  <c r="G5" i="2"/>
  <c r="G6" i="2"/>
  <c r="G7" i="2"/>
  <c r="G8" i="2"/>
  <c r="H8" i="2" s="1"/>
  <c r="G9" i="2"/>
  <c r="H9" i="2" s="1"/>
  <c r="G10" i="2"/>
  <c r="H10" i="2" s="1"/>
  <c r="G11" i="2"/>
  <c r="G12" i="2"/>
  <c r="G13" i="2"/>
  <c r="G2" i="2"/>
  <c r="H4" i="2"/>
  <c r="H5" i="2"/>
  <c r="H6" i="2"/>
  <c r="H7" i="2"/>
  <c r="H11" i="2"/>
  <c r="H12" i="2"/>
  <c r="H13" i="2"/>
  <c r="H2" i="2"/>
  <c r="F3" i="2"/>
  <c r="F4" i="2"/>
  <c r="F5" i="2"/>
  <c r="F6" i="2"/>
  <c r="F7" i="2"/>
  <c r="F8" i="2"/>
  <c r="F9" i="2"/>
  <c r="F10" i="2"/>
  <c r="F11" i="2"/>
  <c r="F12" i="2"/>
  <c r="F13" i="2"/>
  <c r="F2" i="2"/>
  <c r="L3" i="1"/>
  <c r="L4" i="1"/>
  <c r="L6" i="1"/>
  <c r="L7" i="1"/>
  <c r="L8" i="1"/>
  <c r="L9" i="1"/>
  <c r="L10" i="1"/>
  <c r="L11" i="1"/>
  <c r="L12" i="1"/>
  <c r="L16" i="1"/>
  <c r="L18" i="1"/>
  <c r="L19" i="1"/>
  <c r="L20" i="1"/>
  <c r="L22" i="1"/>
  <c r="L24" i="1"/>
  <c r="L25" i="1"/>
  <c r="L26" i="1"/>
  <c r="L27" i="1"/>
  <c r="L28" i="1"/>
  <c r="L30" i="1"/>
  <c r="L31" i="1"/>
  <c r="L32" i="1"/>
  <c r="L34" i="1"/>
  <c r="L35" i="1"/>
  <c r="L36" i="1"/>
  <c r="L38" i="1"/>
  <c r="L39" i="1"/>
  <c r="L40" i="1"/>
  <c r="L42" i="1"/>
  <c r="L43" i="1"/>
  <c r="L44" i="1"/>
  <c r="L46" i="1"/>
  <c r="L47" i="1"/>
  <c r="L48" i="1"/>
  <c r="L50" i="1"/>
  <c r="L51" i="1"/>
  <c r="L52" i="1"/>
  <c r="L54" i="1"/>
  <c r="L55" i="1"/>
  <c r="L56" i="1"/>
  <c r="L58" i="1"/>
  <c r="L59" i="1"/>
  <c r="L60" i="1"/>
  <c r="L62" i="1"/>
  <c r="L63" i="1"/>
  <c r="L64" i="1"/>
  <c r="L66" i="1"/>
  <c r="L67" i="1"/>
  <c r="L68" i="1"/>
  <c r="L71" i="1"/>
  <c r="L72" i="1"/>
  <c r="L74" i="1"/>
  <c r="L75" i="1"/>
  <c r="L76" i="1"/>
  <c r="L80" i="1"/>
  <c r="L82" i="1"/>
  <c r="L83" i="1"/>
  <c r="L84" i="1"/>
  <c r="L86" i="1"/>
  <c r="L88" i="1"/>
  <c r="L90" i="1"/>
  <c r="L91" i="1"/>
  <c r="L92" i="1"/>
  <c r="L94" i="1"/>
  <c r="L95" i="1"/>
  <c r="L96" i="1"/>
  <c r="L98" i="1"/>
  <c r="L99" i="1"/>
  <c r="L100" i="1"/>
  <c r="L102" i="1"/>
  <c r="L103" i="1"/>
  <c r="L104" i="1"/>
  <c r="L106" i="1"/>
  <c r="L107" i="1"/>
  <c r="L108" i="1"/>
  <c r="L110" i="1"/>
  <c r="L111" i="1"/>
  <c r="L112" i="1"/>
  <c r="L113" i="1"/>
  <c r="L114" i="1"/>
  <c r="L115" i="1"/>
  <c r="L116" i="1"/>
  <c r="L118" i="1"/>
  <c r="L119" i="1"/>
  <c r="L120" i="1"/>
  <c r="L121" i="1"/>
  <c r="L122" i="1"/>
  <c r="L123" i="1"/>
  <c r="L124" i="1"/>
  <c r="L126" i="1"/>
  <c r="L127" i="1"/>
  <c r="L128" i="1"/>
  <c r="L129" i="1"/>
  <c r="L130" i="1"/>
  <c r="L131" i="1"/>
  <c r="L132" i="1"/>
  <c r="L135" i="1"/>
  <c r="L136" i="1"/>
  <c r="L138" i="1"/>
  <c r="L139" i="1"/>
  <c r="L140" i="1"/>
  <c r="L144" i="1"/>
  <c r="L145" i="1"/>
  <c r="L146" i="1"/>
  <c r="L147" i="1"/>
  <c r="L148" i="1"/>
  <c r="L150" i="1"/>
  <c r="L152" i="1"/>
  <c r="L153" i="1"/>
  <c r="L154" i="1"/>
  <c r="L155" i="1"/>
  <c r="L156" i="1"/>
  <c r="L158" i="1"/>
  <c r="L159" i="1"/>
  <c r="L160" i="1"/>
  <c r="L162" i="1"/>
  <c r="L163" i="1"/>
  <c r="L164" i="1"/>
  <c r="L166" i="1"/>
  <c r="L167" i="1"/>
  <c r="L168" i="1"/>
  <c r="L170" i="1"/>
  <c r="L171" i="1"/>
  <c r="L172" i="1"/>
  <c r="L174" i="1"/>
  <c r="L175" i="1"/>
  <c r="L176" i="1"/>
  <c r="L177" i="1"/>
  <c r="L178" i="1"/>
  <c r="L179" i="1"/>
  <c r="L180" i="1"/>
  <c r="L182" i="1"/>
  <c r="L183" i="1"/>
  <c r="L184" i="1"/>
  <c r="L185" i="1"/>
  <c r="L186" i="1"/>
  <c r="L187" i="1"/>
  <c r="L188" i="1"/>
  <c r="L190" i="1"/>
  <c r="L191" i="1"/>
  <c r="L192" i="1"/>
  <c r="L193" i="1"/>
  <c r="L194" i="1"/>
  <c r="L195" i="1"/>
  <c r="L196" i="1"/>
  <c r="L199" i="1"/>
  <c r="L200" i="1"/>
  <c r="L202" i="1"/>
  <c r="L203" i="1"/>
  <c r="L204" i="1"/>
  <c r="L208" i="1"/>
  <c r="L210" i="1"/>
  <c r="L211" i="1"/>
  <c r="L212" i="1"/>
  <c r="L214" i="1"/>
  <c r="L216" i="1"/>
  <c r="L217" i="1"/>
  <c r="L218" i="1"/>
  <c r="L219" i="1"/>
  <c r="L220" i="1"/>
  <c r="L222" i="1"/>
  <c r="L223" i="1"/>
  <c r="L224" i="1"/>
  <c r="L226" i="1"/>
  <c r="L227" i="1"/>
  <c r="L228" i="1"/>
  <c r="L229" i="1"/>
  <c r="L230" i="1"/>
  <c r="L231" i="1"/>
  <c r="L232" i="1"/>
  <c r="L234" i="1"/>
  <c r="L235" i="1"/>
  <c r="L236" i="1"/>
  <c r="L238" i="1"/>
  <c r="L239" i="1"/>
  <c r="L240" i="1"/>
  <c r="L243" i="1"/>
  <c r="L244" i="1"/>
  <c r="L246" i="1"/>
  <c r="L247" i="1"/>
  <c r="L248" i="1"/>
  <c r="L249" i="1"/>
  <c r="L251" i="1"/>
  <c r="L252" i="1"/>
  <c r="L254" i="1"/>
  <c r="L255" i="1"/>
  <c r="L256" i="1"/>
  <c r="L257" i="1"/>
  <c r="L258" i="1"/>
  <c r="L259" i="1"/>
  <c r="L260" i="1"/>
  <c r="L262" i="1"/>
  <c r="L263" i="1"/>
  <c r="L264" i="1"/>
  <c r="L265" i="1"/>
  <c r="L266" i="1"/>
  <c r="L267" i="1"/>
  <c r="L268" i="1"/>
  <c r="L271" i="1"/>
  <c r="L272" i="1"/>
  <c r="L275" i="1"/>
  <c r="L276" i="1"/>
  <c r="L280" i="1"/>
  <c r="L281" i="1"/>
  <c r="L282" i="1"/>
  <c r="L283" i="1"/>
  <c r="L284" i="1"/>
  <c r="L286" i="1"/>
  <c r="L288" i="1"/>
  <c r="L289" i="1"/>
  <c r="L290" i="1"/>
  <c r="L291" i="1"/>
  <c r="L292" i="1"/>
  <c r="L294" i="1"/>
  <c r="L295" i="1"/>
  <c r="L296" i="1"/>
  <c r="L299" i="1"/>
  <c r="L300" i="1"/>
  <c r="L302" i="1"/>
  <c r="L303" i="1"/>
  <c r="L304" i="1"/>
  <c r="L307" i="1"/>
  <c r="L308" i="1"/>
  <c r="L310" i="1"/>
  <c r="L311" i="1"/>
  <c r="L312" i="1"/>
  <c r="L313" i="1"/>
  <c r="L315" i="1"/>
  <c r="L316" i="1"/>
  <c r="L318" i="1"/>
  <c r="L319" i="1"/>
  <c r="L320" i="1"/>
  <c r="L321" i="1"/>
  <c r="L322" i="1"/>
  <c r="L323" i="1"/>
  <c r="L324" i="1"/>
  <c r="L326" i="1"/>
  <c r="L327" i="1"/>
  <c r="L328" i="1"/>
  <c r="L330" i="1"/>
  <c r="L331" i="1"/>
  <c r="L332" i="1"/>
  <c r="L335" i="1"/>
  <c r="L336" i="1"/>
  <c r="L339" i="1"/>
  <c r="L340" i="1"/>
  <c r="L344" i="1"/>
  <c r="L345" i="1"/>
  <c r="L346" i="1"/>
  <c r="L347" i="1"/>
  <c r="L348" i="1"/>
  <c r="L350" i="1"/>
  <c r="L352" i="1"/>
  <c r="L354" i="1"/>
  <c r="L355" i="1"/>
  <c r="L356" i="1"/>
  <c r="L358" i="1"/>
  <c r="L359" i="1"/>
  <c r="L360" i="1"/>
  <c r="L363" i="1"/>
  <c r="L364" i="1"/>
  <c r="L366" i="1"/>
  <c r="L367" i="1"/>
  <c r="L368" i="1"/>
  <c r="L371" i="1"/>
  <c r="L372" i="1"/>
  <c r="L374" i="1"/>
  <c r="L375" i="1"/>
  <c r="L376" i="1"/>
  <c r="L377" i="1"/>
  <c r="L379" i="1"/>
  <c r="L380" i="1"/>
  <c r="L382" i="1"/>
  <c r="L383" i="1"/>
  <c r="L384" i="1"/>
  <c r="L386" i="1"/>
  <c r="L387" i="1"/>
  <c r="L388" i="1"/>
  <c r="L390" i="1"/>
  <c r="L391" i="1"/>
  <c r="L392" i="1"/>
  <c r="L395" i="1"/>
  <c r="L396" i="1"/>
  <c r="L399" i="1"/>
  <c r="L400" i="1"/>
  <c r="L403" i="1"/>
  <c r="L404" i="1"/>
  <c r="L408" i="1"/>
  <c r="L409" i="1"/>
  <c r="L410" i="1"/>
  <c r="L411" i="1"/>
  <c r="L412" i="1"/>
  <c r="L414" i="1"/>
  <c r="L416" i="1"/>
  <c r="L419" i="1"/>
  <c r="L420" i="1"/>
  <c r="L422" i="1"/>
  <c r="L423" i="1"/>
  <c r="L424" i="1"/>
  <c r="L427" i="1"/>
  <c r="L428" i="1"/>
  <c r="L430" i="1"/>
  <c r="L431" i="1"/>
  <c r="L432" i="1"/>
  <c r="L435" i="1"/>
  <c r="L436" i="1"/>
  <c r="L438" i="1"/>
  <c r="L439" i="1"/>
  <c r="L440" i="1"/>
  <c r="L441" i="1"/>
  <c r="L443" i="1"/>
  <c r="L444" i="1"/>
  <c r="L446" i="1"/>
  <c r="L447" i="1"/>
  <c r="L448" i="1"/>
  <c r="L451" i="1"/>
  <c r="L452" i="1"/>
  <c r="L454" i="1"/>
  <c r="L455" i="1"/>
  <c r="L456" i="1"/>
  <c r="L459" i="1"/>
  <c r="L460" i="1"/>
  <c r="L463" i="1"/>
  <c r="L464" i="1"/>
  <c r="L466" i="1"/>
  <c r="L467" i="1"/>
  <c r="L468" i="1"/>
  <c r="L472" i="1"/>
  <c r="L474" i="1"/>
  <c r="L475" i="1"/>
  <c r="L476" i="1"/>
  <c r="L478" i="1"/>
  <c r="L480" i="1"/>
  <c r="L483" i="1"/>
  <c r="L484" i="1"/>
  <c r="L486" i="1"/>
  <c r="L487" i="1"/>
  <c r="L488" i="1"/>
  <c r="L491" i="1"/>
  <c r="L492" i="1"/>
  <c r="L494" i="1"/>
  <c r="L495" i="1"/>
  <c r="L496" i="1"/>
  <c r="L499" i="1"/>
  <c r="L500" i="1"/>
  <c r="L502" i="1"/>
  <c r="L503" i="1"/>
  <c r="L504" i="1"/>
  <c r="L507" i="1"/>
  <c r="L508" i="1"/>
  <c r="L510" i="1"/>
  <c r="L511" i="1"/>
  <c r="L512" i="1"/>
  <c r="L515" i="1"/>
  <c r="L516" i="1"/>
  <c r="L518" i="1"/>
  <c r="L519" i="1"/>
  <c r="L520" i="1"/>
  <c r="L523" i="1"/>
  <c r="L524" i="1"/>
  <c r="L527" i="1"/>
  <c r="L528" i="1"/>
  <c r="L530" i="1"/>
  <c r="L531" i="1"/>
  <c r="L532" i="1"/>
  <c r="L536" i="1"/>
  <c r="L539" i="1"/>
  <c r="L540" i="1"/>
  <c r="L542" i="1"/>
  <c r="L544" i="1"/>
  <c r="L547" i="1"/>
  <c r="L548" i="1"/>
  <c r="L550" i="1"/>
  <c r="L552" i="1"/>
  <c r="L554" i="1"/>
  <c r="L555" i="1"/>
  <c r="L556" i="1"/>
  <c r="L558" i="1"/>
  <c r="L559" i="1"/>
  <c r="L560" i="1"/>
  <c r="L563" i="1"/>
  <c r="L564" i="1"/>
  <c r="L566" i="1"/>
  <c r="L567" i="1"/>
  <c r="L568" i="1"/>
  <c r="L571" i="1"/>
  <c r="L572" i="1"/>
  <c r="L574" i="1"/>
  <c r="L575" i="1"/>
  <c r="L576" i="1"/>
  <c r="L577" i="1"/>
  <c r="L579" i="1"/>
  <c r="L580" i="1"/>
  <c r="L582" i="1"/>
  <c r="L584" i="1"/>
  <c r="L585" i="1"/>
  <c r="L586" i="1"/>
  <c r="L587" i="1"/>
  <c r="L588" i="1"/>
  <c r="L591" i="1"/>
  <c r="L592" i="1"/>
  <c r="L595" i="1"/>
  <c r="L596" i="1"/>
  <c r="L600" i="1"/>
  <c r="L601" i="1"/>
  <c r="L603" i="1"/>
  <c r="L604" i="1"/>
  <c r="L606" i="1"/>
  <c r="L608" i="1"/>
  <c r="L609" i="1"/>
  <c r="L610" i="1"/>
  <c r="L611" i="1"/>
  <c r="L612" i="1"/>
  <c r="L614" i="1"/>
  <c r="L616" i="1"/>
  <c r="L619" i="1"/>
  <c r="L620" i="1"/>
  <c r="L622" i="1"/>
  <c r="L623" i="1"/>
  <c r="L624" i="1"/>
  <c r="L627" i="1"/>
  <c r="L628" i="1"/>
  <c r="L630" i="1"/>
  <c r="L631" i="1"/>
  <c r="L632" i="1"/>
  <c r="L633" i="1"/>
  <c r="L635" i="1"/>
  <c r="L636" i="1"/>
  <c r="L638" i="1"/>
  <c r="L639" i="1"/>
  <c r="L640" i="1"/>
  <c r="L641" i="1"/>
  <c r="L642" i="1"/>
  <c r="L643" i="1"/>
  <c r="L644" i="1"/>
  <c r="L646" i="1"/>
  <c r="L648" i="1"/>
  <c r="L651" i="1"/>
  <c r="L652" i="1"/>
  <c r="L655" i="1"/>
  <c r="L656" i="1"/>
  <c r="L659" i="1"/>
  <c r="L660" i="1"/>
  <c r="L664" i="1"/>
  <c r="L665" i="1"/>
  <c r="L666" i="1"/>
  <c r="L667" i="1"/>
  <c r="L668" i="1"/>
  <c r="L670" i="1"/>
  <c r="L672" i="1"/>
  <c r="L675" i="1"/>
  <c r="L676" i="1"/>
  <c r="L678" i="1"/>
  <c r="L680" i="1"/>
  <c r="L683" i="1"/>
  <c r="L684" i="1"/>
  <c r="L686" i="1"/>
  <c r="L687" i="1"/>
  <c r="L688" i="1"/>
  <c r="L691" i="1"/>
  <c r="L692" i="1"/>
  <c r="L693" i="1"/>
  <c r="L694" i="1"/>
  <c r="L695" i="1"/>
  <c r="L696" i="1"/>
  <c r="L699" i="1"/>
  <c r="L700" i="1"/>
  <c r="L701" i="1"/>
  <c r="L702" i="1"/>
  <c r="L703" i="1"/>
  <c r="L704" i="1"/>
  <c r="L707" i="1"/>
  <c r="L708" i="1"/>
  <c r="L709" i="1"/>
  <c r="L710" i="1"/>
  <c r="L712" i="1"/>
  <c r="L715" i="1"/>
  <c r="L716" i="1"/>
  <c r="L717" i="1"/>
  <c r="L718" i="1"/>
  <c r="L719" i="1"/>
  <c r="L720" i="1"/>
  <c r="L723" i="1"/>
  <c r="L724" i="1"/>
  <c r="L725" i="1"/>
  <c r="L726" i="1"/>
  <c r="L727" i="1"/>
  <c r="L728" i="1"/>
  <c r="L731" i="1"/>
  <c r="L732" i="1"/>
  <c r="L733" i="1"/>
  <c r="L734" i="1"/>
  <c r="L735" i="1"/>
  <c r="L736" i="1"/>
  <c r="L739" i="1"/>
  <c r="L740" i="1"/>
  <c r="L741" i="1"/>
  <c r="L742" i="1"/>
  <c r="L744" i="1"/>
  <c r="L747" i="1"/>
  <c r="L748" i="1"/>
  <c r="L749" i="1"/>
  <c r="L750" i="1"/>
  <c r="L751" i="1"/>
  <c r="L752" i="1"/>
  <c r="L755" i="1"/>
  <c r="L756" i="1"/>
  <c r="L757" i="1"/>
  <c r="L758" i="1"/>
  <c r="L759" i="1"/>
  <c r="L760" i="1"/>
  <c r="L763" i="1"/>
  <c r="L764" i="1"/>
  <c r="L765" i="1"/>
  <c r="L766" i="1"/>
  <c r="L767" i="1"/>
  <c r="L768" i="1"/>
  <c r="L771" i="1"/>
  <c r="L772" i="1"/>
  <c r="L773" i="1"/>
  <c r="L774" i="1"/>
  <c r="L776" i="1"/>
  <c r="L779" i="1"/>
  <c r="L780" i="1"/>
  <c r="L781" i="1"/>
  <c r="L782" i="1"/>
  <c r="L783" i="1"/>
  <c r="L784" i="1"/>
  <c r="L787" i="1"/>
  <c r="L788" i="1"/>
  <c r="L789" i="1"/>
  <c r="L790" i="1"/>
  <c r="L791" i="1"/>
  <c r="L792" i="1"/>
  <c r="L795" i="1"/>
  <c r="L796" i="1"/>
  <c r="L797" i="1"/>
  <c r="L798" i="1"/>
  <c r="L799" i="1"/>
  <c r="L800" i="1"/>
  <c r="L803" i="1"/>
  <c r="L804" i="1"/>
  <c r="L805" i="1"/>
  <c r="L806" i="1"/>
  <c r="L808" i="1"/>
  <c r="L811" i="1"/>
  <c r="L812" i="1"/>
  <c r="L813" i="1"/>
  <c r="L814" i="1"/>
  <c r="L815" i="1"/>
  <c r="L816" i="1"/>
  <c r="L819" i="1"/>
  <c r="L820" i="1"/>
  <c r="L821" i="1"/>
  <c r="L822" i="1"/>
  <c r="L823" i="1"/>
  <c r="L824" i="1"/>
  <c r="L827" i="1"/>
  <c r="L828" i="1"/>
  <c r="L829" i="1"/>
  <c r="L830" i="1"/>
  <c r="L831" i="1"/>
  <c r="L832" i="1"/>
  <c r="L835" i="1"/>
  <c r="L836" i="1"/>
  <c r="L837" i="1"/>
  <c r="L838" i="1"/>
  <c r="L840" i="1"/>
  <c r="L843" i="1"/>
  <c r="L844" i="1"/>
  <c r="L845" i="1"/>
  <c r="L846" i="1"/>
  <c r="L847" i="1"/>
  <c r="L848" i="1"/>
  <c r="L851" i="1"/>
  <c r="L852" i="1"/>
  <c r="L853" i="1"/>
  <c r="L854" i="1"/>
  <c r="L855" i="1"/>
  <c r="L856" i="1"/>
  <c r="L859" i="1"/>
  <c r="L860" i="1"/>
  <c r="L861" i="1"/>
  <c r="L862" i="1"/>
  <c r="L863" i="1"/>
  <c r="L864" i="1"/>
  <c r="L867" i="1"/>
  <c r="L868" i="1"/>
  <c r="L869" i="1"/>
  <c r="L870" i="1"/>
  <c r="L872" i="1"/>
  <c r="L875" i="1"/>
  <c r="L876" i="1"/>
  <c r="L877" i="1"/>
  <c r="L878" i="1"/>
  <c r="L879" i="1"/>
  <c r="L880" i="1"/>
  <c r="L883" i="1"/>
  <c r="L884" i="1"/>
  <c r="L885" i="1"/>
  <c r="L886" i="1"/>
  <c r="L887" i="1"/>
  <c r="L888" i="1"/>
  <c r="L891" i="1"/>
  <c r="L892" i="1"/>
  <c r="L893" i="1"/>
  <c r="L894" i="1"/>
  <c r="L895" i="1"/>
  <c r="L896" i="1"/>
  <c r="L899" i="1"/>
  <c r="L900" i="1"/>
  <c r="L901" i="1"/>
  <c r="L902" i="1"/>
  <c r="L904" i="1"/>
  <c r="L907" i="1"/>
  <c r="L908" i="1"/>
  <c r="L909" i="1"/>
  <c r="L910" i="1"/>
  <c r="L911" i="1"/>
  <c r="L912" i="1"/>
  <c r="L915" i="1"/>
  <c r="L916" i="1"/>
  <c r="L917" i="1"/>
  <c r="L918" i="1"/>
  <c r="L919" i="1"/>
  <c r="L920" i="1"/>
  <c r="L923" i="1"/>
  <c r="L924" i="1"/>
  <c r="L925" i="1"/>
  <c r="L926" i="1"/>
  <c r="L927" i="1"/>
  <c r="L928" i="1"/>
  <c r="L931" i="1"/>
  <c r="L932" i="1"/>
  <c r="L933" i="1"/>
  <c r="L934" i="1"/>
  <c r="L936" i="1"/>
  <c r="L939" i="1"/>
  <c r="L940" i="1"/>
  <c r="L941" i="1"/>
  <c r="L942" i="1"/>
  <c r="L943" i="1"/>
  <c r="L944" i="1"/>
  <c r="L947" i="1"/>
  <c r="L948" i="1"/>
  <c r="L949" i="1"/>
  <c r="L950" i="1"/>
  <c r="L951" i="1"/>
  <c r="L952" i="1"/>
  <c r="L955" i="1"/>
  <c r="L956" i="1"/>
  <c r="L957" i="1"/>
  <c r="L958" i="1"/>
  <c r="L959" i="1"/>
  <c r="L960" i="1"/>
  <c r="L963" i="1"/>
  <c r="L964" i="1"/>
  <c r="L965" i="1"/>
  <c r="L966" i="1"/>
  <c r="L968" i="1"/>
  <c r="L971" i="1"/>
  <c r="L972" i="1"/>
  <c r="L973" i="1"/>
  <c r="L974" i="1"/>
  <c r="L975" i="1"/>
  <c r="L976" i="1"/>
  <c r="L979" i="1"/>
  <c r="L980" i="1"/>
  <c r="L981" i="1"/>
  <c r="L982" i="1"/>
  <c r="L983" i="1"/>
  <c r="L984" i="1"/>
  <c r="L987" i="1"/>
  <c r="L988" i="1"/>
  <c r="L989" i="1"/>
  <c r="L990" i="1"/>
  <c r="L991" i="1"/>
  <c r="L992" i="1"/>
  <c r="L995" i="1"/>
  <c r="L996" i="1"/>
  <c r="L997" i="1"/>
  <c r="L998" i="1"/>
  <c r="L1000" i="1"/>
  <c r="L1003" i="1"/>
  <c r="L1004" i="1"/>
  <c r="L1005" i="1"/>
  <c r="L1006" i="1"/>
  <c r="L1007" i="1"/>
  <c r="L1008" i="1"/>
  <c r="L1011" i="1"/>
  <c r="L1012" i="1"/>
  <c r="L1013" i="1"/>
  <c r="L1014" i="1"/>
  <c r="L1015" i="1"/>
  <c r="L1016" i="1"/>
  <c r="L1019" i="1"/>
  <c r="L1020" i="1"/>
  <c r="L1021" i="1"/>
  <c r="L1022" i="1"/>
  <c r="L1023" i="1"/>
  <c r="L1024" i="1"/>
  <c r="L1027" i="1"/>
  <c r="L1028" i="1"/>
  <c r="L1029" i="1"/>
  <c r="L1030" i="1"/>
  <c r="L1032" i="1"/>
  <c r="L1035" i="1"/>
  <c r="L1036" i="1"/>
  <c r="L1037" i="1"/>
  <c r="L1038" i="1"/>
  <c r="L1039" i="1"/>
  <c r="L1040" i="1"/>
  <c r="L1043" i="1"/>
  <c r="L1044" i="1"/>
  <c r="L1045" i="1"/>
  <c r="L1046" i="1"/>
  <c r="L1047" i="1"/>
  <c r="L1048" i="1"/>
  <c r="L1051" i="1"/>
  <c r="L1052" i="1"/>
  <c r="L1053" i="1"/>
  <c r="L1054" i="1"/>
  <c r="L1055" i="1"/>
  <c r="L1056" i="1"/>
  <c r="L1057" i="1"/>
  <c r="L1059" i="1"/>
  <c r="L1060" i="1"/>
  <c r="L1061" i="1"/>
  <c r="L1062" i="1"/>
  <c r="L1063" i="1"/>
  <c r="L1064" i="1"/>
  <c r="L1065" i="1"/>
  <c r="L1067" i="1"/>
  <c r="L1068" i="1"/>
  <c r="L1069" i="1"/>
  <c r="L1070" i="1"/>
  <c r="L1072" i="1"/>
  <c r="L1073" i="1"/>
  <c r="L1075" i="1"/>
  <c r="L1076" i="1"/>
  <c r="L1077" i="1"/>
  <c r="L1078" i="1"/>
  <c r="L1080" i="1"/>
  <c r="L1083" i="1"/>
  <c r="L1084" i="1"/>
  <c r="L1085" i="1"/>
  <c r="L1086" i="1"/>
  <c r="L1088" i="1"/>
  <c r="L1091" i="1"/>
  <c r="L1092" i="1"/>
  <c r="L1093" i="1"/>
  <c r="L1094" i="1"/>
  <c r="L1096" i="1"/>
  <c r="L1099" i="1"/>
  <c r="L1100" i="1"/>
  <c r="L1101" i="1"/>
  <c r="L1102" i="1"/>
  <c r="L1104" i="1"/>
  <c r="L1105" i="1"/>
  <c r="L1107" i="1"/>
  <c r="L1108" i="1"/>
  <c r="L1109" i="1"/>
  <c r="L1110" i="1"/>
  <c r="L1112" i="1"/>
  <c r="L1113" i="1"/>
  <c r="L1114" i="1"/>
  <c r="L1115" i="1"/>
  <c r="L1116" i="1"/>
  <c r="L1117" i="1"/>
  <c r="L1118" i="1"/>
  <c r="L1120" i="1"/>
  <c r="L1121" i="1"/>
  <c r="L1122" i="1"/>
  <c r="L1123" i="1"/>
  <c r="L1124" i="1"/>
  <c r="L1125" i="1"/>
  <c r="L1126" i="1"/>
  <c r="L1128" i="1"/>
  <c r="L1129" i="1"/>
  <c r="L1130" i="1"/>
  <c r="L1131" i="1"/>
  <c r="L1132" i="1"/>
  <c r="L1133" i="1"/>
  <c r="L1134" i="1"/>
  <c r="L1136" i="1"/>
  <c r="L1138" i="1"/>
  <c r="L1139" i="1"/>
  <c r="L1140" i="1"/>
  <c r="L1141" i="1"/>
  <c r="L1142" i="1"/>
  <c r="L1144" i="1"/>
  <c r="L1147" i="1"/>
  <c r="L1148" i="1"/>
  <c r="L1149" i="1"/>
  <c r="L1150" i="1"/>
  <c r="L1152" i="1"/>
  <c r="L1155" i="1"/>
  <c r="L1156" i="1"/>
  <c r="L1157" i="1"/>
  <c r="L1158" i="1"/>
  <c r="L1160" i="1"/>
  <c r="L1163" i="1"/>
  <c r="L1164" i="1"/>
  <c r="L1165" i="1"/>
  <c r="L1166" i="1"/>
  <c r="L1168" i="1"/>
  <c r="L1169" i="1"/>
  <c r="L1171" i="1"/>
  <c r="L1172" i="1"/>
  <c r="L1173" i="1"/>
  <c r="L1174" i="1"/>
  <c r="L1176" i="1"/>
  <c r="L1177" i="1"/>
  <c r="L1178" i="1"/>
  <c r="L1179" i="1"/>
  <c r="L1180" i="1"/>
  <c r="L1181" i="1"/>
  <c r="L1182" i="1"/>
  <c r="L1184" i="1"/>
  <c r="L1185" i="1"/>
  <c r="L1186" i="1"/>
  <c r="L1187" i="1"/>
  <c r="L1188" i="1"/>
  <c r="L1189" i="1"/>
  <c r="L1190" i="1"/>
  <c r="L1192" i="1"/>
  <c r="L1193" i="1"/>
  <c r="L1194" i="1"/>
  <c r="L1195" i="1"/>
  <c r="L1196" i="1"/>
  <c r="L1197" i="1"/>
  <c r="L1198" i="1"/>
  <c r="L1200" i="1"/>
  <c r="L1202" i="1"/>
  <c r="L1203" i="1"/>
  <c r="L1204" i="1"/>
  <c r="L1205" i="1"/>
  <c r="L1206" i="1"/>
  <c r="L1208" i="1"/>
  <c r="L1211" i="1"/>
  <c r="L1212" i="1"/>
  <c r="L1213" i="1"/>
  <c r="L1214" i="1"/>
  <c r="L1216" i="1"/>
  <c r="L1219" i="1"/>
  <c r="L1220" i="1"/>
  <c r="L1221" i="1"/>
  <c r="L1222" i="1"/>
  <c r="L1224" i="1"/>
  <c r="L1227" i="1"/>
  <c r="L1228" i="1"/>
  <c r="L1229" i="1"/>
  <c r="L1230" i="1"/>
  <c r="L1232" i="1"/>
  <c r="L1233" i="1"/>
  <c r="L1235" i="1"/>
  <c r="L1236" i="1"/>
  <c r="L1237" i="1"/>
  <c r="L1238" i="1"/>
  <c r="L1240" i="1"/>
  <c r="L1241" i="1"/>
  <c r="L1242" i="1"/>
  <c r="L1243" i="1"/>
  <c r="L1244" i="1"/>
  <c r="L1245" i="1"/>
  <c r="L1246" i="1"/>
  <c r="L1248" i="1"/>
  <c r="L1249" i="1"/>
  <c r="L1250" i="1"/>
  <c r="L1251" i="1"/>
  <c r="L1252" i="1"/>
  <c r="L1253" i="1"/>
  <c r="L1254" i="1"/>
  <c r="L1256" i="1"/>
  <c r="L1257" i="1"/>
  <c r="L1258" i="1"/>
  <c r="L1259" i="1"/>
  <c r="L1260" i="1"/>
  <c r="L1261" i="1"/>
  <c r="L1262" i="1"/>
  <c r="L1264" i="1"/>
  <c r="L1266" i="1"/>
  <c r="L1267" i="1"/>
  <c r="L1268" i="1"/>
  <c r="L1269" i="1"/>
  <c r="L1270" i="1"/>
  <c r="L1272" i="1"/>
  <c r="L1275" i="1"/>
  <c r="L1276" i="1"/>
  <c r="L1277" i="1"/>
  <c r="L1278" i="1"/>
  <c r="L1280" i="1"/>
  <c r="L1283" i="1"/>
  <c r="L1284" i="1"/>
  <c r="L1285" i="1"/>
  <c r="L1286" i="1"/>
  <c r="L1288" i="1"/>
  <c r="L1291" i="1"/>
  <c r="L1292" i="1"/>
  <c r="L1293" i="1"/>
  <c r="L1294" i="1"/>
  <c r="L1296" i="1"/>
  <c r="L1297" i="1"/>
  <c r="L1299" i="1"/>
  <c r="L1300" i="1"/>
  <c r="L1301" i="1"/>
  <c r="L1302" i="1"/>
  <c r="L1304" i="1"/>
  <c r="L1305" i="1"/>
  <c r="L1306" i="1"/>
  <c r="L1307" i="1"/>
  <c r="L1308" i="1"/>
  <c r="L1309" i="1"/>
  <c r="L1310" i="1"/>
  <c r="L1312" i="1"/>
  <c r="L1313" i="1"/>
  <c r="L1314" i="1"/>
  <c r="L1315" i="1"/>
  <c r="L1316" i="1"/>
  <c r="L1317" i="1"/>
  <c r="L1318" i="1"/>
  <c r="L1320" i="1"/>
  <c r="L1321" i="1"/>
  <c r="L1322" i="1"/>
  <c r="L1323" i="1"/>
  <c r="L1324" i="1"/>
  <c r="L1325" i="1"/>
  <c r="L1326" i="1"/>
  <c r="L1328" i="1"/>
  <c r="L1330" i="1"/>
  <c r="L1331" i="1"/>
  <c r="L1332" i="1"/>
  <c r="L1333" i="1"/>
  <c r="L1334" i="1"/>
  <c r="L1336" i="1"/>
  <c r="L1339" i="1"/>
  <c r="L1340" i="1"/>
  <c r="L1341" i="1"/>
  <c r="L1342" i="1"/>
  <c r="L1344" i="1"/>
  <c r="L1347" i="1"/>
  <c r="L1348" i="1"/>
  <c r="L1349" i="1"/>
  <c r="L1350" i="1"/>
  <c r="L1352" i="1"/>
  <c r="L1355" i="1"/>
  <c r="L1356" i="1"/>
  <c r="L1357" i="1"/>
  <c r="L1358" i="1"/>
  <c r="L1360" i="1"/>
  <c r="L1361" i="1"/>
  <c r="L1363" i="1"/>
  <c r="L1364" i="1"/>
  <c r="L1365" i="1"/>
  <c r="L1366" i="1"/>
  <c r="L1368" i="1"/>
  <c r="L1369" i="1"/>
  <c r="L1370" i="1"/>
  <c r="L1371" i="1"/>
  <c r="L1372" i="1"/>
  <c r="L1373" i="1"/>
  <c r="L1374" i="1"/>
  <c r="L1376" i="1"/>
  <c r="L1377" i="1"/>
  <c r="L1378" i="1"/>
  <c r="L1379" i="1"/>
  <c r="L1380" i="1"/>
  <c r="L1381" i="1"/>
  <c r="L1382" i="1"/>
  <c r="L1384" i="1"/>
  <c r="L1385" i="1"/>
  <c r="L1386" i="1"/>
  <c r="L1387" i="1"/>
  <c r="L1388" i="1"/>
  <c r="L1389" i="1"/>
  <c r="L1390" i="1"/>
  <c r="L1392" i="1"/>
  <c r="L1394" i="1"/>
  <c r="L1395" i="1"/>
  <c r="L1396" i="1"/>
  <c r="L1397" i="1"/>
  <c r="L1398" i="1"/>
  <c r="L1400" i="1"/>
  <c r="L1403" i="1"/>
  <c r="L1404" i="1"/>
  <c r="L1405" i="1"/>
  <c r="L1406" i="1"/>
  <c r="L1408" i="1"/>
  <c r="L1411" i="1"/>
  <c r="L1412" i="1"/>
  <c r="L1413" i="1"/>
  <c r="L1414" i="1"/>
  <c r="L1416" i="1"/>
  <c r="L1419" i="1"/>
  <c r="L1420" i="1"/>
  <c r="L1421" i="1"/>
  <c r="L1422" i="1"/>
  <c r="L1424" i="1"/>
  <c r="L1425" i="1"/>
  <c r="L1427" i="1"/>
  <c r="L1428" i="1"/>
  <c r="L1429" i="1"/>
  <c r="L1430" i="1"/>
  <c r="L1432" i="1"/>
  <c r="L1433" i="1"/>
  <c r="L1434" i="1"/>
  <c r="L1435" i="1"/>
  <c r="L1436" i="1"/>
  <c r="L1437" i="1"/>
  <c r="L1438" i="1"/>
  <c r="L1440" i="1"/>
  <c r="L1441" i="1"/>
  <c r="L1442" i="1"/>
  <c r="L1443" i="1"/>
  <c r="L1444" i="1"/>
  <c r="L1445" i="1"/>
  <c r="L1446" i="1"/>
  <c r="L1448" i="1"/>
  <c r="L1449" i="1"/>
  <c r="L1450" i="1"/>
  <c r="L1451" i="1"/>
  <c r="L1452" i="1"/>
  <c r="L1453" i="1"/>
  <c r="L1454" i="1"/>
  <c r="L1456" i="1"/>
  <c r="L1458" i="1"/>
  <c r="L1459" i="1"/>
  <c r="L1460" i="1"/>
  <c r="L1461" i="1"/>
  <c r="L1462" i="1"/>
  <c r="L1464" i="1"/>
  <c r="L1467" i="1"/>
  <c r="L1468" i="1"/>
  <c r="L1469" i="1"/>
  <c r="L1470" i="1"/>
  <c r="L1472" i="1"/>
  <c r="L1475" i="1"/>
  <c r="L1476" i="1"/>
  <c r="L1477" i="1"/>
  <c r="L1478" i="1"/>
  <c r="L1480" i="1"/>
  <c r="L1483" i="1"/>
  <c r="L1484" i="1"/>
  <c r="L1485" i="1"/>
  <c r="L1486" i="1"/>
  <c r="L1488" i="1"/>
  <c r="L1489" i="1"/>
  <c r="L1491" i="1"/>
  <c r="L1492" i="1"/>
  <c r="L1493" i="1"/>
  <c r="L1494" i="1"/>
  <c r="L1496" i="1"/>
  <c r="L1497" i="1"/>
  <c r="L1498" i="1"/>
  <c r="L1499" i="1"/>
  <c r="L1500" i="1"/>
  <c r="L1501" i="1"/>
  <c r="L1502" i="1"/>
  <c r="L1504" i="1"/>
  <c r="L1505" i="1"/>
  <c r="L1506" i="1"/>
  <c r="L1507" i="1"/>
  <c r="L1508" i="1"/>
  <c r="L1509" i="1"/>
  <c r="L1510" i="1"/>
  <c r="L1512" i="1"/>
  <c r="L1513" i="1"/>
  <c r="L1514" i="1"/>
  <c r="L1515" i="1"/>
  <c r="L1516" i="1"/>
  <c r="L1517" i="1"/>
  <c r="L1518" i="1"/>
  <c r="L1520" i="1"/>
  <c r="L1522" i="1"/>
  <c r="L1523" i="1"/>
  <c r="L1524" i="1"/>
  <c r="L1525" i="1"/>
  <c r="L1526" i="1"/>
  <c r="L1528" i="1"/>
  <c r="L1531" i="1"/>
  <c r="L1532" i="1"/>
  <c r="L1533" i="1"/>
  <c r="L1534" i="1"/>
  <c r="L1536" i="1"/>
  <c r="L1539" i="1"/>
  <c r="L1540" i="1"/>
  <c r="L1541" i="1"/>
  <c r="L1542" i="1"/>
  <c r="L1544" i="1"/>
  <c r="L1547" i="1"/>
  <c r="L1548" i="1"/>
  <c r="L1549" i="1"/>
  <c r="L1550" i="1"/>
  <c r="L1552" i="1"/>
  <c r="L1553" i="1"/>
  <c r="L1555" i="1"/>
  <c r="L1556" i="1"/>
  <c r="L1557" i="1"/>
  <c r="L1558" i="1"/>
  <c r="L1560" i="1"/>
  <c r="L1561" i="1"/>
  <c r="L1562" i="1"/>
  <c r="L1563" i="1"/>
  <c r="L1564" i="1"/>
  <c r="L1565" i="1"/>
  <c r="L1566" i="1"/>
  <c r="L1568" i="1"/>
  <c r="L1569" i="1"/>
  <c r="L1570" i="1"/>
  <c r="L1571" i="1"/>
  <c r="L1572" i="1"/>
  <c r="L1573" i="1"/>
  <c r="L1574" i="1"/>
  <c r="L1576" i="1"/>
  <c r="L1577" i="1"/>
  <c r="L1578" i="1"/>
  <c r="L1579" i="1"/>
  <c r="L1580" i="1"/>
  <c r="L1581" i="1"/>
  <c r="L1582" i="1"/>
  <c r="L1584" i="1"/>
  <c r="L1586" i="1"/>
  <c r="L1587" i="1"/>
  <c r="L1588" i="1"/>
  <c r="L1589" i="1"/>
  <c r="L1590" i="1"/>
  <c r="L1592" i="1"/>
  <c r="L1595" i="1"/>
  <c r="L1596" i="1"/>
  <c r="L1597" i="1"/>
  <c r="L1598" i="1"/>
  <c r="L1600" i="1"/>
  <c r="L1603" i="1"/>
  <c r="L1604" i="1"/>
  <c r="L1605" i="1"/>
  <c r="L1606" i="1"/>
  <c r="L1608" i="1"/>
  <c r="L1611" i="1"/>
  <c r="L1612" i="1"/>
  <c r="L1613" i="1"/>
  <c r="L1614" i="1"/>
  <c r="L1616" i="1"/>
  <c r="L1617" i="1"/>
  <c r="L1619" i="1"/>
  <c r="L1620" i="1"/>
  <c r="L1621" i="1"/>
  <c r="L1622" i="1"/>
  <c r="L1624" i="1"/>
  <c r="L1625" i="1"/>
  <c r="L1626" i="1"/>
  <c r="L1627" i="1"/>
  <c r="L1628" i="1"/>
  <c r="L1629" i="1"/>
  <c r="L1630" i="1"/>
  <c r="L1632" i="1"/>
  <c r="L1633" i="1"/>
  <c r="L1634" i="1"/>
  <c r="L1635" i="1"/>
  <c r="L1636" i="1"/>
  <c r="L1637" i="1"/>
  <c r="L1638" i="1"/>
  <c r="L1640" i="1"/>
  <c r="L1641" i="1"/>
  <c r="L1642" i="1"/>
  <c r="L1643" i="1"/>
  <c r="L1644" i="1"/>
  <c r="L1645" i="1"/>
  <c r="L1646" i="1"/>
  <c r="L1648" i="1"/>
  <c r="L1650" i="1"/>
  <c r="L1651" i="1"/>
  <c r="L1652" i="1"/>
  <c r="L1653" i="1"/>
  <c r="L1654" i="1"/>
  <c r="L1656" i="1"/>
  <c r="L1659" i="1"/>
  <c r="L1660" i="1"/>
  <c r="L1661" i="1"/>
  <c r="L1662" i="1"/>
  <c r="L1664" i="1"/>
  <c r="L1667" i="1"/>
  <c r="L1668" i="1"/>
  <c r="L1669" i="1"/>
  <c r="L1670" i="1"/>
  <c r="L1672" i="1"/>
  <c r="L1675" i="1"/>
  <c r="L1676" i="1"/>
  <c r="L1677" i="1"/>
  <c r="L1678" i="1"/>
  <c r="L1680" i="1"/>
  <c r="L1681" i="1"/>
  <c r="L1683" i="1"/>
  <c r="L1684" i="1"/>
  <c r="L1685" i="1"/>
  <c r="L1686" i="1"/>
  <c r="L1688" i="1"/>
  <c r="L1689" i="1"/>
  <c r="L1690" i="1"/>
  <c r="L1691" i="1"/>
  <c r="L1692" i="1"/>
  <c r="L1693" i="1"/>
  <c r="L1694" i="1"/>
  <c r="L1696" i="1"/>
  <c r="L1697" i="1"/>
  <c r="L1698" i="1"/>
  <c r="L1699" i="1"/>
  <c r="L1700" i="1"/>
  <c r="L1701" i="1"/>
  <c r="L1702" i="1"/>
  <c r="L1704" i="1"/>
  <c r="L1705" i="1"/>
  <c r="L1706" i="1"/>
  <c r="L1707" i="1"/>
  <c r="L1708" i="1"/>
  <c r="L1709" i="1"/>
  <c r="L1710" i="1"/>
  <c r="L1712" i="1"/>
  <c r="L1714" i="1"/>
  <c r="L1715" i="1"/>
  <c r="L1716" i="1"/>
  <c r="L1717" i="1"/>
  <c r="L1718" i="1"/>
  <c r="L1720" i="1"/>
  <c r="L1723" i="1"/>
  <c r="L1724" i="1"/>
  <c r="L1725" i="1"/>
  <c r="L1726" i="1"/>
  <c r="L1728" i="1"/>
  <c r="L1731" i="1"/>
  <c r="L1732" i="1"/>
  <c r="L1733" i="1"/>
  <c r="L1734" i="1"/>
  <c r="L1736" i="1"/>
  <c r="L1739" i="1"/>
  <c r="L1740" i="1"/>
  <c r="L1741" i="1"/>
  <c r="L1742" i="1"/>
  <c r="L1744" i="1"/>
  <c r="L1747" i="1"/>
  <c r="L1748" i="1"/>
  <c r="L1749" i="1"/>
  <c r="L1750" i="1"/>
  <c r="L1752" i="1"/>
  <c r="L1755" i="1"/>
  <c r="L1756" i="1"/>
  <c r="L1757" i="1"/>
  <c r="L1758" i="1"/>
  <c r="L1760" i="1"/>
  <c r="L1762" i="1"/>
  <c r="L1763" i="1"/>
  <c r="L1764" i="1"/>
  <c r="L1765" i="1"/>
  <c r="L1766" i="1"/>
  <c r="L1768" i="1"/>
  <c r="L1770" i="1"/>
  <c r="L1771" i="1"/>
  <c r="L1772" i="1"/>
  <c r="L1773" i="1"/>
  <c r="L1774" i="1"/>
  <c r="L1776" i="1"/>
  <c r="L1778" i="1"/>
  <c r="L1779" i="1"/>
  <c r="L1780" i="1"/>
  <c r="L1781" i="1"/>
  <c r="L1782" i="1"/>
  <c r="L1784" i="1"/>
  <c r="L1787" i="1"/>
  <c r="L1788" i="1"/>
  <c r="L1789" i="1"/>
  <c r="L1790" i="1"/>
  <c r="L1792" i="1"/>
  <c r="L1795" i="1"/>
  <c r="L1796" i="1"/>
  <c r="L1797" i="1"/>
  <c r="L1798" i="1"/>
  <c r="L1800" i="1"/>
  <c r="L1803" i="1"/>
  <c r="L1804" i="1"/>
  <c r="L1805" i="1"/>
  <c r="L1806" i="1"/>
  <c r="L1808" i="1"/>
  <c r="L1811" i="1"/>
  <c r="L1812" i="1"/>
  <c r="L1813" i="1"/>
  <c r="L1814" i="1"/>
  <c r="L1816" i="1"/>
  <c r="L1818" i="1"/>
  <c r="L1819" i="1"/>
  <c r="L1820" i="1"/>
  <c r="L1821" i="1"/>
  <c r="L1822" i="1"/>
  <c r="L1824" i="1"/>
  <c r="L1826" i="1"/>
  <c r="L1827" i="1"/>
  <c r="L1828" i="1"/>
  <c r="L1829" i="1"/>
  <c r="L1830" i="1"/>
  <c r="L1832" i="1"/>
  <c r="L1834" i="1"/>
  <c r="L1835" i="1"/>
  <c r="L1836" i="1"/>
  <c r="L1837" i="1"/>
  <c r="L1838" i="1"/>
  <c r="L1840" i="1"/>
  <c r="L1842" i="1"/>
  <c r="L1843" i="1"/>
  <c r="L1844" i="1"/>
  <c r="L1845" i="1"/>
  <c r="L1846" i="1"/>
  <c r="L1848" i="1"/>
  <c r="L1851" i="1"/>
  <c r="L1852" i="1"/>
  <c r="L1853" i="1"/>
  <c r="L1854" i="1"/>
  <c r="L1856" i="1"/>
  <c r="L1859" i="1"/>
  <c r="L1860" i="1"/>
  <c r="L1861" i="1"/>
  <c r="L1862" i="1"/>
  <c r="L1864" i="1"/>
  <c r="L1867" i="1"/>
  <c r="L1868" i="1"/>
  <c r="L1869" i="1"/>
  <c r="L1870" i="1"/>
  <c r="L1872" i="1"/>
  <c r="L1875" i="1"/>
  <c r="L1876" i="1"/>
  <c r="L1877" i="1"/>
  <c r="L1878" i="1"/>
  <c r="L1880" i="1"/>
  <c r="L1882" i="1"/>
  <c r="L1883" i="1"/>
  <c r="L1884" i="1"/>
  <c r="L1885" i="1"/>
  <c r="L1886" i="1"/>
  <c r="L1888" i="1"/>
  <c r="L1890" i="1"/>
  <c r="L1891" i="1"/>
  <c r="L1892" i="1"/>
  <c r="L1893" i="1"/>
  <c r="L1894" i="1"/>
  <c r="L1896" i="1"/>
  <c r="L1898" i="1"/>
  <c r="L1899" i="1"/>
  <c r="L1900" i="1"/>
  <c r="L1901" i="1"/>
  <c r="L1902" i="1"/>
  <c r="L1904" i="1"/>
  <c r="L1906" i="1"/>
  <c r="L1907" i="1"/>
  <c r="L1908" i="1"/>
  <c r="L1909" i="1"/>
  <c r="L1910" i="1"/>
  <c r="L1912" i="1"/>
  <c r="L1915" i="1"/>
  <c r="L1916" i="1"/>
  <c r="L1917" i="1"/>
  <c r="L1918" i="1"/>
  <c r="L1920" i="1"/>
  <c r="L1923" i="1"/>
  <c r="L1924" i="1"/>
  <c r="L1925" i="1"/>
  <c r="L1926" i="1"/>
  <c r="L1928" i="1"/>
  <c r="L1931" i="1"/>
  <c r="L1932" i="1"/>
  <c r="L1933" i="1"/>
  <c r="L1934" i="1"/>
  <c r="L1936" i="1"/>
  <c r="L1939" i="1"/>
  <c r="L1940" i="1"/>
  <c r="L1941" i="1"/>
  <c r="L1942" i="1"/>
  <c r="L1944" i="1"/>
  <c r="L1947" i="1"/>
  <c r="L1948" i="1"/>
  <c r="L1949" i="1"/>
  <c r="L1950" i="1"/>
  <c r="L1952" i="1"/>
  <c r="L1954" i="1"/>
  <c r="L1955" i="1"/>
  <c r="L1956" i="1"/>
  <c r="L1957" i="1"/>
  <c r="L1958" i="1"/>
  <c r="L1960" i="1"/>
  <c r="L1962" i="1"/>
  <c r="L1963" i="1"/>
  <c r="L1964" i="1"/>
  <c r="L1965" i="1"/>
  <c r="L1966" i="1"/>
  <c r="L1968" i="1"/>
  <c r="L1970" i="1"/>
  <c r="L1971" i="1"/>
  <c r="L1972" i="1"/>
  <c r="L1973" i="1"/>
  <c r="L1974" i="1"/>
  <c r="L1976" i="1"/>
  <c r="L1979" i="1"/>
  <c r="L1980" i="1"/>
  <c r="L1981" i="1"/>
  <c r="L1982" i="1"/>
  <c r="L1984" i="1"/>
  <c r="L1987" i="1"/>
  <c r="L1988" i="1"/>
  <c r="L1989" i="1"/>
  <c r="L1990" i="1"/>
  <c r="L1992" i="1"/>
  <c r="L1995" i="1"/>
  <c r="L1996" i="1"/>
  <c r="L1997" i="1"/>
  <c r="L1998" i="1"/>
  <c r="L2000" i="1"/>
  <c r="L2003" i="1"/>
  <c r="L2004" i="1"/>
  <c r="L2005" i="1"/>
  <c r="L2006" i="1"/>
  <c r="L2008" i="1"/>
  <c r="L2011" i="1"/>
  <c r="L2012" i="1"/>
  <c r="L2013" i="1"/>
  <c r="L2014" i="1"/>
  <c r="L2016" i="1"/>
  <c r="L2018" i="1"/>
  <c r="L2019" i="1"/>
  <c r="L2020" i="1"/>
  <c r="L2021" i="1"/>
  <c r="L2022" i="1"/>
  <c r="L2024" i="1"/>
  <c r="L2026" i="1"/>
  <c r="L2027" i="1"/>
  <c r="L2028" i="1"/>
  <c r="L2029" i="1"/>
  <c r="L2030" i="1"/>
  <c r="L2032" i="1"/>
  <c r="L2034" i="1"/>
  <c r="L2035" i="1"/>
  <c r="L2036" i="1"/>
  <c r="L2037" i="1"/>
  <c r="L2038" i="1"/>
  <c r="L2040" i="1"/>
  <c r="L2043" i="1"/>
  <c r="L2044" i="1"/>
  <c r="L2045" i="1"/>
  <c r="L2046" i="1"/>
  <c r="L2048" i="1"/>
  <c r="L2051" i="1"/>
  <c r="L2052" i="1"/>
  <c r="L2053" i="1"/>
  <c r="L2054" i="1"/>
  <c r="L2056" i="1"/>
  <c r="L2059" i="1"/>
  <c r="L2060" i="1"/>
  <c r="L2061" i="1"/>
  <c r="L2062" i="1"/>
  <c r="L2064" i="1"/>
  <c r="L2067" i="1"/>
  <c r="L2068" i="1"/>
  <c r="L2069" i="1"/>
  <c r="L2070" i="1"/>
  <c r="L2072" i="1"/>
  <c r="L2075" i="1"/>
  <c r="L2076" i="1"/>
  <c r="L2077" i="1"/>
  <c r="L2078" i="1"/>
  <c r="L2080" i="1"/>
  <c r="L2082" i="1"/>
  <c r="L2083" i="1"/>
  <c r="L2084" i="1"/>
  <c r="L2085" i="1"/>
  <c r="L2086" i="1"/>
  <c r="L2088" i="1"/>
  <c r="L2090" i="1"/>
  <c r="L2091" i="1"/>
  <c r="L2092" i="1"/>
  <c r="L2093" i="1"/>
  <c r="L2094" i="1"/>
  <c r="L2096" i="1"/>
  <c r="L2098" i="1"/>
  <c r="L2099" i="1"/>
  <c r="L2100" i="1"/>
  <c r="L2101" i="1"/>
  <c r="L2102" i="1"/>
  <c r="L2104" i="1"/>
  <c r="L2107" i="1"/>
  <c r="L2108" i="1"/>
  <c r="L2109" i="1"/>
  <c r="L2110" i="1"/>
  <c r="L2112" i="1"/>
  <c r="L2115" i="1"/>
  <c r="L2116" i="1"/>
  <c r="L2117" i="1"/>
  <c r="L2118" i="1"/>
  <c r="L2120" i="1"/>
  <c r="L2123" i="1"/>
  <c r="L2124" i="1"/>
  <c r="L2125" i="1"/>
  <c r="L2126" i="1"/>
  <c r="L2128" i="1"/>
  <c r="L2131" i="1"/>
  <c r="L2132" i="1"/>
  <c r="L2133" i="1"/>
  <c r="L2134" i="1"/>
  <c r="L2136" i="1"/>
  <c r="L2139" i="1"/>
  <c r="L2140" i="1"/>
  <c r="L2141" i="1"/>
  <c r="L2142" i="1"/>
  <c r="L2144" i="1"/>
  <c r="L2147" i="1"/>
  <c r="L2148" i="1"/>
  <c r="L2149" i="1"/>
  <c r="L2150" i="1"/>
  <c r="L2152" i="1"/>
  <c r="L2154" i="1"/>
  <c r="L2155" i="1"/>
  <c r="L2156" i="1"/>
  <c r="L2157" i="1"/>
  <c r="L2158" i="1"/>
  <c r="L2160" i="1"/>
  <c r="L2162" i="1"/>
  <c r="L2163" i="1"/>
  <c r="L2164" i="1"/>
  <c r="L2165" i="1"/>
  <c r="L2166" i="1"/>
  <c r="L2168" i="1"/>
  <c r="L2171" i="1"/>
  <c r="L2172" i="1"/>
  <c r="L2173" i="1"/>
  <c r="L2174" i="1"/>
  <c r="L2176" i="1"/>
  <c r="L2179" i="1"/>
  <c r="L2180" i="1"/>
  <c r="L2181" i="1"/>
  <c r="L2182" i="1"/>
  <c r="L2184" i="1"/>
  <c r="L2187" i="1"/>
  <c r="L2188" i="1"/>
  <c r="L2189" i="1"/>
  <c r="L2190" i="1"/>
  <c r="L2192" i="1"/>
  <c r="L2195" i="1"/>
  <c r="L2196" i="1"/>
  <c r="L2197" i="1"/>
  <c r="L2198" i="1"/>
  <c r="L2200" i="1"/>
  <c r="L2203" i="1"/>
  <c r="L2204" i="1"/>
  <c r="L2205" i="1"/>
  <c r="L2206" i="1"/>
  <c r="L2208" i="1"/>
  <c r="L2211" i="1"/>
  <c r="L2212" i="1"/>
  <c r="L2213" i="1"/>
  <c r="L2214" i="1"/>
  <c r="L2216" i="1"/>
  <c r="L2218" i="1"/>
  <c r="L2219" i="1"/>
  <c r="L2220" i="1"/>
  <c r="L2221" i="1"/>
  <c r="L2222" i="1"/>
  <c r="L2224" i="1"/>
  <c r="L2226" i="1"/>
  <c r="L2227" i="1"/>
  <c r="L2228" i="1"/>
  <c r="L2229" i="1"/>
  <c r="L2230" i="1"/>
  <c r="L2232" i="1"/>
  <c r="L2235" i="1"/>
  <c r="L2236" i="1"/>
  <c r="L2237" i="1"/>
  <c r="L2238" i="1"/>
  <c r="L2240" i="1"/>
  <c r="L2243" i="1"/>
  <c r="L2244" i="1"/>
  <c r="L2245" i="1"/>
  <c r="L2246" i="1"/>
  <c r="L2248" i="1"/>
  <c r="L2251" i="1"/>
  <c r="L2252" i="1"/>
  <c r="L2253" i="1"/>
  <c r="L2254" i="1"/>
  <c r="L2256" i="1"/>
  <c r="L2259" i="1"/>
  <c r="L2260" i="1"/>
  <c r="L2261" i="1"/>
  <c r="L2262" i="1"/>
  <c r="L2264" i="1"/>
  <c r="L2267" i="1"/>
  <c r="L2268" i="1"/>
  <c r="L2269" i="1"/>
  <c r="L2270" i="1"/>
  <c r="L2272" i="1"/>
  <c r="L2275" i="1"/>
  <c r="L2276" i="1"/>
  <c r="L2277" i="1"/>
  <c r="L2278" i="1"/>
  <c r="L2280" i="1"/>
  <c r="L2282" i="1"/>
  <c r="L2283" i="1"/>
  <c r="L2284" i="1"/>
  <c r="L2285" i="1"/>
  <c r="L2286" i="1"/>
  <c r="L2288" i="1"/>
  <c r="L2290" i="1"/>
  <c r="L2291" i="1"/>
  <c r="L2292" i="1"/>
  <c r="L2293" i="1"/>
  <c r="L2294" i="1"/>
  <c r="L2296" i="1"/>
  <c r="L2299" i="1"/>
  <c r="L2300" i="1"/>
  <c r="L2301" i="1"/>
  <c r="L2302" i="1"/>
  <c r="L2304" i="1"/>
  <c r="L2307" i="1"/>
  <c r="L2308" i="1"/>
  <c r="L2309" i="1"/>
  <c r="L2310" i="1"/>
  <c r="L2312" i="1"/>
  <c r="L2315" i="1"/>
  <c r="L2316" i="1"/>
  <c r="L2317" i="1"/>
  <c r="L2318" i="1"/>
  <c r="L2320" i="1"/>
  <c r="L2323" i="1"/>
  <c r="L2324" i="1"/>
  <c r="L2325" i="1"/>
  <c r="L2326" i="1"/>
  <c r="L2328" i="1"/>
  <c r="L2331" i="1"/>
  <c r="L2332" i="1"/>
  <c r="L2333" i="1"/>
  <c r="L2334" i="1"/>
  <c r="L2336" i="1"/>
  <c r="L2339" i="1"/>
  <c r="L2340" i="1"/>
  <c r="L2341" i="1"/>
  <c r="L2342" i="1"/>
  <c r="L2344" i="1"/>
  <c r="L2346" i="1"/>
  <c r="L2347" i="1"/>
  <c r="L2348" i="1"/>
  <c r="L2349" i="1"/>
  <c r="L2350" i="1"/>
  <c r="L2352" i="1"/>
  <c r="L2354" i="1"/>
  <c r="L2355" i="1"/>
  <c r="L2356" i="1"/>
  <c r="L2357" i="1"/>
  <c r="L2358" i="1"/>
  <c r="L2360" i="1"/>
  <c r="L2363" i="1"/>
  <c r="L2364" i="1"/>
  <c r="L2365" i="1"/>
  <c r="L2366" i="1"/>
  <c r="L2368" i="1"/>
  <c r="L2371" i="1"/>
  <c r="L2372" i="1"/>
  <c r="L2373" i="1"/>
  <c r="L2374" i="1"/>
  <c r="L2376" i="1"/>
  <c r="L2379" i="1"/>
  <c r="L2380" i="1"/>
  <c r="L2381" i="1"/>
  <c r="L2382" i="1"/>
  <c r="L2384" i="1"/>
  <c r="L2387" i="1"/>
  <c r="L2388" i="1"/>
  <c r="L2389" i="1"/>
  <c r="L2390" i="1"/>
  <c r="L2392" i="1"/>
  <c r="L2395" i="1"/>
  <c r="L2396" i="1"/>
  <c r="L2397" i="1"/>
  <c r="L2398" i="1"/>
  <c r="L2400" i="1"/>
  <c r="L2403" i="1"/>
  <c r="L2404" i="1"/>
  <c r="L2405" i="1"/>
  <c r="L2406" i="1"/>
  <c r="L2408" i="1"/>
  <c r="L2410" i="1"/>
  <c r="L2411" i="1"/>
  <c r="L2412" i="1"/>
  <c r="L2413" i="1"/>
  <c r="L2414" i="1"/>
  <c r="L2416" i="1"/>
  <c r="L2418" i="1"/>
  <c r="L2419" i="1"/>
  <c r="L2420" i="1"/>
  <c r="L2421" i="1"/>
  <c r="L2422" i="1"/>
  <c r="L2424" i="1"/>
  <c r="L2426" i="1"/>
  <c r="L2427" i="1"/>
  <c r="L2428" i="1"/>
  <c r="L2429" i="1"/>
  <c r="L2430" i="1"/>
  <c r="L2432" i="1"/>
  <c r="L2435" i="1"/>
  <c r="L2436" i="1"/>
  <c r="L2437" i="1"/>
  <c r="L2438" i="1"/>
  <c r="L2440" i="1"/>
  <c r="L2442" i="1"/>
  <c r="L2443" i="1"/>
  <c r="L2444" i="1"/>
  <c r="L2445" i="1"/>
  <c r="L2446" i="1"/>
  <c r="L2448" i="1"/>
  <c r="L2450" i="1"/>
  <c r="L2451" i="1"/>
  <c r="L2452" i="1"/>
  <c r="L2453" i="1"/>
  <c r="L2454" i="1"/>
  <c r="L2456" i="1"/>
  <c r="L2458" i="1"/>
  <c r="L2459" i="1"/>
  <c r="L2460" i="1"/>
  <c r="L2461" i="1"/>
  <c r="L2462" i="1"/>
  <c r="L2464" i="1"/>
  <c r="L2467" i="1"/>
  <c r="L2468" i="1"/>
  <c r="L2469" i="1"/>
  <c r="L2470" i="1"/>
  <c r="L2472" i="1"/>
  <c r="L2474" i="1"/>
  <c r="L2475" i="1"/>
  <c r="L2476" i="1"/>
  <c r="L2477" i="1"/>
  <c r="L2478" i="1"/>
  <c r="L2480" i="1"/>
  <c r="L2482" i="1"/>
  <c r="L2483" i="1"/>
  <c r="L2484" i="1"/>
  <c r="L2485" i="1"/>
  <c r="L2486" i="1"/>
  <c r="L2488" i="1"/>
  <c r="L2490" i="1"/>
  <c r="L2491" i="1"/>
  <c r="L2492" i="1"/>
  <c r="L2493" i="1"/>
  <c r="L2494" i="1"/>
  <c r="L2496" i="1"/>
  <c r="L2499" i="1"/>
  <c r="L2500" i="1"/>
  <c r="L2501" i="1"/>
  <c r="L2502" i="1"/>
  <c r="L2504" i="1"/>
  <c r="L2506" i="1"/>
  <c r="L2507" i="1"/>
  <c r="L2508" i="1"/>
  <c r="L2509" i="1"/>
  <c r="L2510" i="1"/>
  <c r="L2512" i="1"/>
  <c r="L2514" i="1"/>
  <c r="L2515" i="1"/>
  <c r="L2516" i="1"/>
  <c r="L2517" i="1"/>
  <c r="L2518" i="1"/>
  <c r="L2520" i="1"/>
  <c r="L2522" i="1"/>
  <c r="L2523" i="1"/>
  <c r="L2524" i="1"/>
  <c r="L2525" i="1"/>
  <c r="L2526" i="1"/>
  <c r="L2528" i="1"/>
  <c r="L2531" i="1"/>
  <c r="L2532" i="1"/>
  <c r="L2533" i="1"/>
  <c r="L2534" i="1"/>
  <c r="L2536" i="1"/>
  <c r="L2538" i="1"/>
  <c r="L2539" i="1"/>
  <c r="L2540" i="1"/>
  <c r="L2541" i="1"/>
  <c r="L2542" i="1"/>
  <c r="L2544" i="1"/>
  <c r="L2546" i="1"/>
  <c r="L2547" i="1"/>
  <c r="L2548" i="1"/>
  <c r="L2549" i="1"/>
  <c r="L2550" i="1"/>
  <c r="L2552" i="1"/>
  <c r="L2554" i="1"/>
  <c r="L2555" i="1"/>
  <c r="L2556" i="1"/>
  <c r="L2557" i="1"/>
  <c r="L2558" i="1"/>
  <c r="L2560" i="1"/>
  <c r="L2563" i="1"/>
  <c r="L2564" i="1"/>
  <c r="L2565" i="1"/>
  <c r="L2566" i="1"/>
  <c r="L2568" i="1"/>
  <c r="L2570" i="1"/>
  <c r="L2571" i="1"/>
  <c r="L2572" i="1"/>
  <c r="L2573" i="1"/>
  <c r="L2574" i="1"/>
  <c r="L2576" i="1"/>
  <c r="L2578" i="1"/>
  <c r="L2579" i="1"/>
  <c r="L2580" i="1"/>
  <c r="L2581" i="1"/>
  <c r="L2582" i="1"/>
  <c r="L2584" i="1"/>
  <c r="L2586" i="1"/>
  <c r="L2587" i="1"/>
  <c r="L2588" i="1"/>
  <c r="L2589" i="1"/>
  <c r="L2590" i="1"/>
  <c r="L2592" i="1"/>
  <c r="L2595" i="1"/>
  <c r="L2596" i="1"/>
  <c r="L2597" i="1"/>
  <c r="L2598" i="1"/>
  <c r="L2600" i="1"/>
  <c r="L2602" i="1"/>
  <c r="L2603" i="1"/>
  <c r="L2604" i="1"/>
  <c r="L2605" i="1"/>
  <c r="L2606" i="1"/>
  <c r="L2608" i="1"/>
  <c r="L2610" i="1"/>
  <c r="L2611" i="1"/>
  <c r="L2612" i="1"/>
  <c r="L2613" i="1"/>
  <c r="L2614" i="1"/>
  <c r="L2616" i="1"/>
  <c r="L2618" i="1"/>
  <c r="L2619" i="1"/>
  <c r="L2620" i="1"/>
  <c r="L2621" i="1"/>
  <c r="L2622" i="1"/>
  <c r="L2624" i="1"/>
  <c r="L2627" i="1"/>
  <c r="L2628" i="1"/>
  <c r="L2629" i="1"/>
  <c r="L2630" i="1"/>
  <c r="L2632" i="1"/>
  <c r="L2634" i="1"/>
  <c r="L2635" i="1"/>
  <c r="L2636" i="1"/>
  <c r="L2637" i="1"/>
  <c r="L2638" i="1"/>
  <c r="L2640" i="1"/>
  <c r="L2642" i="1"/>
  <c r="L2643" i="1"/>
  <c r="L2644" i="1"/>
  <c r="L2645" i="1"/>
  <c r="L2646" i="1"/>
  <c r="L2648" i="1"/>
  <c r="L2651" i="1"/>
  <c r="L2652" i="1"/>
  <c r="L2653" i="1"/>
  <c r="L2654" i="1"/>
  <c r="L2656" i="1"/>
  <c r="L2658" i="1"/>
  <c r="L2659" i="1"/>
  <c r="L2660" i="1"/>
  <c r="L2661" i="1"/>
  <c r="L2662" i="1"/>
  <c r="L2664" i="1"/>
  <c r="L2667" i="1"/>
  <c r="L2668" i="1"/>
  <c r="L2669" i="1"/>
  <c r="L2670" i="1"/>
  <c r="L2672" i="1"/>
  <c r="L2675" i="1"/>
  <c r="L2676" i="1"/>
  <c r="L2677" i="1"/>
  <c r="L2678" i="1"/>
  <c r="L2680" i="1"/>
  <c r="L2683" i="1"/>
  <c r="L2684" i="1"/>
  <c r="L2685" i="1"/>
  <c r="L2686" i="1"/>
  <c r="L2688" i="1"/>
  <c r="L2690" i="1"/>
  <c r="L2691" i="1"/>
  <c r="L2692" i="1"/>
  <c r="L2693" i="1"/>
  <c r="L2694" i="1"/>
  <c r="L2696" i="1"/>
  <c r="L2697" i="1"/>
  <c r="L2698" i="1"/>
  <c r="L2699" i="1"/>
  <c r="L2700" i="1"/>
  <c r="L2701" i="1"/>
  <c r="L2702" i="1"/>
  <c r="L2704" i="1"/>
  <c r="L2706" i="1"/>
  <c r="L2707" i="1"/>
  <c r="L2708" i="1"/>
  <c r="L2709" i="1"/>
  <c r="L2710" i="1"/>
  <c r="L2712" i="1"/>
  <c r="L2715" i="1"/>
  <c r="L2716" i="1"/>
  <c r="L2717" i="1"/>
  <c r="L2718" i="1"/>
  <c r="L2720" i="1"/>
  <c r="L2722" i="1"/>
  <c r="L2723" i="1"/>
  <c r="L2724" i="1"/>
  <c r="L2725" i="1"/>
  <c r="L2726" i="1"/>
  <c r="L2728" i="1"/>
  <c r="L2731" i="1"/>
  <c r="L2732" i="1"/>
  <c r="L2733" i="1"/>
  <c r="L2734" i="1"/>
  <c r="L2736" i="1"/>
  <c r="L2739" i="1"/>
  <c r="L2740" i="1"/>
  <c r="L2741" i="1"/>
  <c r="L2742" i="1"/>
  <c r="L2744" i="1"/>
  <c r="L2747" i="1"/>
  <c r="L2748" i="1"/>
  <c r="L2749" i="1"/>
  <c r="L2750" i="1"/>
  <c r="L2752" i="1"/>
  <c r="L2754" i="1"/>
  <c r="L2755" i="1"/>
  <c r="L2756" i="1"/>
  <c r="L2757" i="1"/>
  <c r="L2758" i="1"/>
  <c r="L2760" i="1"/>
  <c r="L2761" i="1"/>
  <c r="L2762" i="1"/>
  <c r="L2763" i="1"/>
  <c r="L2764" i="1"/>
  <c r="L2765" i="1"/>
  <c r="L2766" i="1"/>
  <c r="L2768" i="1"/>
  <c r="L2770" i="1"/>
  <c r="L2771" i="1"/>
  <c r="L2772" i="1"/>
  <c r="L2773" i="1"/>
  <c r="L2774" i="1"/>
  <c r="L2776" i="1"/>
  <c r="L2779" i="1"/>
  <c r="L2780" i="1"/>
  <c r="L2781" i="1"/>
  <c r="L2782" i="1"/>
  <c r="L2784" i="1"/>
  <c r="L2786" i="1"/>
  <c r="L2787" i="1"/>
  <c r="L2788" i="1"/>
  <c r="L2789" i="1"/>
  <c r="L2790" i="1"/>
  <c r="L2792" i="1"/>
  <c r="L2795" i="1"/>
  <c r="L2796" i="1"/>
  <c r="L2797" i="1"/>
  <c r="L2798" i="1"/>
  <c r="L2800" i="1"/>
  <c r="L2803" i="1"/>
  <c r="L2804" i="1"/>
  <c r="L2805" i="1"/>
  <c r="L2806" i="1"/>
  <c r="L2808" i="1"/>
  <c r="L2811" i="1"/>
  <c r="L2812" i="1"/>
  <c r="L2813" i="1"/>
  <c r="L2814" i="1"/>
  <c r="L2816" i="1"/>
  <c r="L2818" i="1"/>
  <c r="L2819" i="1"/>
  <c r="L2820" i="1"/>
  <c r="L2821" i="1"/>
  <c r="L2822" i="1"/>
  <c r="L2824" i="1"/>
  <c r="L2825" i="1"/>
  <c r="L2826" i="1"/>
  <c r="L2827" i="1"/>
  <c r="L2828" i="1"/>
  <c r="L2829" i="1"/>
  <c r="L2830" i="1"/>
  <c r="L2832" i="1"/>
  <c r="L2834" i="1"/>
  <c r="L2835" i="1"/>
  <c r="L2836" i="1"/>
  <c r="L2837" i="1"/>
  <c r="L2838" i="1"/>
  <c r="L2840" i="1"/>
  <c r="L2843" i="1"/>
  <c r="L2844" i="1"/>
  <c r="L2845" i="1"/>
  <c r="L2846" i="1"/>
  <c r="L2848" i="1"/>
  <c r="L2850" i="1"/>
  <c r="L2851" i="1"/>
  <c r="L2852" i="1"/>
  <c r="L2853" i="1"/>
  <c r="L2854" i="1"/>
  <c r="L2856" i="1"/>
  <c r="L2859" i="1"/>
  <c r="L2860" i="1"/>
  <c r="L2861" i="1"/>
  <c r="L2862" i="1"/>
  <c r="L2864" i="1"/>
  <c r="L2867" i="1"/>
  <c r="L2868" i="1"/>
  <c r="L2869" i="1"/>
  <c r="L2870" i="1"/>
  <c r="L2872" i="1"/>
  <c r="L2875" i="1"/>
  <c r="L2876" i="1"/>
  <c r="L2877" i="1"/>
  <c r="L2878" i="1"/>
  <c r="L2880" i="1"/>
  <c r="L2882" i="1"/>
  <c r="L2883" i="1"/>
  <c r="L2884" i="1"/>
  <c r="L2885" i="1"/>
  <c r="L2886" i="1"/>
  <c r="L2888" i="1"/>
  <c r="L2889" i="1"/>
  <c r="L2890" i="1"/>
  <c r="L2891" i="1"/>
  <c r="L2892" i="1"/>
  <c r="L2893" i="1"/>
  <c r="L2894" i="1"/>
  <c r="L2896" i="1"/>
  <c r="L2898" i="1"/>
  <c r="L2899" i="1"/>
  <c r="L2900" i="1"/>
  <c r="L2901" i="1"/>
  <c r="L2902" i="1"/>
  <c r="L2904" i="1"/>
  <c r="L2907" i="1"/>
  <c r="L2908" i="1"/>
  <c r="L2909" i="1"/>
  <c r="L2910" i="1"/>
  <c r="L2912" i="1"/>
  <c r="L2914" i="1"/>
  <c r="L2915" i="1"/>
  <c r="L2916" i="1"/>
  <c r="L2917" i="1"/>
  <c r="L2918" i="1"/>
  <c r="L2920" i="1"/>
  <c r="L2923" i="1"/>
  <c r="L2924" i="1"/>
  <c r="L2925" i="1"/>
  <c r="L2926" i="1"/>
  <c r="L2928" i="1"/>
  <c r="L2931" i="1"/>
  <c r="L2932" i="1"/>
  <c r="L2933" i="1"/>
  <c r="L2934" i="1"/>
  <c r="L2936" i="1"/>
  <c r="L2939" i="1"/>
  <c r="L2940" i="1"/>
  <c r="L2941" i="1"/>
  <c r="L2942" i="1"/>
  <c r="L2944" i="1"/>
  <c r="L2946" i="1"/>
  <c r="L2947" i="1"/>
  <c r="L2948" i="1"/>
  <c r="L2949" i="1"/>
  <c r="L2950" i="1"/>
  <c r="L2952" i="1"/>
  <c r="L2953" i="1"/>
  <c r="L2954" i="1"/>
  <c r="L2955" i="1"/>
  <c r="L2956" i="1"/>
  <c r="L2957" i="1"/>
  <c r="L2958" i="1"/>
  <c r="L2960" i="1"/>
  <c r="L2962" i="1"/>
  <c r="L2963" i="1"/>
  <c r="L2964" i="1"/>
  <c r="L2965" i="1"/>
  <c r="L2966" i="1"/>
  <c r="L2968" i="1"/>
  <c r="L2971" i="1"/>
  <c r="L2972" i="1"/>
  <c r="L2973" i="1"/>
  <c r="L2974" i="1"/>
  <c r="L2976" i="1"/>
  <c r="L2978" i="1"/>
  <c r="L2979" i="1"/>
  <c r="L2980" i="1"/>
  <c r="L2981" i="1"/>
  <c r="L2982" i="1"/>
  <c r="L2984" i="1"/>
  <c r="L2987" i="1"/>
  <c r="L2988" i="1"/>
  <c r="L2989" i="1"/>
  <c r="L2990" i="1"/>
  <c r="L2992" i="1"/>
  <c r="L2994" i="1"/>
  <c r="L2995" i="1"/>
  <c r="L2996" i="1"/>
  <c r="L2997" i="1"/>
  <c r="L2998" i="1"/>
  <c r="L3000" i="1"/>
  <c r="L2" i="1"/>
  <c r="K2" i="1"/>
  <c r="E5" i="8" l="1"/>
  <c r="L2945" i="1"/>
  <c r="L2881" i="1"/>
  <c r="L2817" i="1"/>
  <c r="L2753" i="1"/>
  <c r="L2689" i="1"/>
  <c r="L2409" i="1"/>
  <c r="L2345" i="1"/>
  <c r="L2281" i="1"/>
  <c r="L2217" i="1"/>
  <c r="L2153" i="1"/>
  <c r="L2089" i="1"/>
  <c r="L2025" i="1"/>
  <c r="L1961" i="1"/>
  <c r="L1897" i="1"/>
  <c r="L1833" i="1"/>
  <c r="L1769" i="1"/>
  <c r="L2961" i="1"/>
  <c r="L2897" i="1"/>
  <c r="L2833" i="1"/>
  <c r="L2769" i="1"/>
  <c r="L2705" i="1"/>
  <c r="A5" i="8"/>
  <c r="C5" i="8" s="1"/>
  <c r="L2969" i="1"/>
  <c r="L2905" i="1"/>
  <c r="L2841" i="1"/>
  <c r="L2777" i="1"/>
  <c r="L2713" i="1"/>
  <c r="L2649" i="1"/>
  <c r="L2977" i="1"/>
  <c r="L2913" i="1"/>
  <c r="L2849" i="1"/>
  <c r="L2785" i="1"/>
  <c r="L2721" i="1"/>
  <c r="L2657" i="1"/>
  <c r="L2385" i="1"/>
  <c r="L2321" i="1"/>
  <c r="L2257" i="1"/>
  <c r="L2193" i="1"/>
  <c r="L2129" i="1"/>
  <c r="L2065" i="1"/>
  <c r="L2001" i="1"/>
  <c r="L1937" i="1"/>
  <c r="L1873" i="1"/>
  <c r="L1809" i="1"/>
  <c r="L1745" i="1"/>
  <c r="L2985" i="1"/>
  <c r="L2921" i="1"/>
  <c r="L2857" i="1"/>
  <c r="L2793" i="1"/>
  <c r="L2729" i="1"/>
  <c r="L2665" i="1"/>
  <c r="L2993" i="1"/>
  <c r="L2929" i="1"/>
  <c r="L2865" i="1"/>
  <c r="L2801" i="1"/>
  <c r="L2737" i="1"/>
  <c r="L2673" i="1"/>
  <c r="L2393" i="1"/>
  <c r="L2329" i="1"/>
  <c r="L2265" i="1"/>
  <c r="L2201" i="1"/>
  <c r="L2137" i="1"/>
  <c r="L2073" i="1"/>
  <c r="L2009" i="1"/>
  <c r="L1945" i="1"/>
  <c r="L1881" i="1"/>
  <c r="L1817" i="1"/>
  <c r="L1753" i="1"/>
  <c r="N2" i="1" a="1"/>
  <c r="N2" i="1" s="1"/>
  <c r="O2" i="1" s="1"/>
  <c r="R2" i="1"/>
  <c r="D11" i="6"/>
  <c r="D10" i="6"/>
  <c r="D9" i="6"/>
  <c r="D8" i="6"/>
  <c r="D7" i="6"/>
  <c r="D6" i="6"/>
  <c r="D5" i="6"/>
  <c r="D3" i="6"/>
  <c r="C37" i="7"/>
  <c r="C36" i="7"/>
  <c r="C35" i="7"/>
  <c r="C34" i="7"/>
  <c r="C33" i="7"/>
  <c r="C32" i="7"/>
  <c r="C27" i="7"/>
  <c r="C26" i="7"/>
  <c r="C25" i="7"/>
  <c r="C24" i="7"/>
  <c r="C23" i="7"/>
  <c r="C22" i="7"/>
  <c r="C18" i="7"/>
  <c r="C13" i="7"/>
  <c r="C12" i="7"/>
  <c r="C11" i="7"/>
  <c r="C10" i="7"/>
  <c r="C9" i="7"/>
  <c r="C8" i="7"/>
  <c r="C7" i="7"/>
  <c r="C6" i="7"/>
  <c r="C5" i="7"/>
  <c r="C4" i="7"/>
  <c r="Q2" i="1" l="1"/>
  <c r="N869" i="1"/>
  <c r="O869" i="1" s="1"/>
  <c r="Q869" i="1"/>
  <c r="S2" i="1" l="1"/>
  <c r="S86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<sst xmlns="http://schemas.openxmlformats.org/spreadsheetml/2006/main" count="12371" uniqueCount="3599">
  <si>
    <t>Date</t>
  </si>
  <si>
    <t>Product_ID</t>
  </si>
  <si>
    <t>Category</t>
  </si>
  <si>
    <t>Supplier</t>
  </si>
  <si>
    <t>Qty_On_Hand</t>
  </si>
  <si>
    <t>Unit_Cost</t>
  </si>
  <si>
    <t>Std_Cost</t>
  </si>
  <si>
    <t>Actual_Cost</t>
  </si>
  <si>
    <t>Monthly_Demand</t>
  </si>
  <si>
    <t>Lead_Time_Days</t>
  </si>
  <si>
    <t>2025-02-09</t>
  </si>
  <si>
    <t>P00001</t>
  </si>
  <si>
    <t>Cooling</t>
  </si>
  <si>
    <t>Nova</t>
  </si>
  <si>
    <t>2025-08-30</t>
  </si>
  <si>
    <t>P00002</t>
  </si>
  <si>
    <t>Memory</t>
  </si>
  <si>
    <t>Delta</t>
  </si>
  <si>
    <t>2025-11-24</t>
  </si>
  <si>
    <t>P00003</t>
  </si>
  <si>
    <t>Sigma</t>
  </si>
  <si>
    <t>2025-06-03</t>
  </si>
  <si>
    <t>P00004</t>
  </si>
  <si>
    <t>GPU</t>
  </si>
  <si>
    <t>2025-12-24</t>
  </si>
  <si>
    <t>P00005</t>
  </si>
  <si>
    <t>Alpha</t>
  </si>
  <si>
    <t>2025-10-05</t>
  </si>
  <si>
    <t>P00006</t>
  </si>
  <si>
    <t>2025-02-27</t>
  </si>
  <si>
    <t>P00007</t>
  </si>
  <si>
    <t>2025-02-25</t>
  </si>
  <si>
    <t>P00008</t>
  </si>
  <si>
    <t>2025-01-17</t>
  </si>
  <si>
    <t>P00009</t>
  </si>
  <si>
    <t>2025-11-02</t>
  </si>
  <si>
    <t>P00010</t>
  </si>
  <si>
    <t>CPU</t>
  </si>
  <si>
    <t>2025-09-06</t>
  </si>
  <si>
    <t>P00011</t>
  </si>
  <si>
    <t>2025-08-10</t>
  </si>
  <si>
    <t>P00012</t>
  </si>
  <si>
    <t>2025-01-18</t>
  </si>
  <si>
    <t>P00013</t>
  </si>
  <si>
    <t>2025-11-28</t>
  </si>
  <si>
    <t>P00014</t>
  </si>
  <si>
    <t>2025-03-05</t>
  </si>
  <si>
    <t>P00015</t>
  </si>
  <si>
    <t>2025-12-17</t>
  </si>
  <si>
    <t>P00016</t>
  </si>
  <si>
    <t>Board</t>
  </si>
  <si>
    <t>2025-12-06</t>
  </si>
  <si>
    <t>P00017</t>
  </si>
  <si>
    <t>2025-01-30</t>
  </si>
  <si>
    <t>P00018</t>
  </si>
  <si>
    <t>2025-10-24</t>
  </si>
  <si>
    <t>P00019</t>
  </si>
  <si>
    <t>2025-10-11</t>
  </si>
  <si>
    <t>P00020</t>
  </si>
  <si>
    <t>2025-04-09</t>
  </si>
  <si>
    <t>P00021</t>
  </si>
  <si>
    <t>2025-01-08</t>
  </si>
  <si>
    <t>P00022</t>
  </si>
  <si>
    <t>2025-03-09</t>
  </si>
  <si>
    <t>P00023</t>
  </si>
  <si>
    <t>2025-09-10</t>
  </si>
  <si>
    <t>P00024</t>
  </si>
  <si>
    <t>2025-04-28</t>
  </si>
  <si>
    <t>P00025</t>
  </si>
  <si>
    <t>Beta</t>
  </si>
  <si>
    <t>2025-05-23</t>
  </si>
  <si>
    <t>P00026</t>
  </si>
  <si>
    <t>2025-05-27</t>
  </si>
  <si>
    <t>P00027</t>
  </si>
  <si>
    <t>2025-06-17</t>
  </si>
  <si>
    <t>P00028</t>
  </si>
  <si>
    <t>2025-02-20</t>
  </si>
  <si>
    <t>P00029</t>
  </si>
  <si>
    <t>2025-05-16</t>
  </si>
  <si>
    <t>P00030</t>
  </si>
  <si>
    <t>2025-07-04</t>
  </si>
  <si>
    <t>P00031</t>
  </si>
  <si>
    <t>2025-12-13</t>
  </si>
  <si>
    <t>P00032</t>
  </si>
  <si>
    <t>2025-12-10</t>
  </si>
  <si>
    <t>P00033</t>
  </si>
  <si>
    <t>2025-05-17</t>
  </si>
  <si>
    <t>P00034</t>
  </si>
  <si>
    <t>2025-05-11</t>
  </si>
  <si>
    <t>P00035</t>
  </si>
  <si>
    <t>2025-04-13</t>
  </si>
  <si>
    <t>P00036</t>
  </si>
  <si>
    <t>2025-02-06</t>
  </si>
  <si>
    <t>P00037</t>
  </si>
  <si>
    <t>2025-11-20</t>
  </si>
  <si>
    <t>P00038</t>
  </si>
  <si>
    <t>2025-10-07</t>
  </si>
  <si>
    <t>P00039</t>
  </si>
  <si>
    <t>2025-02-05</t>
  </si>
  <si>
    <t>P00040</t>
  </si>
  <si>
    <t>2025-11-27</t>
  </si>
  <si>
    <t>P00041</t>
  </si>
  <si>
    <t>P00042</t>
  </si>
  <si>
    <t>2025-04-18</t>
  </si>
  <si>
    <t>P00043</t>
  </si>
  <si>
    <t>2025-10-18</t>
  </si>
  <si>
    <t>P00044</t>
  </si>
  <si>
    <t>2025-11-05</t>
  </si>
  <si>
    <t>P00045</t>
  </si>
  <si>
    <t>2025-12-27</t>
  </si>
  <si>
    <t>P00046</t>
  </si>
  <si>
    <t>2025-01-14</t>
  </si>
  <si>
    <t>P00047</t>
  </si>
  <si>
    <t>2025-04-07</t>
  </si>
  <si>
    <t>P00048</t>
  </si>
  <si>
    <t>2025-09-15</t>
  </si>
  <si>
    <t>P00049</t>
  </si>
  <si>
    <t>2025-10-20</t>
  </si>
  <si>
    <t>P00050</t>
  </si>
  <si>
    <t>2025-04-16</t>
  </si>
  <si>
    <t>P00051</t>
  </si>
  <si>
    <t>2025-12-25</t>
  </si>
  <si>
    <t>P00052</t>
  </si>
  <si>
    <t>2025-04-10</t>
  </si>
  <si>
    <t>P00053</t>
  </si>
  <si>
    <t>2025-10-30</t>
  </si>
  <si>
    <t>P00054</t>
  </si>
  <si>
    <t>2025-07-31</t>
  </si>
  <si>
    <t>P00055</t>
  </si>
  <si>
    <t>2025-06-16</t>
  </si>
  <si>
    <t>P00056</t>
  </si>
  <si>
    <t>P00057</t>
  </si>
  <si>
    <t>2025-03-18</t>
  </si>
  <si>
    <t>P00058</t>
  </si>
  <si>
    <t>2025-01-23</t>
  </si>
  <si>
    <t>P00059</t>
  </si>
  <si>
    <t>2025-03-22</t>
  </si>
  <si>
    <t>P00060</t>
  </si>
  <si>
    <t>2025-02-15</t>
  </si>
  <si>
    <t>P00061</t>
  </si>
  <si>
    <t>P00062</t>
  </si>
  <si>
    <t>2025-10-12</t>
  </si>
  <si>
    <t>P00063</t>
  </si>
  <si>
    <t>2025-12-22</t>
  </si>
  <si>
    <t>P00064</t>
  </si>
  <si>
    <t>2025-09-30</t>
  </si>
  <si>
    <t>P00065</t>
  </si>
  <si>
    <t>2025-11-29</t>
  </si>
  <si>
    <t>P00066</t>
  </si>
  <si>
    <t>2025-10-03</t>
  </si>
  <si>
    <t>P00067</t>
  </si>
  <si>
    <t>2025-05-31</t>
  </si>
  <si>
    <t>P00068</t>
  </si>
  <si>
    <t>2025-07-24</t>
  </si>
  <si>
    <t>P00069</t>
  </si>
  <si>
    <t>2025-08-23</t>
  </si>
  <si>
    <t>P00070</t>
  </si>
  <si>
    <t>2025-01-03</t>
  </si>
  <si>
    <t>P00071</t>
  </si>
  <si>
    <t>2025-06-01</t>
  </si>
  <si>
    <t>P00072</t>
  </si>
  <si>
    <t>2025-07-27</t>
  </si>
  <si>
    <t>P00073</t>
  </si>
  <si>
    <t>2025-06-28</t>
  </si>
  <si>
    <t>P00074</t>
  </si>
  <si>
    <t>2025-10-25</t>
  </si>
  <si>
    <t>P00075</t>
  </si>
  <si>
    <t>P00076</t>
  </si>
  <si>
    <t>2025-12-26</t>
  </si>
  <si>
    <t>P00077</t>
  </si>
  <si>
    <t>P00078</t>
  </si>
  <si>
    <t>2025-05-02</t>
  </si>
  <si>
    <t>P00079</t>
  </si>
  <si>
    <t>2025-04-29</t>
  </si>
  <si>
    <t>P00080</t>
  </si>
  <si>
    <t>2025-12-23</t>
  </si>
  <si>
    <t>P00081</t>
  </si>
  <si>
    <t>2025-03-29</t>
  </si>
  <si>
    <t>P00082</t>
  </si>
  <si>
    <t>P00083</t>
  </si>
  <si>
    <t>2025-01-28</t>
  </si>
  <si>
    <t>P00084</t>
  </si>
  <si>
    <t>P00085</t>
  </si>
  <si>
    <t>P00086</t>
  </si>
  <si>
    <t>2025-08-25</t>
  </si>
  <si>
    <t>P00087</t>
  </si>
  <si>
    <t>2025-09-03</t>
  </si>
  <si>
    <t>P00088</t>
  </si>
  <si>
    <t>2025-04-25</t>
  </si>
  <si>
    <t>P00089</t>
  </si>
  <si>
    <t>P00090</t>
  </si>
  <si>
    <t>2025-10-14</t>
  </si>
  <si>
    <t>P00091</t>
  </si>
  <si>
    <t>2025-05-09</t>
  </si>
  <si>
    <t>P00092</t>
  </si>
  <si>
    <t>P00093</t>
  </si>
  <si>
    <t>P00094</t>
  </si>
  <si>
    <t>2025-06-02</t>
  </si>
  <si>
    <t>P00095</t>
  </si>
  <si>
    <t>2025-03-10</t>
  </si>
  <si>
    <t>P00096</t>
  </si>
  <si>
    <t>2025-12-30</t>
  </si>
  <si>
    <t>P00097</t>
  </si>
  <si>
    <t>2025-05-15</t>
  </si>
  <si>
    <t>P00098</t>
  </si>
  <si>
    <t>2025-05-08</t>
  </si>
  <si>
    <t>P00099</t>
  </si>
  <si>
    <t>P00100</t>
  </si>
  <si>
    <t>P00101</t>
  </si>
  <si>
    <t>2025-05-01</t>
  </si>
  <si>
    <t>P00102</t>
  </si>
  <si>
    <t>2025-06-09</t>
  </si>
  <si>
    <t>P00103</t>
  </si>
  <si>
    <t>2025-03-28</t>
  </si>
  <si>
    <t>P00104</t>
  </si>
  <si>
    <t>P00105</t>
  </si>
  <si>
    <t>2025-03-19</t>
  </si>
  <si>
    <t>P00106</t>
  </si>
  <si>
    <t>2025-05-19</t>
  </si>
  <si>
    <t>P00107</t>
  </si>
  <si>
    <t>2025-02-26</t>
  </si>
  <si>
    <t>P00108</t>
  </si>
  <si>
    <t>2025-08-09</t>
  </si>
  <si>
    <t>P00109</t>
  </si>
  <si>
    <t>2025-12-04</t>
  </si>
  <si>
    <t>P00110</t>
  </si>
  <si>
    <t>2025-04-05</t>
  </si>
  <si>
    <t>P00111</t>
  </si>
  <si>
    <t>P00112</t>
  </si>
  <si>
    <t>2025-05-18</t>
  </si>
  <si>
    <t>P00113</t>
  </si>
  <si>
    <t>2025-08-04</t>
  </si>
  <si>
    <t>P00114</t>
  </si>
  <si>
    <t>2025-11-15</t>
  </si>
  <si>
    <t>P00115</t>
  </si>
  <si>
    <t>2025-02-16</t>
  </si>
  <si>
    <t>P00116</t>
  </si>
  <si>
    <t>P00117</t>
  </si>
  <si>
    <t>2025-01-24</t>
  </si>
  <si>
    <t>P00118</t>
  </si>
  <si>
    <t>2025-11-21</t>
  </si>
  <si>
    <t>P00119</t>
  </si>
  <si>
    <t>P00120</t>
  </si>
  <si>
    <t>2025-10-17</t>
  </si>
  <si>
    <t>P00121</t>
  </si>
  <si>
    <t>P00122</t>
  </si>
  <si>
    <t>2025-09-29</t>
  </si>
  <si>
    <t>P00123</t>
  </si>
  <si>
    <t>P00124</t>
  </si>
  <si>
    <t>2025-02-08</t>
  </si>
  <si>
    <t>P00125</t>
  </si>
  <si>
    <t>2025-11-03</t>
  </si>
  <si>
    <t>P00126</t>
  </si>
  <si>
    <t>2025-10-29</t>
  </si>
  <si>
    <t>P00127</t>
  </si>
  <si>
    <t>P00128</t>
  </si>
  <si>
    <t>2025-01-31</t>
  </si>
  <si>
    <t>P00129</t>
  </si>
  <si>
    <t>2025-04-04</t>
  </si>
  <si>
    <t>P00130</t>
  </si>
  <si>
    <t>2025-12-21</t>
  </si>
  <si>
    <t>P00131</t>
  </si>
  <si>
    <t>2025-03-08</t>
  </si>
  <si>
    <t>P00132</t>
  </si>
  <si>
    <t>P00133</t>
  </si>
  <si>
    <t>P00134</t>
  </si>
  <si>
    <t>2025-08-22</t>
  </si>
  <si>
    <t>P00135</t>
  </si>
  <si>
    <t>2025-02-13</t>
  </si>
  <si>
    <t>P00136</t>
  </si>
  <si>
    <t>2025-03-04</t>
  </si>
  <si>
    <t>P00137</t>
  </si>
  <si>
    <t>P00138</t>
  </si>
  <si>
    <t>2025-12-09</t>
  </si>
  <si>
    <t>P00139</t>
  </si>
  <si>
    <t>2025-12-12</t>
  </si>
  <si>
    <t>P00140</t>
  </si>
  <si>
    <t>P00141</t>
  </si>
  <si>
    <t>2025-01-11</t>
  </si>
  <si>
    <t>P00142</t>
  </si>
  <si>
    <t>2025-05-20</t>
  </si>
  <si>
    <t>P00143</t>
  </si>
  <si>
    <t>P00144</t>
  </si>
  <si>
    <t>2025-04-27</t>
  </si>
  <si>
    <t>P00145</t>
  </si>
  <si>
    <t>P00146</t>
  </si>
  <si>
    <t>2025-04-08</t>
  </si>
  <si>
    <t>P00147</t>
  </si>
  <si>
    <t>2025-07-20</t>
  </si>
  <si>
    <t>P00148</t>
  </si>
  <si>
    <t>2025-01-26</t>
  </si>
  <si>
    <t>P00149</t>
  </si>
  <si>
    <t>P00150</t>
  </si>
  <si>
    <t>2025-05-12</t>
  </si>
  <si>
    <t>P00151</t>
  </si>
  <si>
    <t>2025-11-11</t>
  </si>
  <si>
    <t>P00152</t>
  </si>
  <si>
    <t>P00153</t>
  </si>
  <si>
    <t>2025-11-10</t>
  </si>
  <si>
    <t>P00154</t>
  </si>
  <si>
    <t>P00155</t>
  </si>
  <si>
    <t>2025-09-12</t>
  </si>
  <si>
    <t>P00156</t>
  </si>
  <si>
    <t>2025-07-28</t>
  </si>
  <si>
    <t>P00157</t>
  </si>
  <si>
    <t>P00158</t>
  </si>
  <si>
    <t>2025-03-17</t>
  </si>
  <si>
    <t>P00159</t>
  </si>
  <si>
    <t>2025-03-27</t>
  </si>
  <si>
    <t>P00160</t>
  </si>
  <si>
    <t>2025-10-08</t>
  </si>
  <si>
    <t>P00161</t>
  </si>
  <si>
    <t>2025-11-19</t>
  </si>
  <si>
    <t>P00162</t>
  </si>
  <si>
    <t>2025-03-31</t>
  </si>
  <si>
    <t>P00163</t>
  </si>
  <si>
    <t>P00164</t>
  </si>
  <si>
    <t>P00165</t>
  </si>
  <si>
    <t>P00166</t>
  </si>
  <si>
    <t>P00167</t>
  </si>
  <si>
    <t>2025-03-13</t>
  </si>
  <si>
    <t>P00168</t>
  </si>
  <si>
    <t>P00169</t>
  </si>
  <si>
    <t>2025-05-24</t>
  </si>
  <si>
    <t>P00170</t>
  </si>
  <si>
    <t>P00171</t>
  </si>
  <si>
    <t>2025-03-24</t>
  </si>
  <si>
    <t>P00172</t>
  </si>
  <si>
    <t>2025-03-14</t>
  </si>
  <si>
    <t>P00173</t>
  </si>
  <si>
    <t>P00174</t>
  </si>
  <si>
    <t>2025-03-30</t>
  </si>
  <si>
    <t>P00175</t>
  </si>
  <si>
    <t>2025-11-23</t>
  </si>
  <si>
    <t>P00176</t>
  </si>
  <si>
    <t>2025-08-19</t>
  </si>
  <si>
    <t>P00177</t>
  </si>
  <si>
    <t>P00178</t>
  </si>
  <si>
    <t>2025-08-15</t>
  </si>
  <si>
    <t>P00179</t>
  </si>
  <si>
    <t>2025-09-28</t>
  </si>
  <si>
    <t>P00180</t>
  </si>
  <si>
    <t>P00181</t>
  </si>
  <si>
    <t>P00182</t>
  </si>
  <si>
    <t>2025-08-03</t>
  </si>
  <si>
    <t>P00183</t>
  </si>
  <si>
    <t>P00184</t>
  </si>
  <si>
    <t>2025-07-12</t>
  </si>
  <si>
    <t>P00185</t>
  </si>
  <si>
    <t>2025-08-01</t>
  </si>
  <si>
    <t>P00186</t>
  </si>
  <si>
    <t>P00187</t>
  </si>
  <si>
    <t>2025-07-16</t>
  </si>
  <si>
    <t>P00188</t>
  </si>
  <si>
    <t>2025-09-26</t>
  </si>
  <si>
    <t>P00189</t>
  </si>
  <si>
    <t>P00190</t>
  </si>
  <si>
    <t>P00191</t>
  </si>
  <si>
    <t>P00192</t>
  </si>
  <si>
    <t>P00193</t>
  </si>
  <si>
    <t>2025-07-21</t>
  </si>
  <si>
    <t>P00194</t>
  </si>
  <si>
    <t>P00195</t>
  </si>
  <si>
    <t>2025-01-29</t>
  </si>
  <si>
    <t>P00196</t>
  </si>
  <si>
    <t>2025-03-06</t>
  </si>
  <si>
    <t>P00197</t>
  </si>
  <si>
    <t>P00198</t>
  </si>
  <si>
    <t>2025-02-23</t>
  </si>
  <si>
    <t>P00199</t>
  </si>
  <si>
    <t>2025-03-02</t>
  </si>
  <si>
    <t>P00200</t>
  </si>
  <si>
    <t>P00201</t>
  </si>
  <si>
    <t>P00202</t>
  </si>
  <si>
    <t>2025-10-10</t>
  </si>
  <si>
    <t>P00203</t>
  </si>
  <si>
    <t>2025-06-18</t>
  </si>
  <si>
    <t>P00204</t>
  </si>
  <si>
    <t>P00205</t>
  </si>
  <si>
    <t>P00206</t>
  </si>
  <si>
    <t>2025-07-03</t>
  </si>
  <si>
    <t>P00207</t>
  </si>
  <si>
    <t>2025-06-07</t>
  </si>
  <si>
    <t>P00208</t>
  </si>
  <si>
    <t>P00209</t>
  </si>
  <si>
    <t>2025-01-27</t>
  </si>
  <si>
    <t>P00210</t>
  </si>
  <si>
    <t>2025-11-17</t>
  </si>
  <si>
    <t>P00211</t>
  </si>
  <si>
    <t>2025-01-25</t>
  </si>
  <si>
    <t>P00212</t>
  </si>
  <si>
    <t>2025-11-08</t>
  </si>
  <si>
    <t>P00213</t>
  </si>
  <si>
    <t>2025-08-31</t>
  </si>
  <si>
    <t>P00214</t>
  </si>
  <si>
    <t>2025-06-22</t>
  </si>
  <si>
    <t>P00215</t>
  </si>
  <si>
    <t>P00216</t>
  </si>
  <si>
    <t>2025-05-30</t>
  </si>
  <si>
    <t>P00217</t>
  </si>
  <si>
    <t>2025-04-19</t>
  </si>
  <si>
    <t>P00218</t>
  </si>
  <si>
    <t>P00219</t>
  </si>
  <si>
    <t>P00220</t>
  </si>
  <si>
    <t>2025-06-06</t>
  </si>
  <si>
    <t>P00221</t>
  </si>
  <si>
    <t>P00222</t>
  </si>
  <si>
    <t>2025-03-23</t>
  </si>
  <si>
    <t>P00223</t>
  </si>
  <si>
    <t>P00224</t>
  </si>
  <si>
    <t>P00225</t>
  </si>
  <si>
    <t>2025-02-07</t>
  </si>
  <si>
    <t>P00226</t>
  </si>
  <si>
    <t>2025-06-30</t>
  </si>
  <si>
    <t>P00227</t>
  </si>
  <si>
    <t>P00228</t>
  </si>
  <si>
    <t>2025-06-15</t>
  </si>
  <si>
    <t>P00229</t>
  </si>
  <si>
    <t>2025-09-23</t>
  </si>
  <si>
    <t>P00230</t>
  </si>
  <si>
    <t>P00231</t>
  </si>
  <si>
    <t>P00232</t>
  </si>
  <si>
    <t>2025-06-05</t>
  </si>
  <si>
    <t>P00233</t>
  </si>
  <si>
    <t>2025-10-21</t>
  </si>
  <si>
    <t>P00234</t>
  </si>
  <si>
    <t>P00235</t>
  </si>
  <si>
    <t>2025-02-28</t>
  </si>
  <si>
    <t>P00236</t>
  </si>
  <si>
    <t>P00237</t>
  </si>
  <si>
    <t>2025-01-19</t>
  </si>
  <si>
    <t>P00238</t>
  </si>
  <si>
    <t>2025-05-06</t>
  </si>
  <si>
    <t>P00239</t>
  </si>
  <si>
    <t>2025-03-26</t>
  </si>
  <si>
    <t>P00240</t>
  </si>
  <si>
    <t>2025-01-15</t>
  </si>
  <si>
    <t>P00241</t>
  </si>
  <si>
    <t>2025-06-13</t>
  </si>
  <si>
    <t>P00242</t>
  </si>
  <si>
    <t>P00243</t>
  </si>
  <si>
    <t>P00244</t>
  </si>
  <si>
    <t>2025-03-12</t>
  </si>
  <si>
    <t>P00245</t>
  </si>
  <si>
    <t>2025-02-11</t>
  </si>
  <si>
    <t>P00246</t>
  </si>
  <si>
    <t>2025-08-05</t>
  </si>
  <si>
    <t>P00247</t>
  </si>
  <si>
    <t>P00248</t>
  </si>
  <si>
    <t>2025-10-26</t>
  </si>
  <si>
    <t>P00249</t>
  </si>
  <si>
    <t>2025-11-04</t>
  </si>
  <si>
    <t>P00250</t>
  </si>
  <si>
    <t>2025-07-06</t>
  </si>
  <si>
    <t>P00251</t>
  </si>
  <si>
    <t>2025-10-01</t>
  </si>
  <si>
    <t>P00252</t>
  </si>
  <si>
    <t>P00253</t>
  </si>
  <si>
    <t>P00254</t>
  </si>
  <si>
    <t>2025-02-21</t>
  </si>
  <si>
    <t>P00255</t>
  </si>
  <si>
    <t>P00256</t>
  </si>
  <si>
    <t>2025-05-13</t>
  </si>
  <si>
    <t>P00257</t>
  </si>
  <si>
    <t>2025-07-15</t>
  </si>
  <si>
    <t>P00258</t>
  </si>
  <si>
    <t>P00259</t>
  </si>
  <si>
    <t>P00260</t>
  </si>
  <si>
    <t>P00261</t>
  </si>
  <si>
    <t>P00262</t>
  </si>
  <si>
    <t>2025-02-17</t>
  </si>
  <si>
    <t>P00263</t>
  </si>
  <si>
    <t>2025-07-05</t>
  </si>
  <si>
    <t>P00264</t>
  </si>
  <si>
    <t>2025-01-20</t>
  </si>
  <si>
    <t>P00265</t>
  </si>
  <si>
    <t>P00266</t>
  </si>
  <si>
    <t>2025-06-23</t>
  </si>
  <si>
    <t>P00267</t>
  </si>
  <si>
    <t>P00268</t>
  </si>
  <si>
    <t>2025-01-21</t>
  </si>
  <si>
    <t>P00269</t>
  </si>
  <si>
    <t>2025-11-30</t>
  </si>
  <si>
    <t>P00270</t>
  </si>
  <si>
    <t>2025-12-07</t>
  </si>
  <si>
    <t>P00271</t>
  </si>
  <si>
    <t>P00272</t>
  </si>
  <si>
    <t>2025-10-16</t>
  </si>
  <si>
    <t>P00273</t>
  </si>
  <si>
    <t>2025-07-19</t>
  </si>
  <si>
    <t>P00274</t>
  </si>
  <si>
    <t>P00275</t>
  </si>
  <si>
    <t>P00276</t>
  </si>
  <si>
    <t>P00277</t>
  </si>
  <si>
    <t>2025-08-20</t>
  </si>
  <si>
    <t>P00278</t>
  </si>
  <si>
    <t>P00279</t>
  </si>
  <si>
    <t>P00280</t>
  </si>
  <si>
    <t>2025-11-09</t>
  </si>
  <si>
    <t>P00281</t>
  </si>
  <si>
    <t>2025-07-17</t>
  </si>
  <si>
    <t>P00282</t>
  </si>
  <si>
    <t>P00283</t>
  </si>
  <si>
    <t>P00284</t>
  </si>
  <si>
    <t>P00285</t>
  </si>
  <si>
    <t>P00286</t>
  </si>
  <si>
    <t>P00287</t>
  </si>
  <si>
    <t>P00288</t>
  </si>
  <si>
    <t>P00289</t>
  </si>
  <si>
    <t>2025-04-14</t>
  </si>
  <si>
    <t>P00290</t>
  </si>
  <si>
    <t>2025-11-13</t>
  </si>
  <si>
    <t>P00291</t>
  </si>
  <si>
    <t>P00292</t>
  </si>
  <si>
    <t>P00293</t>
  </si>
  <si>
    <t>P00294</t>
  </si>
  <si>
    <t>P00295</t>
  </si>
  <si>
    <t>P00296</t>
  </si>
  <si>
    <t>P00297</t>
  </si>
  <si>
    <t>P00298</t>
  </si>
  <si>
    <t>P00299</t>
  </si>
  <si>
    <t>2025-10-22</t>
  </si>
  <si>
    <t>P00300</t>
  </si>
  <si>
    <t>2025-12-31</t>
  </si>
  <si>
    <t>P00301</t>
  </si>
  <si>
    <t>2025-06-08</t>
  </si>
  <si>
    <t>P00302</t>
  </si>
  <si>
    <t>P00303</t>
  </si>
  <si>
    <t>P00304</t>
  </si>
  <si>
    <t>P00305</t>
  </si>
  <si>
    <t>P00306</t>
  </si>
  <si>
    <t>P00307</t>
  </si>
  <si>
    <t>P00308</t>
  </si>
  <si>
    <t>2025-07-13</t>
  </si>
  <si>
    <t>P00309</t>
  </si>
  <si>
    <t>2025-09-13</t>
  </si>
  <si>
    <t>P00310</t>
  </si>
  <si>
    <t>P00311</t>
  </si>
  <si>
    <t>P00312</t>
  </si>
  <si>
    <t>2025-06-12</t>
  </si>
  <si>
    <t>P00313</t>
  </si>
  <si>
    <t>2025-08-17</t>
  </si>
  <si>
    <t>P00314</t>
  </si>
  <si>
    <t>2025-02-14</t>
  </si>
  <si>
    <t>P00315</t>
  </si>
  <si>
    <t>P00316</t>
  </si>
  <si>
    <t>2025-04-21</t>
  </si>
  <si>
    <t>P00317</t>
  </si>
  <si>
    <t>P00318</t>
  </si>
  <si>
    <t>2025-01-05</t>
  </si>
  <si>
    <t>P00319</t>
  </si>
  <si>
    <t>P00320</t>
  </si>
  <si>
    <t>2025-10-27</t>
  </si>
  <si>
    <t>P00321</t>
  </si>
  <si>
    <t>P00322</t>
  </si>
  <si>
    <t>P00323</t>
  </si>
  <si>
    <t>P00324</t>
  </si>
  <si>
    <t>P00325</t>
  </si>
  <si>
    <t>P00326</t>
  </si>
  <si>
    <t>2025-05-05</t>
  </si>
  <si>
    <t>P00327</t>
  </si>
  <si>
    <t>P00328</t>
  </si>
  <si>
    <t>2025-07-30</t>
  </si>
  <si>
    <t>P00329</t>
  </si>
  <si>
    <t>P00330</t>
  </si>
  <si>
    <t>P00331</t>
  </si>
  <si>
    <t>2025-08-27</t>
  </si>
  <si>
    <t>P00332</t>
  </si>
  <si>
    <t>P00333</t>
  </si>
  <si>
    <t>P00334</t>
  </si>
  <si>
    <t>P00335</t>
  </si>
  <si>
    <t>P00336</t>
  </si>
  <si>
    <t>P00337</t>
  </si>
  <si>
    <t>2025-08-11</t>
  </si>
  <si>
    <t>P00338</t>
  </si>
  <si>
    <t>P00339</t>
  </si>
  <si>
    <t>P00340</t>
  </si>
  <si>
    <t>P00341</t>
  </si>
  <si>
    <t>P00342</t>
  </si>
  <si>
    <t>P00343</t>
  </si>
  <si>
    <t>P00344</t>
  </si>
  <si>
    <t>2025-05-21</t>
  </si>
  <si>
    <t>P00345</t>
  </si>
  <si>
    <t>P00346</t>
  </si>
  <si>
    <t>P00347</t>
  </si>
  <si>
    <t>2025-12-15</t>
  </si>
  <si>
    <t>P00348</t>
  </si>
  <si>
    <t>P00349</t>
  </si>
  <si>
    <t>P00350</t>
  </si>
  <si>
    <t>P00351</t>
  </si>
  <si>
    <t>2025-12-08</t>
  </si>
  <si>
    <t>P00352</t>
  </si>
  <si>
    <t>2025-11-01</t>
  </si>
  <si>
    <t>P00353</t>
  </si>
  <si>
    <t>2025-06-24</t>
  </si>
  <si>
    <t>P00354</t>
  </si>
  <si>
    <t>P00355</t>
  </si>
  <si>
    <t>2025-10-13</t>
  </si>
  <si>
    <t>P00356</t>
  </si>
  <si>
    <t>P00357</t>
  </si>
  <si>
    <t>2025-08-21</t>
  </si>
  <si>
    <t>P00358</t>
  </si>
  <si>
    <t>P00359</t>
  </si>
  <si>
    <t>P00360</t>
  </si>
  <si>
    <t>P00361</t>
  </si>
  <si>
    <t>2025-08-12</t>
  </si>
  <si>
    <t>P00362</t>
  </si>
  <si>
    <t>2025-03-15</t>
  </si>
  <si>
    <t>P00363</t>
  </si>
  <si>
    <t>P00364</t>
  </si>
  <si>
    <t>P00365</t>
  </si>
  <si>
    <t>P00366</t>
  </si>
  <si>
    <t>2025-12-02</t>
  </si>
  <si>
    <t>P00367</t>
  </si>
  <si>
    <t>P00368</t>
  </si>
  <si>
    <t>2025-09-04</t>
  </si>
  <si>
    <t>P00369</t>
  </si>
  <si>
    <t>P00370</t>
  </si>
  <si>
    <t>2025-06-10</t>
  </si>
  <si>
    <t>P00371</t>
  </si>
  <si>
    <t>2025-05-03</t>
  </si>
  <si>
    <t>P00372</t>
  </si>
  <si>
    <t>P00373</t>
  </si>
  <si>
    <t>P00374</t>
  </si>
  <si>
    <t>P00375</t>
  </si>
  <si>
    <t>P00376</t>
  </si>
  <si>
    <t>2025-09-08</t>
  </si>
  <si>
    <t>P00377</t>
  </si>
  <si>
    <t>P00378</t>
  </si>
  <si>
    <t>2025-10-31</t>
  </si>
  <si>
    <t>P00379</t>
  </si>
  <si>
    <t>2025-04-23</t>
  </si>
  <si>
    <t>P00380</t>
  </si>
  <si>
    <t>P00381</t>
  </si>
  <si>
    <t>P00382</t>
  </si>
  <si>
    <t>2025-08-18</t>
  </si>
  <si>
    <t>P00383</t>
  </si>
  <si>
    <t>P00384</t>
  </si>
  <si>
    <t>2025-04-01</t>
  </si>
  <si>
    <t>P00385</t>
  </si>
  <si>
    <t>P00386</t>
  </si>
  <si>
    <t>P00387</t>
  </si>
  <si>
    <t>2025-06-11</t>
  </si>
  <si>
    <t>P00388</t>
  </si>
  <si>
    <t>2025-08-28</t>
  </si>
  <si>
    <t>P00389</t>
  </si>
  <si>
    <t>P00390</t>
  </si>
  <si>
    <t>P00391</t>
  </si>
  <si>
    <t>P00392</t>
  </si>
  <si>
    <t>P00393</t>
  </si>
  <si>
    <t>P00394</t>
  </si>
  <si>
    <t>2025-07-01</t>
  </si>
  <si>
    <t>P00395</t>
  </si>
  <si>
    <t>P00396</t>
  </si>
  <si>
    <t>2025-09-27</t>
  </si>
  <si>
    <t>P00397</t>
  </si>
  <si>
    <t>P00398</t>
  </si>
  <si>
    <t>2025-09-09</t>
  </si>
  <si>
    <t>P00399</t>
  </si>
  <si>
    <t>2025-03-20</t>
  </si>
  <si>
    <t>P00400</t>
  </si>
  <si>
    <t>P00401</t>
  </si>
  <si>
    <t>P00402</t>
  </si>
  <si>
    <t>P00403</t>
  </si>
  <si>
    <t>P00404</t>
  </si>
  <si>
    <t>P00405</t>
  </si>
  <si>
    <t>2025-07-23</t>
  </si>
  <si>
    <t>P00406</t>
  </si>
  <si>
    <t>2025-12-03</t>
  </si>
  <si>
    <t>P00407</t>
  </si>
  <si>
    <t>P00408</t>
  </si>
  <si>
    <t>2025-08-26</t>
  </si>
  <si>
    <t>P00409</t>
  </si>
  <si>
    <t>2025-06-04</t>
  </si>
  <si>
    <t>P00410</t>
  </si>
  <si>
    <t>P00411</t>
  </si>
  <si>
    <t>P00412</t>
  </si>
  <si>
    <t>P00413</t>
  </si>
  <si>
    <t>P00414</t>
  </si>
  <si>
    <t>P00415</t>
  </si>
  <si>
    <t>P00416</t>
  </si>
  <si>
    <t>P00417</t>
  </si>
  <si>
    <t>P00418</t>
  </si>
  <si>
    <t>P00419</t>
  </si>
  <si>
    <t>P00420</t>
  </si>
  <si>
    <t>P00421</t>
  </si>
  <si>
    <t>2025-04-12</t>
  </si>
  <si>
    <t>P00422</t>
  </si>
  <si>
    <t>2025-06-25</t>
  </si>
  <si>
    <t>P00423</t>
  </si>
  <si>
    <t>P00424</t>
  </si>
  <si>
    <t>P00425</t>
  </si>
  <si>
    <t>2025-12-28</t>
  </si>
  <si>
    <t>P00426</t>
  </si>
  <si>
    <t>P00427</t>
  </si>
  <si>
    <t>P00428</t>
  </si>
  <si>
    <t>2025-06-20</t>
  </si>
  <si>
    <t>P00429</t>
  </si>
  <si>
    <t>P00430</t>
  </si>
  <si>
    <t>P00431</t>
  </si>
  <si>
    <t>P00432</t>
  </si>
  <si>
    <t>P00433</t>
  </si>
  <si>
    <t>P00434</t>
  </si>
  <si>
    <t>P00435</t>
  </si>
  <si>
    <t>P00436</t>
  </si>
  <si>
    <t>P00437</t>
  </si>
  <si>
    <t>P00438</t>
  </si>
  <si>
    <t>P00439</t>
  </si>
  <si>
    <t>P00440</t>
  </si>
  <si>
    <t>2025-12-18</t>
  </si>
  <si>
    <t>P00441</t>
  </si>
  <si>
    <t>P00442</t>
  </si>
  <si>
    <t>2025-08-16</t>
  </si>
  <si>
    <t>P00443</t>
  </si>
  <si>
    <t>2025-12-05</t>
  </si>
  <si>
    <t>P00444</t>
  </si>
  <si>
    <t>P00445</t>
  </si>
  <si>
    <t>P00446</t>
  </si>
  <si>
    <t>P00447</t>
  </si>
  <si>
    <t>P00448</t>
  </si>
  <si>
    <t>P00449</t>
  </si>
  <si>
    <t>2025-04-22</t>
  </si>
  <si>
    <t>P00450</t>
  </si>
  <si>
    <t>2025-07-08</t>
  </si>
  <si>
    <t>P00451</t>
  </si>
  <si>
    <t>P00452</t>
  </si>
  <si>
    <t>P00453</t>
  </si>
  <si>
    <t>2025-06-26</t>
  </si>
  <si>
    <t>P00454</t>
  </si>
  <si>
    <t>P00455</t>
  </si>
  <si>
    <t>P00456</t>
  </si>
  <si>
    <t>P00457</t>
  </si>
  <si>
    <t>2025-08-08</t>
  </si>
  <si>
    <t>P00458</t>
  </si>
  <si>
    <t>P00459</t>
  </si>
  <si>
    <t>P00460</t>
  </si>
  <si>
    <t>P00461</t>
  </si>
  <si>
    <t>2025-09-07</t>
  </si>
  <si>
    <t>P00462</t>
  </si>
  <si>
    <t>2025-11-14</t>
  </si>
  <si>
    <t>P00463</t>
  </si>
  <si>
    <t>P00464</t>
  </si>
  <si>
    <t>P00465</t>
  </si>
  <si>
    <t>2025-10-23</t>
  </si>
  <si>
    <t>P00466</t>
  </si>
  <si>
    <t>P00467</t>
  </si>
  <si>
    <t>P00468</t>
  </si>
  <si>
    <t>P00469</t>
  </si>
  <si>
    <t>2025-11-18</t>
  </si>
  <si>
    <t>P00470</t>
  </si>
  <si>
    <t>P00471</t>
  </si>
  <si>
    <t>2025-11-06</t>
  </si>
  <si>
    <t>P00472</t>
  </si>
  <si>
    <t>P00473</t>
  </si>
  <si>
    <t>P00474</t>
  </si>
  <si>
    <t>2025-04-30</t>
  </si>
  <si>
    <t>P00475</t>
  </si>
  <si>
    <t>P00476</t>
  </si>
  <si>
    <t>P00477</t>
  </si>
  <si>
    <t>2025-06-27</t>
  </si>
  <si>
    <t>P00478</t>
  </si>
  <si>
    <t>P00479</t>
  </si>
  <si>
    <t>P00480</t>
  </si>
  <si>
    <t>P00481</t>
  </si>
  <si>
    <t>P00482</t>
  </si>
  <si>
    <t>P00483</t>
  </si>
  <si>
    <t>P00484</t>
  </si>
  <si>
    <t>P00485</t>
  </si>
  <si>
    <t>P00486</t>
  </si>
  <si>
    <t>P00487</t>
  </si>
  <si>
    <t>P00488</t>
  </si>
  <si>
    <t>P00489</t>
  </si>
  <si>
    <t>P00490</t>
  </si>
  <si>
    <t>2025-09-01</t>
  </si>
  <si>
    <t>P00491</t>
  </si>
  <si>
    <t>P00492</t>
  </si>
  <si>
    <t>P00493</t>
  </si>
  <si>
    <t>P00494</t>
  </si>
  <si>
    <t>P00495</t>
  </si>
  <si>
    <t>P00496</t>
  </si>
  <si>
    <t>P00497</t>
  </si>
  <si>
    <t>P00498</t>
  </si>
  <si>
    <t>2025-01-16</t>
  </si>
  <si>
    <t>P00499</t>
  </si>
  <si>
    <t>P00500</t>
  </si>
  <si>
    <t>P00501</t>
  </si>
  <si>
    <t>P00502</t>
  </si>
  <si>
    <t>P00503</t>
  </si>
  <si>
    <t>2025-02-10</t>
  </si>
  <si>
    <t>P00504</t>
  </si>
  <si>
    <t>P00505</t>
  </si>
  <si>
    <t>P00506</t>
  </si>
  <si>
    <t>P00507</t>
  </si>
  <si>
    <t>P00508</t>
  </si>
  <si>
    <t>P00509</t>
  </si>
  <si>
    <t>P00510</t>
  </si>
  <si>
    <t>2025-03-16</t>
  </si>
  <si>
    <t>P00511</t>
  </si>
  <si>
    <t>2025-02-18</t>
  </si>
  <si>
    <t>P00512</t>
  </si>
  <si>
    <t>P00513</t>
  </si>
  <si>
    <t>2025-10-15</t>
  </si>
  <si>
    <t>P00514</t>
  </si>
  <si>
    <t>2025-03-01</t>
  </si>
  <si>
    <t>P00515</t>
  </si>
  <si>
    <t>P00516</t>
  </si>
  <si>
    <t>P00517</t>
  </si>
  <si>
    <t>P00518</t>
  </si>
  <si>
    <t>P00519</t>
  </si>
  <si>
    <t>P00520</t>
  </si>
  <si>
    <t>P00521</t>
  </si>
  <si>
    <t>P00522</t>
  </si>
  <si>
    <t>P00523</t>
  </si>
  <si>
    <t>P00524</t>
  </si>
  <si>
    <t>P00525</t>
  </si>
  <si>
    <t>P00526</t>
  </si>
  <si>
    <t>P00527</t>
  </si>
  <si>
    <t>P00528</t>
  </si>
  <si>
    <t>P00529</t>
  </si>
  <si>
    <t>P00530</t>
  </si>
  <si>
    <t>2025-01-12</t>
  </si>
  <si>
    <t>P00531</t>
  </si>
  <si>
    <t>P00532</t>
  </si>
  <si>
    <t>P00533</t>
  </si>
  <si>
    <t>P00534</t>
  </si>
  <si>
    <t>2025-03-07</t>
  </si>
  <si>
    <t>P00535</t>
  </si>
  <si>
    <t>P00536</t>
  </si>
  <si>
    <t>P00537</t>
  </si>
  <si>
    <t>2025-09-20</t>
  </si>
  <si>
    <t>P00538</t>
  </si>
  <si>
    <t>2025-07-11</t>
  </si>
  <si>
    <t>P00539</t>
  </si>
  <si>
    <t>2025-07-25</t>
  </si>
  <si>
    <t>P00540</t>
  </si>
  <si>
    <t>P00541</t>
  </si>
  <si>
    <t>P00542</t>
  </si>
  <si>
    <t>P00543</t>
  </si>
  <si>
    <t>2025-04-02</t>
  </si>
  <si>
    <t>P00544</t>
  </si>
  <si>
    <t>P00545</t>
  </si>
  <si>
    <t>P00546</t>
  </si>
  <si>
    <t>P00547</t>
  </si>
  <si>
    <t>P00548</t>
  </si>
  <si>
    <t>P00549</t>
  </si>
  <si>
    <t>P00550</t>
  </si>
  <si>
    <t>P00551</t>
  </si>
  <si>
    <t>P00552</t>
  </si>
  <si>
    <t>P00553</t>
  </si>
  <si>
    <t>P00554</t>
  </si>
  <si>
    <t>2025-05-25</t>
  </si>
  <si>
    <t>P00555</t>
  </si>
  <si>
    <t>P00556</t>
  </si>
  <si>
    <t>P00557</t>
  </si>
  <si>
    <t>P00558</t>
  </si>
  <si>
    <t>2025-04-15</t>
  </si>
  <si>
    <t>P00559</t>
  </si>
  <si>
    <t>2025-07-14</t>
  </si>
  <si>
    <t>P00560</t>
  </si>
  <si>
    <t>P00561</t>
  </si>
  <si>
    <t>P00562</t>
  </si>
  <si>
    <t>P00563</t>
  </si>
  <si>
    <t>P00564</t>
  </si>
  <si>
    <t>P00565</t>
  </si>
  <si>
    <t>P00566</t>
  </si>
  <si>
    <t>P00567</t>
  </si>
  <si>
    <t>P00568</t>
  </si>
  <si>
    <t>2025-07-18</t>
  </si>
  <si>
    <t>P00569</t>
  </si>
  <si>
    <t>2025-09-25</t>
  </si>
  <si>
    <t>P00570</t>
  </si>
  <si>
    <t>P00571</t>
  </si>
  <si>
    <t>2025-01-04</t>
  </si>
  <si>
    <t>P00572</t>
  </si>
  <si>
    <t>P00573</t>
  </si>
  <si>
    <t>P00574</t>
  </si>
  <si>
    <t>2025-10-02</t>
  </si>
  <si>
    <t>P00575</t>
  </si>
  <si>
    <t>P00576</t>
  </si>
  <si>
    <t>2025-11-16</t>
  </si>
  <si>
    <t>P00577</t>
  </si>
  <si>
    <t>P00578</t>
  </si>
  <si>
    <t>P00579</t>
  </si>
  <si>
    <t>P00580</t>
  </si>
  <si>
    <t>2025-03-03</t>
  </si>
  <si>
    <t>P00581</t>
  </si>
  <si>
    <t>P00582</t>
  </si>
  <si>
    <t>P00583</t>
  </si>
  <si>
    <t>P00584</t>
  </si>
  <si>
    <t>P00585</t>
  </si>
  <si>
    <t>2025-08-29</t>
  </si>
  <si>
    <t>P00586</t>
  </si>
  <si>
    <t>P00587</t>
  </si>
  <si>
    <t>P00588</t>
  </si>
  <si>
    <t>P00589</t>
  </si>
  <si>
    <t>P00590</t>
  </si>
  <si>
    <t>2025-12-14</t>
  </si>
  <si>
    <t>P00591</t>
  </si>
  <si>
    <t>P00592</t>
  </si>
  <si>
    <t>P00593</t>
  </si>
  <si>
    <t>P00594</t>
  </si>
  <si>
    <t>P00595</t>
  </si>
  <si>
    <t>P00596</t>
  </si>
  <si>
    <t>P00597</t>
  </si>
  <si>
    <t>P00598</t>
  </si>
  <si>
    <t>P00599</t>
  </si>
  <si>
    <t>P00600</t>
  </si>
  <si>
    <t>P00601</t>
  </si>
  <si>
    <t>P00602</t>
  </si>
  <si>
    <t>2025-03-11</t>
  </si>
  <si>
    <t>P00603</t>
  </si>
  <si>
    <t>P00604</t>
  </si>
  <si>
    <t>P00605</t>
  </si>
  <si>
    <t>P00606</t>
  </si>
  <si>
    <t>P00607</t>
  </si>
  <si>
    <t>2025-07-07</t>
  </si>
  <si>
    <t>P00608</t>
  </si>
  <si>
    <t>2025-06-19</t>
  </si>
  <si>
    <t>P00609</t>
  </si>
  <si>
    <t>P00610</t>
  </si>
  <si>
    <t>P00611</t>
  </si>
  <si>
    <t>P00612</t>
  </si>
  <si>
    <t>P00613</t>
  </si>
  <si>
    <t>2025-12-01</t>
  </si>
  <si>
    <t>P00614</t>
  </si>
  <si>
    <t>P00615</t>
  </si>
  <si>
    <t>P00616</t>
  </si>
  <si>
    <t>2025-09-18</t>
  </si>
  <si>
    <t>P00617</t>
  </si>
  <si>
    <t>2025-07-26</t>
  </si>
  <si>
    <t>P00618</t>
  </si>
  <si>
    <t>P00619</t>
  </si>
  <si>
    <t>P00620</t>
  </si>
  <si>
    <t>P00621</t>
  </si>
  <si>
    <t>P00622</t>
  </si>
  <si>
    <t>P00623</t>
  </si>
  <si>
    <t>P00624</t>
  </si>
  <si>
    <t>P00625</t>
  </si>
  <si>
    <t>P00626</t>
  </si>
  <si>
    <t>P00627</t>
  </si>
  <si>
    <t>2025-02-19</t>
  </si>
  <si>
    <t>P00628</t>
  </si>
  <si>
    <t>P00629</t>
  </si>
  <si>
    <t>2025-12-20</t>
  </si>
  <si>
    <t>P00630</t>
  </si>
  <si>
    <t>P00631</t>
  </si>
  <si>
    <t>P00632</t>
  </si>
  <si>
    <t>P00633</t>
  </si>
  <si>
    <t>P00634</t>
  </si>
  <si>
    <t>2025-09-19</t>
  </si>
  <si>
    <t>P00635</t>
  </si>
  <si>
    <t>P00636</t>
  </si>
  <si>
    <t>2025-11-07</t>
  </si>
  <si>
    <t>P00637</t>
  </si>
  <si>
    <t>P00638</t>
  </si>
  <si>
    <t>P00639</t>
  </si>
  <si>
    <t>P00640</t>
  </si>
  <si>
    <t>P00641</t>
  </si>
  <si>
    <t>P00642</t>
  </si>
  <si>
    <t>P00643</t>
  </si>
  <si>
    <t>2025-01-10</t>
  </si>
  <si>
    <t>P00644</t>
  </si>
  <si>
    <t>P00645</t>
  </si>
  <si>
    <t>P00646</t>
  </si>
  <si>
    <t>P00647</t>
  </si>
  <si>
    <t>P00648</t>
  </si>
  <si>
    <t>P00649</t>
  </si>
  <si>
    <t>P00650</t>
  </si>
  <si>
    <t>P00651</t>
  </si>
  <si>
    <t>P00652</t>
  </si>
  <si>
    <t>P00653</t>
  </si>
  <si>
    <t>P00654</t>
  </si>
  <si>
    <t>P00655</t>
  </si>
  <si>
    <t>P00656</t>
  </si>
  <si>
    <t>P00657</t>
  </si>
  <si>
    <t>P00658</t>
  </si>
  <si>
    <t>2025-09-24</t>
  </si>
  <si>
    <t>P00659</t>
  </si>
  <si>
    <t>P00660</t>
  </si>
  <si>
    <t>2025-03-25</t>
  </si>
  <si>
    <t>P00661</t>
  </si>
  <si>
    <t>P00662</t>
  </si>
  <si>
    <t>P00663</t>
  </si>
  <si>
    <t>P00664</t>
  </si>
  <si>
    <t>P00665</t>
  </si>
  <si>
    <t>P00666</t>
  </si>
  <si>
    <t>P00667</t>
  </si>
  <si>
    <t>P00668</t>
  </si>
  <si>
    <t>2025-05-10</t>
  </si>
  <si>
    <t>P00669</t>
  </si>
  <si>
    <t>P00670</t>
  </si>
  <si>
    <t>P00671</t>
  </si>
  <si>
    <t>2025-07-10</t>
  </si>
  <si>
    <t>P00672</t>
  </si>
  <si>
    <t>P00673</t>
  </si>
  <si>
    <t>2025-06-21</t>
  </si>
  <si>
    <t>P00674</t>
  </si>
  <si>
    <t>P00675</t>
  </si>
  <si>
    <t>P00676</t>
  </si>
  <si>
    <t>P00677</t>
  </si>
  <si>
    <t>P00678</t>
  </si>
  <si>
    <t>P00679</t>
  </si>
  <si>
    <t>2025-11-12</t>
  </si>
  <si>
    <t>P00680</t>
  </si>
  <si>
    <t>P00681</t>
  </si>
  <si>
    <t>P00682</t>
  </si>
  <si>
    <t>P00683</t>
  </si>
  <si>
    <t>P00684</t>
  </si>
  <si>
    <t>P00685</t>
  </si>
  <si>
    <t>P00686</t>
  </si>
  <si>
    <t>2025-01-07</t>
  </si>
  <si>
    <t>P00687</t>
  </si>
  <si>
    <t>P00688</t>
  </si>
  <si>
    <t>P00689</t>
  </si>
  <si>
    <t>2025-05-29</t>
  </si>
  <si>
    <t>P00690</t>
  </si>
  <si>
    <t>P00691</t>
  </si>
  <si>
    <t>P00692</t>
  </si>
  <si>
    <t>P00693</t>
  </si>
  <si>
    <t>2025-11-26</t>
  </si>
  <si>
    <t>P00694</t>
  </si>
  <si>
    <t>P00695</t>
  </si>
  <si>
    <t>P00696</t>
  </si>
  <si>
    <t>P00697</t>
  </si>
  <si>
    <t>P00698</t>
  </si>
  <si>
    <t>P00699</t>
  </si>
  <si>
    <t>P00700</t>
  </si>
  <si>
    <t>P00701</t>
  </si>
  <si>
    <t>P00702</t>
  </si>
  <si>
    <t>P00703</t>
  </si>
  <si>
    <t>P00704</t>
  </si>
  <si>
    <t>P00705</t>
  </si>
  <si>
    <t>P00706</t>
  </si>
  <si>
    <t>2025-10-04</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</si>
  <si>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</si>
  <si>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</si>
  <si>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</si>
  <si>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</si>
  <si>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</si>
  <si>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</si>
  <si>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</si>
  <si>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</si>
  <si>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</si>
  <si>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</si>
  <si>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</si>
  <si>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</si>
  <si>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</si>
  <si>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</si>
  <si>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</si>
  <si>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</si>
  <si>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</si>
  <si>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</si>
  <si>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</si>
  <si>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</si>
  <si>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</si>
  <si>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</si>
  <si>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</si>
  <si>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</si>
  <si>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</si>
  <si>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</si>
  <si>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2025-08-14</t>
  </si>
  <si>
    <t>P00733</t>
  </si>
  <si>
    <t>P00734</t>
  </si>
  <si>
    <t>P00735</t>
  </si>
  <si>
    <t>P00736</t>
  </si>
  <si>
    <t>P00737</t>
  </si>
  <si>
    <t>P00738</t>
  </si>
  <si>
    <t>2025-02-12</t>
  </si>
  <si>
    <t>P00739</t>
  </si>
  <si>
    <t>P00740</t>
  </si>
  <si>
    <t>P00741</t>
  </si>
  <si>
    <t>2025-04-24</t>
  </si>
  <si>
    <t>P00742</t>
  </si>
  <si>
    <t>P00743</t>
  </si>
  <si>
    <t>2025-12-11</t>
  </si>
  <si>
    <t>P00744</t>
  </si>
  <si>
    <t>2025-09-16</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</si>
  <si>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</si>
  <si>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</si>
  <si>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</si>
  <si>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</si>
  <si>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</si>
  <si>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</si>
  <si>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</si>
  <si>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</si>
  <si>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</si>
  <si>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</si>
  <si>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</si>
  <si>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</si>
  <si>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</si>
  <si>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</si>
  <si>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</si>
  <si>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</si>
  <si>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</si>
  <si>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</si>
  <si>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</si>
  <si>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2025-01-22</t>
  </si>
  <si>
    <t>P00764</t>
  </si>
  <si>
    <t>P00765</t>
  </si>
  <si>
    <t>P00766</t>
  </si>
  <si>
    <t>P00767</t>
  </si>
  <si>
    <t>P00768</t>
  </si>
  <si>
    <t>2025-05-28</t>
  </si>
  <si>
    <t>P00769</t>
  </si>
  <si>
    <t>P00770</t>
  </si>
  <si>
    <t>P00771</t>
  </si>
  <si>
    <t>P00772</t>
  </si>
  <si>
    <t>P00773</t>
  </si>
  <si>
    <t>P00774</t>
  </si>
  <si>
    <t>P00775</t>
  </si>
  <si>
    <t>P00776</t>
  </si>
  <si>
    <t>P00777</t>
  </si>
  <si>
    <t>P00778</t>
  </si>
  <si>
    <t>2025-07-09</t>
  </si>
  <si>
    <t>P00779</t>
  </si>
  <si>
    <t>P00780</t>
  </si>
  <si>
    <t>P00781</t>
  </si>
  <si>
    <t>P00782</t>
  </si>
  <si>
    <t>P00783</t>
  </si>
  <si>
    <t>P00784</t>
  </si>
  <si>
    <t>P00785</t>
  </si>
  <si>
    <t>2025-10-28</t>
  </si>
  <si>
    <t>P00786</t>
  </si>
  <si>
    <t>P00787</t>
  </si>
  <si>
    <t>P00788</t>
  </si>
  <si>
    <t>P00789</t>
  </si>
  <si>
    <t>P00790</t>
  </si>
  <si>
    <t>P00791</t>
  </si>
  <si>
    <t>P00792</t>
  </si>
  <si>
    <t>P00793</t>
  </si>
  <si>
    <t>P00794</t>
  </si>
  <si>
    <t>P00795</t>
  </si>
  <si>
    <t>2025-04-03</t>
  </si>
  <si>
    <t>P00796</t>
  </si>
  <si>
    <t>P00797</t>
  </si>
  <si>
    <t>P00798</t>
  </si>
  <si>
    <t>P00799</t>
  </si>
  <si>
    <t>P00800</t>
  </si>
  <si>
    <t>P00801</t>
  </si>
  <si>
    <t>P00802</t>
  </si>
  <si>
    <t>P00803</t>
  </si>
  <si>
    <t>P00804</t>
  </si>
  <si>
    <t>P00805</t>
  </si>
  <si>
    <t>P00806</t>
  </si>
  <si>
    <t>P00807</t>
  </si>
  <si>
    <t>P00808</t>
  </si>
  <si>
    <t>2025-08-07</t>
  </si>
  <si>
    <t>P00809</t>
  </si>
  <si>
    <t>2025-09-22</t>
  </si>
  <si>
    <t>P00810</t>
  </si>
  <si>
    <t>P00811</t>
  </si>
  <si>
    <t>P00812</t>
  </si>
  <si>
    <t>P00813</t>
  </si>
  <si>
    <t>2025-04-06</t>
  </si>
  <si>
    <t>P00814</t>
  </si>
  <si>
    <t>P00815</t>
  </si>
  <si>
    <t>P00816</t>
  </si>
  <si>
    <t>P00817</t>
  </si>
  <si>
    <t>2025-07-02</t>
  </si>
  <si>
    <t>P00818</t>
  </si>
  <si>
    <t>P00819</t>
  </si>
  <si>
    <t>P00820</t>
  </si>
  <si>
    <t>P00821</t>
  </si>
  <si>
    <t>2025-12-16</t>
  </si>
  <si>
    <t>P00822</t>
  </si>
  <si>
    <t>P00823</t>
  </si>
  <si>
    <t>P00824</t>
  </si>
  <si>
    <t>P00825</t>
  </si>
  <si>
    <t>P00826</t>
  </si>
  <si>
    <t>P00827</t>
  </si>
  <si>
    <t>2025-10-06</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</si>
  <si>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</si>
  <si>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</si>
  <si>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</si>
  <si>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</si>
  <si>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</si>
  <si>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</si>
  <si>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</si>
  <si>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</si>
  <si>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</si>
  <si>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</si>
  <si>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</si>
  <si>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</si>
  <si>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</si>
  <si>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</si>
  <si>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</si>
  <si>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</si>
  <si>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</si>
  <si>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</si>
  <si>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</si>
  <si>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</si>
  <si>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</si>
  <si>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</si>
  <si>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</si>
  <si>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</si>
  <si>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</si>
  <si>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</si>
  <si>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</si>
  <si>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</si>
  <si>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</si>
  <si>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</si>
  <si>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</si>
  <si>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</si>
  <si>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</si>
  <si>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</si>
  <si>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</si>
  <si>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</si>
  <si>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</si>
  <si>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</si>
  <si>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</si>
  <si>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</si>
  <si>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2025-02-22</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</si>
  <si>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</si>
  <si>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</si>
  <si>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</si>
  <si>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</si>
  <si>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</si>
  <si>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</si>
  <si>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</si>
  <si>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</si>
  <si>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</si>
  <si>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</si>
  <si>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</si>
  <si>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</si>
  <si>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</si>
  <si>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</si>
  <si>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</si>
  <si>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</si>
  <si>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</si>
  <si>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</si>
  <si>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</si>
  <si>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</si>
  <si>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</si>
  <si>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</si>
  <si>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</si>
  <si>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</si>
  <si>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</si>
  <si>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</si>
  <si>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</si>
  <si>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</si>
  <si>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2025-09-02</t>
  </si>
  <si>
    <t>P00896</t>
  </si>
  <si>
    <t>P00897</t>
  </si>
  <si>
    <t>2025-07-29</t>
  </si>
  <si>
    <t>P00898</t>
  </si>
  <si>
    <t>P00899</t>
  </si>
  <si>
    <t>P00900</t>
  </si>
  <si>
    <t>P00901</t>
  </si>
  <si>
    <t>P00902</t>
  </si>
  <si>
    <t>P00903</t>
  </si>
  <si>
    <t>P00904</t>
  </si>
  <si>
    <t>P00905</t>
  </si>
  <si>
    <t>P00906</t>
  </si>
  <si>
    <t>2025-02-04</t>
  </si>
  <si>
    <t>P00907</t>
  </si>
  <si>
    <t>P00908</t>
  </si>
  <si>
    <t>P00909</t>
  </si>
  <si>
    <t>P00910</t>
  </si>
  <si>
    <t>P00911</t>
  </si>
  <si>
    <t>P00912</t>
  </si>
  <si>
    <t>P00913</t>
  </si>
  <si>
    <t>P00914</t>
  </si>
  <si>
    <t>P00915</t>
  </si>
  <si>
    <t>P00916</t>
  </si>
  <si>
    <t>2025-09-11</t>
  </si>
  <si>
    <t>P00917</t>
  </si>
  <si>
    <t>P00918</t>
  </si>
  <si>
    <t>P00919</t>
  </si>
  <si>
    <t>P00920</t>
  </si>
  <si>
    <t>P00921</t>
  </si>
  <si>
    <t>P00922</t>
  </si>
  <si>
    <t>P00923</t>
  </si>
  <si>
    <t>P00924</t>
  </si>
  <si>
    <t>2025-11-25</t>
  </si>
  <si>
    <t>P00925</t>
  </si>
  <si>
    <t>P00926</t>
  </si>
  <si>
    <t>2025-08-06</t>
  </si>
  <si>
    <t>P00927</t>
  </si>
  <si>
    <t>P00928</t>
  </si>
  <si>
    <t>P00929</t>
  </si>
  <si>
    <t>P00930</t>
  </si>
  <si>
    <t>2025-12-29</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</si>
  <si>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</si>
  <si>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</si>
  <si>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</si>
  <si>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</si>
  <si>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</si>
  <si>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</si>
  <si>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</si>
  <si>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</si>
  <si>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</si>
  <si>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</si>
  <si>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</si>
  <si>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</si>
  <si>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</si>
  <si>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</si>
  <si>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</si>
  <si>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</si>
  <si>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</si>
  <si>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</si>
  <si>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</si>
  <si>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</si>
  <si>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</si>
  <si>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</si>
  <si>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</si>
  <si>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</si>
  <si>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</si>
  <si>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</si>
  <si>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</si>
  <si>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</si>
  <si>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</si>
  <si>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</si>
  <si>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</si>
  <si>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</si>
  <si>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</si>
  <si>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</si>
  <si>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</si>
  <si>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</si>
  <si>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</si>
  <si>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</si>
  <si>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</si>
  <si>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</si>
  <si>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2025-01-01</t>
  </si>
  <si>
    <t>P00971</t>
  </si>
  <si>
    <t>P00972</t>
  </si>
  <si>
    <t>2025-05-22</t>
  </si>
  <si>
    <t>P00973</t>
  </si>
  <si>
    <t>P00974</t>
  </si>
  <si>
    <t>P00975</t>
  </si>
  <si>
    <t>P00976</t>
  </si>
  <si>
    <t>P00977</t>
  </si>
  <si>
    <t>P00978</t>
  </si>
  <si>
    <t>P00979</t>
  </si>
  <si>
    <t>2025-02-24</t>
  </si>
  <si>
    <t>P00980</t>
  </si>
  <si>
    <t>2025-08-02</t>
  </si>
  <si>
    <t>P00981</t>
  </si>
  <si>
    <t>P00982</t>
  </si>
  <si>
    <t>P00983</t>
  </si>
  <si>
    <t>P00984</t>
  </si>
  <si>
    <t>P00985</t>
  </si>
  <si>
    <t>P00986</t>
  </si>
  <si>
    <t>P00987</t>
  </si>
  <si>
    <t>P00988</t>
  </si>
  <si>
    <t>P00989</t>
  </si>
  <si>
    <t>P00990</t>
  </si>
  <si>
    <t>P00991</t>
  </si>
  <si>
    <t>P00992</t>
  </si>
  <si>
    <t>P00993</t>
  </si>
  <si>
    <t>P00994</t>
  </si>
  <si>
    <t>P00995</t>
  </si>
  <si>
    <t>P00996</t>
  </si>
  <si>
    <t>P00997</t>
  </si>
  <si>
    <t>2025-05-04</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</si>
  <si>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</si>
  <si>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</si>
  <si>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</si>
  <si>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</si>
  <si>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</si>
  <si>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</si>
  <si>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</si>
  <si>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</si>
  <si>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</si>
  <si>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</si>
  <si>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</si>
  <si>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</si>
  <si>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</si>
  <si>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</si>
  <si>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</si>
  <si>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</si>
  <si>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</si>
  <si>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</si>
  <si>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</si>
  <si>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</si>
  <si>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</si>
  <si>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2025-05-07</t>
  </si>
  <si>
    <t>P01019</t>
  </si>
  <si>
    <t>P01020</t>
  </si>
  <si>
    <t>P01021</t>
  </si>
  <si>
    <t>2025-08-13</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</si>
  <si>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</si>
  <si>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</si>
  <si>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</si>
  <si>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</si>
  <si>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</si>
  <si>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</si>
  <si>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</si>
  <si>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</si>
  <si>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</si>
  <si>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</si>
  <si>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</si>
  <si>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</si>
  <si>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</si>
  <si>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</si>
  <si>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</si>
  <si>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</si>
  <si>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</si>
  <si>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</si>
  <si>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</si>
  <si>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</si>
  <si>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</si>
  <si>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</si>
  <si>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</si>
  <si>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</si>
  <si>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</si>
  <si>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</si>
  <si>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</si>
  <si>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</si>
  <si>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</si>
  <si>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</si>
  <si>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2025-03-21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</si>
  <si>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</si>
  <si>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</si>
  <si>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</si>
  <si>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</si>
  <si>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</si>
  <si>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</si>
  <si>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</si>
  <si>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</si>
  <si>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</si>
  <si>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</si>
  <si>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</si>
  <si>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</si>
  <si>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</si>
  <si>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</si>
  <si>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</si>
  <si>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</si>
  <si>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</si>
  <si>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</si>
  <si>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</si>
  <si>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</si>
  <si>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</si>
  <si>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</si>
  <si>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</si>
  <si>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</si>
  <si>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</si>
  <si>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</si>
  <si>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</si>
  <si>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</si>
  <si>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</si>
  <si>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</si>
  <si>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</si>
  <si>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</si>
  <si>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</si>
  <si>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</si>
  <si>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2025-04-20</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</si>
  <si>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</si>
  <si>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</si>
  <si>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</si>
  <si>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</si>
  <si>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</si>
  <si>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</si>
  <si>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</si>
  <si>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</si>
  <si>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</si>
  <si>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</si>
  <si>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</si>
  <si>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</si>
  <si>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</si>
  <si>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</si>
  <si>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</si>
  <si>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</si>
  <si>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</si>
  <si>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</si>
  <si>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</si>
  <si>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</si>
  <si>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</si>
  <si>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2025-06-29</t>
  </si>
  <si>
    <t>P01107</t>
  </si>
  <si>
    <t>P01108</t>
  </si>
  <si>
    <t>P01109</t>
  </si>
  <si>
    <t>P01110</t>
  </si>
  <si>
    <t>P01111</t>
  </si>
  <si>
    <t>P01112</t>
  </si>
  <si>
    <t>P01113</t>
  </si>
  <si>
    <t>P01114</t>
  </si>
  <si>
    <t>P01115</t>
  </si>
  <si>
    <t>2025-02-01</t>
  </si>
  <si>
    <t>P01116</t>
  </si>
  <si>
    <t>P01117</t>
  </si>
  <si>
    <t>P01118</t>
  </si>
  <si>
    <t>2025-12-19</t>
  </si>
  <si>
    <t>P01119</t>
  </si>
  <si>
    <t>P01120</t>
  </si>
  <si>
    <t>P01121</t>
  </si>
  <si>
    <t>P01122</t>
  </si>
  <si>
    <t>P01123</t>
  </si>
  <si>
    <t>P01124</t>
  </si>
  <si>
    <t>P01125</t>
  </si>
  <si>
    <t>2025-05-26</t>
  </si>
  <si>
    <t>P01126</t>
  </si>
  <si>
    <t>P01127</t>
  </si>
  <si>
    <t>P01128</t>
  </si>
  <si>
    <t>P01129</t>
  </si>
  <si>
    <t>P01130</t>
  </si>
  <si>
    <t>P01131</t>
  </si>
  <si>
    <t>P01132</t>
  </si>
  <si>
    <t>2025-09-21</t>
  </si>
  <si>
    <t>P01133</t>
  </si>
  <si>
    <t>P01134</t>
  </si>
  <si>
    <t>2025-11-22</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</si>
  <si>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</si>
  <si>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</si>
  <si>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</si>
  <si>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</si>
  <si>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</si>
  <si>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</si>
  <si>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</si>
  <si>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</si>
  <si>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</si>
  <si>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</si>
  <si>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</si>
  <si>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</si>
  <si>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</si>
  <si>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</si>
  <si>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</si>
  <si>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</si>
  <si>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</si>
  <si>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</si>
  <si>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</si>
  <si>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</si>
  <si>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</si>
  <si>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</si>
  <si>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</si>
  <si>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</si>
  <si>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</si>
  <si>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</si>
  <si>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</si>
  <si>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</si>
  <si>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</si>
  <si>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</si>
  <si>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2025-01-06</t>
  </si>
  <si>
    <t>P01165</t>
  </si>
  <si>
    <t>P01166</t>
  </si>
  <si>
    <t>2025-04-26</t>
  </si>
  <si>
    <t>P01167</t>
  </si>
  <si>
    <t>P01168</t>
  </si>
  <si>
    <t>P01169</t>
  </si>
  <si>
    <t>P01170</t>
  </si>
  <si>
    <t>P01171</t>
  </si>
  <si>
    <t>P01172</t>
  </si>
  <si>
    <t>P01173</t>
  </si>
  <si>
    <t>2025-02-02</t>
  </si>
  <si>
    <t>P01174</t>
  </si>
  <si>
    <t>P01175</t>
  </si>
  <si>
    <t>P01176</t>
  </si>
  <si>
    <t>P01177</t>
  </si>
  <si>
    <t>P01178</t>
  </si>
  <si>
    <t>P01179</t>
  </si>
  <si>
    <t>P01180</t>
  </si>
  <si>
    <t>P01181</t>
  </si>
  <si>
    <t>P01182</t>
  </si>
  <si>
    <t>P01183</t>
  </si>
  <si>
    <t>P01184</t>
  </si>
  <si>
    <t>P01185</t>
  </si>
  <si>
    <t>P01186</t>
  </si>
  <si>
    <t>P01187</t>
  </si>
  <si>
    <t>P01188</t>
  </si>
  <si>
    <t>P01189</t>
  </si>
  <si>
    <t>2025-10-19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</si>
  <si>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</si>
  <si>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</si>
  <si>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</si>
  <si>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</si>
  <si>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</si>
  <si>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</si>
  <si>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</si>
  <si>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</si>
  <si>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</si>
  <si>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</si>
  <si>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</si>
  <si>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</si>
  <si>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</si>
  <si>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</si>
  <si>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</si>
  <si>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</si>
  <si>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</si>
  <si>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</si>
  <si>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</si>
  <si>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</si>
  <si>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</si>
  <si>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</si>
  <si>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</si>
  <si>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</si>
  <si>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</si>
  <si>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</si>
  <si>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</si>
  <si>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</si>
  <si>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</si>
  <si>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</si>
  <si>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</si>
  <si>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</si>
  <si>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</si>
  <si>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</si>
  <si>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</si>
  <si>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</si>
  <si>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</si>
  <si>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2025-07-22</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</si>
  <si>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</si>
  <si>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</si>
  <si>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</si>
  <si>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</si>
  <si>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</si>
  <si>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</si>
  <si>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</si>
  <si>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</si>
  <si>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</si>
  <si>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</si>
  <si>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</si>
  <si>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</si>
  <si>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</si>
  <si>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</si>
  <si>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</si>
  <si>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</si>
  <si>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</si>
  <si>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</si>
  <si>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</si>
  <si>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</si>
  <si>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</si>
  <si>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</si>
  <si>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</si>
  <si>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</si>
  <si>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</si>
  <si>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</si>
  <si>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</si>
  <si>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</si>
  <si>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</si>
  <si>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</si>
  <si>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</si>
  <si>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</si>
  <si>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</si>
  <si>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</si>
  <si>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</si>
  <si>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</si>
  <si>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</si>
  <si>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</si>
  <si>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</si>
  <si>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</si>
  <si>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</si>
  <si>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</si>
  <si>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</si>
  <si>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</si>
  <si>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</si>
  <si>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</si>
  <si>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</si>
  <si>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</si>
  <si>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</si>
  <si>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</si>
  <si>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</si>
  <si>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</si>
  <si>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</si>
  <si>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</si>
  <si>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</si>
  <si>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</si>
  <si>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</si>
  <si>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</si>
  <si>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</si>
  <si>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</si>
  <si>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</si>
  <si>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</si>
  <si>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</si>
  <si>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</si>
  <si>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</si>
  <si>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</si>
  <si>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</si>
  <si>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</si>
  <si>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</si>
  <si>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</si>
  <si>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</si>
  <si>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</si>
  <si>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</si>
  <si>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</si>
  <si>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</si>
  <si>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2025-01-02</t>
  </si>
  <si>
    <t>P01302</t>
  </si>
  <si>
    <t>P01303</t>
  </si>
  <si>
    <t>P01304</t>
  </si>
  <si>
    <t>P01305</t>
  </si>
  <si>
    <t>P01306</t>
  </si>
  <si>
    <t>2025-01-13</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</si>
  <si>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</si>
  <si>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</si>
  <si>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</si>
  <si>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</si>
  <si>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</si>
  <si>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</si>
  <si>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</si>
  <si>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</si>
  <si>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</si>
  <si>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</si>
  <si>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</si>
  <si>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</si>
  <si>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</si>
  <si>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</si>
  <si>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</si>
  <si>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</si>
  <si>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</si>
  <si>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</si>
  <si>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</si>
  <si>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</si>
  <si>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</si>
  <si>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</si>
  <si>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</si>
  <si>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</si>
  <si>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</si>
  <si>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</si>
  <si>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</si>
  <si>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</si>
  <si>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</si>
  <si>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</si>
  <si>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</si>
  <si>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</si>
  <si>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</si>
  <si>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</si>
  <si>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</si>
  <si>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</si>
  <si>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</si>
  <si>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</si>
  <si>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</si>
  <si>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</si>
  <si>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</si>
  <si>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</si>
  <si>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</si>
  <si>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</si>
  <si>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</si>
  <si>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</si>
  <si>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</si>
  <si>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</si>
  <si>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</si>
  <si>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</si>
  <si>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</si>
  <si>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</si>
  <si>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</si>
  <si>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</si>
  <si>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</si>
  <si>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</si>
  <si>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</si>
  <si>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</si>
  <si>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</si>
  <si>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</si>
  <si>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</si>
  <si>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</si>
  <si>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</si>
  <si>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</si>
  <si>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</si>
  <si>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</si>
  <si>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</si>
  <si>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</si>
  <si>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</si>
  <si>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</si>
  <si>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</si>
  <si>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2025-09-17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</si>
  <si>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</si>
  <si>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</si>
  <si>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</si>
  <si>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</si>
  <si>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</si>
  <si>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</si>
  <si>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</si>
  <si>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</si>
  <si>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</si>
  <si>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</si>
  <si>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</si>
  <si>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</si>
  <si>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</si>
  <si>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</si>
  <si>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</si>
  <si>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</si>
  <si>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</si>
  <si>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</si>
  <si>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</si>
  <si>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</si>
  <si>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</si>
  <si>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</si>
  <si>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</si>
  <si>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</si>
  <si>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</si>
  <si>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</si>
  <si>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</si>
  <si>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</si>
  <si>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</si>
  <si>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</si>
  <si>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</si>
  <si>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</si>
  <si>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</si>
  <si>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</si>
  <si>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</si>
  <si>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</si>
  <si>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</si>
  <si>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</si>
  <si>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</si>
  <si>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</si>
  <si>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</si>
  <si>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</si>
  <si>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</si>
  <si>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</si>
  <si>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</si>
  <si>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</si>
  <si>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</si>
  <si>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</si>
  <si>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</si>
  <si>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</si>
  <si>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</si>
  <si>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</si>
  <si>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</si>
  <si>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</si>
  <si>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</si>
  <si>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</si>
  <si>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</si>
  <si>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</si>
  <si>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</si>
  <si>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</si>
  <si>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</si>
  <si>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</si>
  <si>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</si>
  <si>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</si>
  <si>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</si>
  <si>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</si>
  <si>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</si>
  <si>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</si>
  <si>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</si>
  <si>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</si>
  <si>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</si>
  <si>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</si>
  <si>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</si>
  <si>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</si>
  <si>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</si>
  <si>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</si>
  <si>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</si>
  <si>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2025-09-05</t>
  </si>
  <si>
    <t>P01455</t>
  </si>
  <si>
    <t>P01456</t>
  </si>
  <si>
    <t>P01457</t>
  </si>
  <si>
    <t>P01458</t>
  </si>
  <si>
    <t>P01459</t>
  </si>
  <si>
    <t>2025-05-14</t>
  </si>
  <si>
    <t>P01460</t>
  </si>
  <si>
    <t>P01461</t>
  </si>
  <si>
    <t>P01462</t>
  </si>
  <si>
    <t>2025-06-14</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</si>
  <si>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</si>
  <si>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</si>
  <si>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</si>
  <si>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</si>
  <si>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</si>
  <si>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</si>
  <si>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</si>
  <si>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</si>
  <si>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</si>
  <si>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</si>
  <si>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</si>
  <si>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</si>
  <si>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</si>
  <si>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</si>
  <si>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</si>
  <si>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</si>
  <si>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</si>
  <si>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</si>
  <si>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</si>
  <si>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</si>
  <si>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</si>
  <si>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</si>
  <si>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</si>
  <si>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</si>
  <si>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</si>
  <si>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</si>
  <si>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2025-01-09</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</si>
  <si>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</si>
  <si>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</si>
  <si>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</si>
  <si>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</si>
  <si>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</si>
  <si>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</si>
  <si>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</si>
  <si>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</si>
  <si>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</si>
  <si>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</si>
  <si>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</si>
  <si>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</si>
  <si>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</si>
  <si>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</si>
  <si>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</si>
  <si>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</si>
  <si>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</si>
  <si>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</si>
  <si>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</si>
  <si>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</si>
  <si>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</si>
  <si>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</si>
  <si>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</si>
  <si>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</si>
  <si>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</si>
  <si>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</si>
  <si>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</si>
  <si>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</si>
  <si>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</si>
  <si>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</si>
  <si>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</si>
  <si>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</si>
  <si>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</si>
  <si>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</si>
  <si>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</si>
  <si>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</si>
  <si>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</si>
  <si>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</si>
  <si>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</si>
  <si>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</si>
  <si>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</si>
  <si>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</si>
  <si>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</si>
  <si>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</si>
  <si>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</si>
  <si>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</si>
  <si>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</si>
  <si>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</si>
  <si>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</si>
  <si>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</si>
  <si>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</si>
  <si>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</si>
  <si>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</si>
  <si>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</si>
  <si>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</si>
  <si>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</si>
  <si>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</si>
  <si>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</si>
  <si>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</si>
  <si>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</si>
  <si>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</si>
  <si>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</si>
  <si>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</si>
  <si>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</si>
  <si>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</si>
  <si>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</si>
  <si>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</si>
  <si>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</si>
  <si>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</si>
  <si>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</si>
  <si>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</si>
  <si>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</si>
  <si>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2025-04-11</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</si>
  <si>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</si>
  <si>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</si>
  <si>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</si>
  <si>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</si>
  <si>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</si>
  <si>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</si>
  <si>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</si>
  <si>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</si>
  <si>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</si>
  <si>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</si>
  <si>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</si>
  <si>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</si>
  <si>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</si>
  <si>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</si>
  <si>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</si>
  <si>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</si>
  <si>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</si>
  <si>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</si>
  <si>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</si>
  <si>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</si>
  <si>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</si>
  <si>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</si>
  <si>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</si>
  <si>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</si>
  <si>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</si>
  <si>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</si>
  <si>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</si>
  <si>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</si>
  <si>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</si>
  <si>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</si>
  <si>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</si>
  <si>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</si>
  <si>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</si>
  <si>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</si>
  <si>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</si>
  <si>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</si>
  <si>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</si>
  <si>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</si>
  <si>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</si>
  <si>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</si>
  <si>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</si>
  <si>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</si>
  <si>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</si>
  <si>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</si>
  <si>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</si>
  <si>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</si>
  <si>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</si>
  <si>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</si>
  <si>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</si>
  <si>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</si>
  <si>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</si>
  <si>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</si>
  <si>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</si>
  <si>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</si>
  <si>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</si>
  <si>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</si>
  <si>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</si>
  <si>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</si>
  <si>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</si>
  <si>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</si>
  <si>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</si>
  <si>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</si>
  <si>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</si>
  <si>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</si>
  <si>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</si>
  <si>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</si>
  <si>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</si>
  <si>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</si>
  <si>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</si>
  <si>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</si>
  <si>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</si>
  <si>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</si>
  <si>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</si>
  <si>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</si>
  <si>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</si>
  <si>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</si>
  <si>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</si>
  <si>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</si>
  <si>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</si>
  <si>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</si>
  <si>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</si>
  <si>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</si>
  <si>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</si>
  <si>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</si>
  <si>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</si>
  <si>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</si>
  <si>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</si>
  <si>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</si>
  <si>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</si>
  <si>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</si>
  <si>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</si>
  <si>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</si>
  <si>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</si>
  <si>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</si>
  <si>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</si>
  <si>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</si>
  <si>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</si>
  <si>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</si>
  <si>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</si>
  <si>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</si>
  <si>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</si>
  <si>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</si>
  <si>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</si>
  <si>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</si>
  <si>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</si>
  <si>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</si>
  <si>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</si>
  <si>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</si>
  <si>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</si>
  <si>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</si>
  <si>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2025-02-03</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</si>
  <si>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</si>
  <si>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</si>
  <si>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</si>
  <si>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</si>
  <si>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</si>
  <si>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</si>
  <si>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</si>
  <si>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</si>
  <si>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</si>
  <si>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</si>
  <si>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</si>
  <si>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</si>
  <si>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</si>
  <si>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</si>
  <si>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</si>
  <si>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</si>
  <si>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</si>
  <si>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</si>
  <si>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</si>
  <si>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</si>
  <si>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</si>
  <si>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</si>
  <si>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</si>
  <si>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</si>
  <si>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</si>
  <si>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</si>
  <si>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</si>
  <si>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</si>
  <si>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</si>
  <si>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</si>
  <si>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</si>
  <si>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</si>
  <si>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</si>
  <si>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</si>
  <si>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</si>
  <si>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</si>
  <si>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</si>
  <si>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</si>
  <si>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</si>
  <si>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</si>
  <si>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</si>
  <si>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</si>
  <si>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</si>
  <si>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</si>
  <si>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</si>
  <si>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</si>
  <si>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</si>
  <si>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</si>
  <si>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</si>
  <si>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</si>
  <si>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</si>
  <si>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</si>
  <si>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</si>
  <si>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</si>
  <si>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</si>
  <si>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</si>
  <si>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2025-10-09</t>
  </si>
  <si>
    <t>P01727</t>
  </si>
  <si>
    <t>P01728</t>
  </si>
  <si>
    <t>P01729</t>
  </si>
  <si>
    <t>P01730</t>
  </si>
  <si>
    <t>P01731</t>
  </si>
  <si>
    <t>P01732</t>
  </si>
  <si>
    <t>P01733</t>
  </si>
  <si>
    <t>2025-08-24</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</si>
  <si>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</si>
  <si>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</si>
  <si>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</si>
  <si>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</si>
  <si>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</si>
  <si>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</si>
  <si>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</si>
  <si>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</si>
  <si>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</si>
  <si>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</si>
  <si>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</si>
  <si>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</si>
  <si>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</si>
  <si>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</si>
  <si>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</si>
  <si>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</si>
  <si>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</si>
  <si>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</si>
  <si>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</si>
  <si>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</si>
  <si>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</si>
  <si>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</si>
  <si>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</si>
  <si>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</si>
  <si>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</si>
  <si>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</si>
  <si>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</si>
  <si>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</si>
  <si>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</si>
  <si>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</si>
  <si>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</si>
  <si>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</si>
  <si>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</si>
  <si>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</si>
  <si>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</si>
  <si>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</si>
  <si>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</si>
  <si>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</si>
  <si>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</si>
  <si>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</si>
  <si>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</si>
  <si>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</si>
  <si>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</si>
  <si>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</si>
  <si>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</si>
  <si>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</si>
  <si>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</si>
  <si>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</si>
  <si>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</si>
  <si>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</si>
  <si>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</si>
  <si>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</si>
  <si>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</si>
  <si>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</si>
  <si>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</si>
  <si>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</si>
  <si>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</si>
  <si>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</si>
  <si>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</si>
  <si>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</si>
  <si>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</si>
  <si>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</si>
  <si>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</si>
  <si>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</si>
  <si>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</si>
  <si>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</si>
  <si>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</si>
  <si>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</si>
  <si>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</si>
  <si>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</si>
  <si>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</si>
  <si>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</si>
  <si>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</si>
  <si>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</si>
  <si>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</si>
  <si>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</si>
  <si>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</si>
  <si>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</si>
  <si>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</si>
  <si>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</si>
  <si>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</si>
  <si>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</si>
  <si>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</si>
  <si>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</si>
  <si>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</si>
  <si>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2025-04-17</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</si>
  <si>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</si>
  <si>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</si>
  <si>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</si>
  <si>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</si>
  <si>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</si>
  <si>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</si>
  <si>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</si>
  <si>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</si>
  <si>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</si>
  <si>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</si>
  <si>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</si>
  <si>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</si>
  <si>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</si>
  <si>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</si>
  <si>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</si>
  <si>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</si>
  <si>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</si>
  <si>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</si>
  <si>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</si>
  <si>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</si>
  <si>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</si>
  <si>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</si>
  <si>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</si>
  <si>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</si>
  <si>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</si>
  <si>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</si>
  <si>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</si>
  <si>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</si>
  <si>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</si>
  <si>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</si>
  <si>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</si>
  <si>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</si>
  <si>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</si>
  <si>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</si>
  <si>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</si>
  <si>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</si>
  <si>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</si>
  <si>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</si>
  <si>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</si>
  <si>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</si>
  <si>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</si>
  <si>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</si>
  <si>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</si>
  <si>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</si>
  <si>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</si>
  <si>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</si>
  <si>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</si>
  <si>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</si>
  <si>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</si>
  <si>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</si>
  <si>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</si>
  <si>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</si>
  <si>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</si>
  <si>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</si>
  <si>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</si>
  <si>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</si>
  <si>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</si>
  <si>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</si>
  <si>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</si>
  <si>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</si>
  <si>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</si>
  <si>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</si>
  <si>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</si>
  <si>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</si>
  <si>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</si>
  <si>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</si>
  <si>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</si>
  <si>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</si>
  <si>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</si>
  <si>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</si>
  <si>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</si>
  <si>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</si>
  <si>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</si>
  <si>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</si>
  <si>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</si>
  <si>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</si>
  <si>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</si>
  <si>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</si>
  <si>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</si>
  <si>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</si>
  <si>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</si>
  <si>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</si>
  <si>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</si>
  <si>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</si>
  <si>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</si>
  <si>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</si>
  <si>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</si>
  <si>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</si>
  <si>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</si>
  <si>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</si>
  <si>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</si>
  <si>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</si>
  <si>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</si>
  <si>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</si>
  <si>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</si>
  <si>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</si>
  <si>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</si>
  <si>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</si>
  <si>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</si>
  <si>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</si>
  <si>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</si>
  <si>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</si>
  <si>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</si>
  <si>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</si>
  <si>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</si>
  <si>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</si>
  <si>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</si>
  <si>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</si>
  <si>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</si>
  <si>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</si>
  <si>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</si>
  <si>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</si>
  <si>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</si>
  <si>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</si>
  <si>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</si>
  <si>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</si>
  <si>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</si>
  <si>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</si>
  <si>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</si>
  <si>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</si>
  <si>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</si>
  <si>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</si>
  <si>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</si>
  <si>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</si>
  <si>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</si>
  <si>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</si>
  <si>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</si>
  <si>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</si>
  <si>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</si>
  <si>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</si>
  <si>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</si>
  <si>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</si>
  <si>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</si>
  <si>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</si>
  <si>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</si>
  <si>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</si>
  <si>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</si>
  <si>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</si>
  <si>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</si>
  <si>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</si>
  <si>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</si>
  <si>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</si>
  <si>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</si>
  <si>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</si>
  <si>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</si>
  <si>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</si>
  <si>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</si>
  <si>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</si>
  <si>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</si>
  <si>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</si>
  <si>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</si>
  <si>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</si>
  <si>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</si>
  <si>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</si>
  <si>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</si>
  <si>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</si>
  <si>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</si>
  <si>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</si>
  <si>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</si>
  <si>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</si>
  <si>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</si>
  <si>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</si>
  <si>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</si>
  <si>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</si>
  <si>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</si>
  <si>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</si>
  <si>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</si>
  <si>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</si>
  <si>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</si>
  <si>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</si>
  <si>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</si>
  <si>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</si>
  <si>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</si>
  <si>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</si>
  <si>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</si>
  <si>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</si>
  <si>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</si>
  <si>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</si>
  <si>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</si>
  <si>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</si>
  <si>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</si>
  <si>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</si>
  <si>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</si>
  <si>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</si>
  <si>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</si>
  <si>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</si>
  <si>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</si>
  <si>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</si>
  <si>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</si>
  <si>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</si>
  <si>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</si>
  <si>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</si>
  <si>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</si>
  <si>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</si>
  <si>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</si>
  <si>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</si>
  <si>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</si>
  <si>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</si>
  <si>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</si>
  <si>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</si>
  <si>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</si>
  <si>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</si>
  <si>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</si>
  <si>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</si>
  <si>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</si>
  <si>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</si>
  <si>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</si>
  <si>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</si>
  <si>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</si>
  <si>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</si>
  <si>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</si>
  <si>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</si>
  <si>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</si>
  <si>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</si>
  <si>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</si>
  <si>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</si>
  <si>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</si>
  <si>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</si>
  <si>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</si>
  <si>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</si>
  <si>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</si>
  <si>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</si>
  <si>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</si>
  <si>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</si>
  <si>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</si>
  <si>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</si>
  <si>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</si>
  <si>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</si>
  <si>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</si>
  <si>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</si>
  <si>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</si>
  <si>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</si>
  <si>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</si>
  <si>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</si>
  <si>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</si>
  <si>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</si>
  <si>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</si>
  <si>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</si>
  <si>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</si>
  <si>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</si>
  <si>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</si>
  <si>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</si>
  <si>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</si>
  <si>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</si>
  <si>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</si>
  <si>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</si>
  <si>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</si>
  <si>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</si>
  <si>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</si>
  <si>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</si>
  <si>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</si>
  <si>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</si>
  <si>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</si>
  <si>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</si>
  <si>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</si>
  <si>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</si>
  <si>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</si>
  <si>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</si>
  <si>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</si>
  <si>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</si>
  <si>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</si>
  <si>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</si>
  <si>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</si>
  <si>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</si>
  <si>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</si>
  <si>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</si>
  <si>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</si>
  <si>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</si>
  <si>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</si>
  <si>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</si>
  <si>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</si>
  <si>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</si>
  <si>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</si>
  <si>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</si>
  <si>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</si>
  <si>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</si>
  <si>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</si>
  <si>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</si>
  <si>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</si>
  <si>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</si>
  <si>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</si>
  <si>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</si>
  <si>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</si>
  <si>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</si>
  <si>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</si>
  <si>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</si>
  <si>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</si>
  <si>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</si>
  <si>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</si>
  <si>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</si>
  <si>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</si>
  <si>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</si>
  <si>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</si>
  <si>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</si>
  <si>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</si>
  <si>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</si>
  <si>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</si>
  <si>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</si>
  <si>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</si>
  <si>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</si>
  <si>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</si>
  <si>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</si>
  <si>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</si>
  <si>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</si>
  <si>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</si>
  <si>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</si>
  <si>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</si>
  <si>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</si>
  <si>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</si>
  <si>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</si>
  <si>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</si>
  <si>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</si>
  <si>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</si>
  <si>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</si>
  <si>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</si>
  <si>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</si>
  <si>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</si>
  <si>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</si>
  <si>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</si>
  <si>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</si>
  <si>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</si>
  <si>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</si>
  <si>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</si>
  <si>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</si>
  <si>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</si>
  <si>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</si>
  <si>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</si>
  <si>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</si>
  <si>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</si>
  <si>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</si>
  <si>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</si>
  <si>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</si>
  <si>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</si>
  <si>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</si>
  <si>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</si>
  <si>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</si>
  <si>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</si>
  <si>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</si>
  <si>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</si>
  <si>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</si>
  <si>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</si>
  <si>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</si>
  <si>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</si>
  <si>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</si>
  <si>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</si>
  <si>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</si>
  <si>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</si>
  <si>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</si>
  <si>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</si>
  <si>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</si>
  <si>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</si>
  <si>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</si>
  <si>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</si>
  <si>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</si>
  <si>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</si>
  <si>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</si>
  <si>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</si>
  <si>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</si>
  <si>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</si>
  <si>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</si>
  <si>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</si>
  <si>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</si>
  <si>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</si>
  <si>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</si>
  <si>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</si>
  <si>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</si>
  <si>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</si>
  <si>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</si>
  <si>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</si>
  <si>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</si>
  <si>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</si>
  <si>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</si>
  <si>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</si>
  <si>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</si>
  <si>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</si>
  <si>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</si>
  <si>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</si>
  <si>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</si>
  <si>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</si>
  <si>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</si>
  <si>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</si>
  <si>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</si>
  <si>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</si>
  <si>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</si>
  <si>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</si>
  <si>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</si>
  <si>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</si>
  <si>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</si>
  <si>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</si>
  <si>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</si>
  <si>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</si>
  <si>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</si>
  <si>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</si>
  <si>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</si>
  <si>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</si>
  <si>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</si>
  <si>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</si>
  <si>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</si>
  <si>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</si>
  <si>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</si>
  <si>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</si>
  <si>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</si>
  <si>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</si>
  <si>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</si>
  <si>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</si>
  <si>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</si>
  <si>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</si>
  <si>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</si>
  <si>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</si>
  <si>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</si>
  <si>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</si>
  <si>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</si>
  <si>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</si>
  <si>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</si>
  <si>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</si>
  <si>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</si>
  <si>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</si>
  <si>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</si>
  <si>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</si>
  <si>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</si>
  <si>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</si>
  <si>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</si>
  <si>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</si>
  <si>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</si>
  <si>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</si>
  <si>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</si>
  <si>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</si>
  <si>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</si>
  <si>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</si>
  <si>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</si>
  <si>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</si>
  <si>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</si>
  <si>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</si>
  <si>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</si>
  <si>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</si>
  <si>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</si>
  <si>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</si>
  <si>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</si>
  <si>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</si>
  <si>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</si>
  <si>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</si>
  <si>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</si>
  <si>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</si>
  <si>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</si>
  <si>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</si>
  <si>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</si>
  <si>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</si>
  <si>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</si>
  <si>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</si>
  <si>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</si>
  <si>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</si>
  <si>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</si>
  <si>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</si>
  <si>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</si>
  <si>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</si>
  <si>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</si>
  <si>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</si>
  <si>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</si>
  <si>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</si>
  <si>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</si>
  <si>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</si>
  <si>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</si>
  <si>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</si>
  <si>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</si>
  <si>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</si>
  <si>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</si>
  <si>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</si>
  <si>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</si>
  <si>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</si>
  <si>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</si>
  <si>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</si>
  <si>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</si>
  <si>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</si>
  <si>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</si>
  <si>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</si>
  <si>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</si>
  <si>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</si>
  <si>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</si>
  <si>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</si>
  <si>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</si>
  <si>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</si>
  <si>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</si>
  <si>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</si>
  <si>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</si>
  <si>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</si>
  <si>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</si>
  <si>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</si>
  <si>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</si>
  <si>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</si>
  <si>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</si>
  <si>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</si>
  <si>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</si>
  <si>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</si>
  <si>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</si>
  <si>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</si>
  <si>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</si>
  <si>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</si>
  <si>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</si>
  <si>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</si>
  <si>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</si>
  <si>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</si>
  <si>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</si>
  <si>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</si>
  <si>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</si>
  <si>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</si>
  <si>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</si>
  <si>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</si>
  <si>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</si>
  <si>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</si>
  <si>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</si>
  <si>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</si>
  <si>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</si>
  <si>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</si>
  <si>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</si>
  <si>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</si>
  <si>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</si>
  <si>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</si>
  <si>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</si>
  <si>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</si>
  <si>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</si>
  <si>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</si>
  <si>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</si>
  <si>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</si>
  <si>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</si>
  <si>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</si>
  <si>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</si>
  <si>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</si>
  <si>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</si>
  <si>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</si>
  <si>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</si>
  <si>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</si>
  <si>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</si>
  <si>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</si>
  <si>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</si>
  <si>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</si>
  <si>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</si>
  <si>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</si>
  <si>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</si>
  <si>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</si>
  <si>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</si>
  <si>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</si>
  <si>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</si>
  <si>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</si>
  <si>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</si>
  <si>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</si>
  <si>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</si>
  <si>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</si>
  <si>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</si>
  <si>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</si>
  <si>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</si>
  <si>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</si>
  <si>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</si>
  <si>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</si>
  <si>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</si>
  <si>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</si>
  <si>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</si>
  <si>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</si>
  <si>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</si>
  <si>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</si>
  <si>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</si>
  <si>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</si>
  <si>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</si>
  <si>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</si>
  <si>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</si>
  <si>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</si>
  <si>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</si>
  <si>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</si>
  <si>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</si>
  <si>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</si>
  <si>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</si>
  <si>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</si>
  <si>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</si>
  <si>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</si>
  <si>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</si>
  <si>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</si>
  <si>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</si>
  <si>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</si>
  <si>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</si>
  <si>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</si>
  <si>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</si>
  <si>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</si>
  <si>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</si>
  <si>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</si>
  <si>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</si>
  <si>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</si>
  <si>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</si>
  <si>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</si>
  <si>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</si>
  <si>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</si>
  <si>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</si>
  <si>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</si>
  <si>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</si>
  <si>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</si>
  <si>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</si>
  <si>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</si>
  <si>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</si>
  <si>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</si>
  <si>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</si>
  <si>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</si>
  <si>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</si>
  <si>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</si>
  <si>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</si>
  <si>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</si>
  <si>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</si>
  <si>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</si>
  <si>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</si>
  <si>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</si>
  <si>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</si>
  <si>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</si>
  <si>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</si>
  <si>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</si>
  <si>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</si>
  <si>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</si>
  <si>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</si>
  <si>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</si>
  <si>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</si>
  <si>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</si>
  <si>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</si>
  <si>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</si>
  <si>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</si>
  <si>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</si>
  <si>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</si>
  <si>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</si>
  <si>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</si>
  <si>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</si>
  <si>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</si>
  <si>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</si>
  <si>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</si>
  <si>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</si>
  <si>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</si>
  <si>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</si>
  <si>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</si>
  <si>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</si>
  <si>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</si>
  <si>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</si>
  <si>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</si>
  <si>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</si>
  <si>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</si>
  <si>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</si>
  <si>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</si>
  <si>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</si>
  <si>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</si>
  <si>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</si>
  <si>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</si>
  <si>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</si>
  <si>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</si>
  <si>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</si>
  <si>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</si>
  <si>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</si>
  <si>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</si>
  <si>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</si>
  <si>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</si>
  <si>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</si>
  <si>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</si>
  <si>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</si>
  <si>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</si>
  <si>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</si>
  <si>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</si>
  <si>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</si>
  <si>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</si>
  <si>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</si>
  <si>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</si>
  <si>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</si>
  <si>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</si>
  <si>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</si>
  <si>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</si>
  <si>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</si>
  <si>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</si>
  <si>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</si>
  <si>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</si>
  <si>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</si>
  <si>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</si>
  <si>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</si>
  <si>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</si>
  <si>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</si>
  <si>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</si>
  <si>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</si>
  <si>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</si>
  <si>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</si>
  <si>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</si>
  <si>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</si>
  <si>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</si>
  <si>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</si>
  <si>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</si>
  <si>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</si>
  <si>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</si>
  <si>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</si>
  <si>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</si>
  <si>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</si>
  <si>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</si>
  <si>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</si>
  <si>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</si>
  <si>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</si>
  <si>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</si>
  <si>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</si>
  <si>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</si>
  <si>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</si>
  <si>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</si>
  <si>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</si>
  <si>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</si>
  <si>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</si>
  <si>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</si>
  <si>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</si>
  <si>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</si>
  <si>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</si>
  <si>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</si>
  <si>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</si>
  <si>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</si>
  <si>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</si>
  <si>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</si>
  <si>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</si>
  <si>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</si>
  <si>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</si>
  <si>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</si>
  <si>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</si>
  <si>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</si>
  <si>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</si>
  <si>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</si>
  <si>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</si>
  <si>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</si>
  <si>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</si>
  <si>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</si>
  <si>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</si>
  <si>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</si>
  <si>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</si>
  <si>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</si>
  <si>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</si>
  <si>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</si>
  <si>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</si>
  <si>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</si>
  <si>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</si>
  <si>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</si>
  <si>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</si>
  <si>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</si>
  <si>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</si>
  <si>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</si>
  <si>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</si>
  <si>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</si>
  <si>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</si>
  <si>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</si>
  <si>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</si>
  <si>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</si>
  <si>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</si>
  <si>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</si>
  <si>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</si>
  <si>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</si>
  <si>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</si>
  <si>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</si>
  <si>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</si>
  <si>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</si>
  <si>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</si>
  <si>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</si>
  <si>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</si>
  <si>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</si>
  <si>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</si>
  <si>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</si>
  <si>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</si>
  <si>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</si>
  <si>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</si>
  <si>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</si>
  <si>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</si>
  <si>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</si>
  <si>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</si>
  <si>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</si>
  <si>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</si>
  <si>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</si>
  <si>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</si>
  <si>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</si>
  <si>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</si>
  <si>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</si>
  <si>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</si>
  <si>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</si>
  <si>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</si>
  <si>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</si>
  <si>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</si>
  <si>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</si>
  <si>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</si>
  <si>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</si>
  <si>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</si>
  <si>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</si>
  <si>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</si>
  <si>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</si>
  <si>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</si>
  <si>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</si>
  <si>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</si>
  <si>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</si>
  <si>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</si>
  <si>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</si>
  <si>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</si>
  <si>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</si>
  <si>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</si>
  <si>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</si>
  <si>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</si>
  <si>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</si>
  <si>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</si>
  <si>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</si>
  <si>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</si>
  <si>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</si>
  <si>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</si>
  <si>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</si>
  <si>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</si>
  <si>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</si>
  <si>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</si>
  <si>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</si>
  <si>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</si>
  <si>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</si>
  <si>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</si>
  <si>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</si>
  <si>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</si>
  <si>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</si>
  <si>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</si>
  <si>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</si>
  <si>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</si>
  <si>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</si>
  <si>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</si>
  <si>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</si>
  <si>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</si>
  <si>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</si>
  <si>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</si>
  <si>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</si>
  <si>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</si>
  <si>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</si>
  <si>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</si>
  <si>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</si>
  <si>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</si>
  <si>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</si>
  <si>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</si>
  <si>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</si>
  <si>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</si>
  <si>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</si>
  <si>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</si>
  <si>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</si>
  <si>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</si>
  <si>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</si>
  <si>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</si>
  <si>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</si>
  <si>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</si>
  <si>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</si>
  <si>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</si>
  <si>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</si>
  <si>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</si>
  <si>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</si>
  <si>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</si>
  <si>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</si>
  <si>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</si>
  <si>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</si>
  <si>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</si>
  <si>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</si>
  <si>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</si>
  <si>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</si>
  <si>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</si>
  <si>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</si>
  <si>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</si>
  <si>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</si>
  <si>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</si>
  <si>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</si>
  <si>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</si>
  <si>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</si>
  <si>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</si>
  <si>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</si>
  <si>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</si>
  <si>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</si>
  <si>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</si>
  <si>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</si>
  <si>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</si>
  <si>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</si>
  <si>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</si>
  <si>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</si>
  <si>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</si>
  <si>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</si>
  <si>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</si>
  <si>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</si>
  <si>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</si>
  <si>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</si>
  <si>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</si>
  <si>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</si>
  <si>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</si>
  <si>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</si>
  <si>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</si>
  <si>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</si>
  <si>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</si>
  <si>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</si>
  <si>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</si>
  <si>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</si>
  <si>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</si>
  <si>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</si>
  <si>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</si>
  <si>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</si>
  <si>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</si>
  <si>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</si>
  <si>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</si>
  <si>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</si>
  <si>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</si>
  <si>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</si>
  <si>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</si>
  <si>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</si>
  <si>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</si>
  <si>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</si>
  <si>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</si>
  <si>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</si>
  <si>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</si>
  <si>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</si>
  <si>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</si>
  <si>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</si>
  <si>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</si>
  <si>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</si>
  <si>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</si>
  <si>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</si>
  <si>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</si>
  <si>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</si>
  <si>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</si>
  <si>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</si>
  <si>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</si>
  <si>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</si>
  <si>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</si>
  <si>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</si>
  <si>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</si>
  <si>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</si>
  <si>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</si>
  <si>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</si>
  <si>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</si>
  <si>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</si>
  <si>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</si>
  <si>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</si>
  <si>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</si>
  <si>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</si>
  <si>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</si>
  <si>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</si>
  <si>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</si>
  <si>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</si>
  <si>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</si>
  <si>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</si>
  <si>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</si>
  <si>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</si>
  <si>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</si>
  <si>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</si>
  <si>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</si>
  <si>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</si>
  <si>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</si>
  <si>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</si>
  <si>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</si>
  <si>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</si>
  <si>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</si>
  <si>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</si>
  <si>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</si>
  <si>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</si>
  <si>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</si>
  <si>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</si>
  <si>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</si>
  <si>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</si>
  <si>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</si>
  <si>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</si>
  <si>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</si>
  <si>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</si>
  <si>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</si>
  <si>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</si>
  <si>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</si>
  <si>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</si>
  <si>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</si>
  <si>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</si>
  <si>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</si>
  <si>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</si>
  <si>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</si>
  <si>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</si>
  <si>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</si>
  <si>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</si>
  <si>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</si>
  <si>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</si>
  <si>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</si>
  <si>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</si>
  <si>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</si>
  <si>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</si>
  <si>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</si>
  <si>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</si>
  <si>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</si>
  <si>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</si>
  <si>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</si>
  <si>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</si>
  <si>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</si>
  <si>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</si>
  <si>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</si>
  <si>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</si>
  <si>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</si>
  <si>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</si>
  <si>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</si>
  <si>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</si>
  <si>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</si>
  <si>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</si>
  <si>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</si>
  <si>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</si>
  <si>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</si>
  <si>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</si>
  <si>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</si>
  <si>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</si>
  <si>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</si>
  <si>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</si>
  <si>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</si>
  <si>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</si>
  <si>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</si>
  <si>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</si>
  <si>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</si>
  <si>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2025-09-14</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</si>
  <si>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</si>
  <si>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</si>
  <si>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</si>
  <si>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</si>
  <si>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</si>
  <si>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</si>
  <si>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</si>
  <si>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</si>
  <si>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</si>
  <si>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</si>
  <si>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</si>
  <si>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</si>
  <si>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</si>
  <si>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</si>
  <si>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</si>
  <si>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</si>
  <si>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</si>
  <si>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</si>
  <si>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</si>
  <si>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</si>
  <si>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</si>
  <si>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</si>
  <si>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</si>
  <si>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</si>
  <si>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</si>
  <si>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</si>
  <si>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</si>
  <si>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</si>
  <si>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</si>
  <si>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</si>
  <si>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</si>
  <si>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</si>
  <si>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</si>
  <si>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</si>
  <si>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</si>
  <si>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</si>
  <si>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</si>
  <si>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</si>
  <si>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</si>
  <si>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</si>
  <si>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</si>
  <si>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</si>
  <si>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</si>
  <si>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</si>
  <si>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</si>
  <si>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</si>
  <si>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</si>
  <si>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</si>
  <si>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</si>
  <si>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</si>
  <si>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</si>
  <si>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</si>
  <si>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</si>
  <si>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</si>
  <si>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</si>
  <si>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</si>
  <si>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</si>
  <si>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</si>
  <si>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</si>
  <si>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</si>
  <si>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</si>
  <si>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</si>
  <si>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</si>
  <si>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</si>
  <si>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</si>
  <si>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</si>
  <si>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</si>
  <si>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</si>
  <si>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</si>
  <si>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</si>
  <si>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</si>
  <si>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</si>
  <si>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</si>
  <si>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</si>
  <si>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</si>
  <si>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</si>
  <si>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</si>
  <si>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</si>
  <si>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</si>
  <si>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</si>
  <si>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</si>
  <si>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</si>
  <si>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</si>
  <si>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</si>
  <si>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</si>
  <si>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</si>
  <si>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</si>
  <si>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</si>
  <si>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</si>
  <si>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</si>
  <si>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</si>
  <si>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</si>
  <si>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</si>
  <si>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</si>
  <si>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</si>
  <si>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</si>
  <si>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</si>
  <si>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</si>
  <si>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</si>
  <si>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</si>
  <si>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</si>
  <si>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</si>
  <si>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</si>
  <si>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</si>
  <si>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</si>
  <si>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</si>
  <si>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</si>
  <si>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</si>
  <si>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</si>
  <si>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</si>
  <si>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</si>
  <si>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</si>
  <si>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</si>
  <si>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</si>
  <si>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</si>
  <si>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</si>
  <si>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</si>
  <si>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</si>
  <si>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</si>
  <si>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</si>
  <si>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</si>
  <si>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</si>
  <si>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</si>
  <si>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</si>
  <si>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</si>
  <si>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</si>
  <si>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</si>
  <si>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</si>
  <si>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</si>
  <si>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</si>
  <si>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</si>
  <si>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</si>
  <si>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</si>
  <si>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</si>
  <si>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</si>
  <si>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</si>
  <si>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</si>
  <si>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</si>
  <si>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</si>
  <si>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</si>
  <si>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</si>
  <si>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</si>
  <si>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</si>
  <si>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</si>
  <si>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</si>
  <si>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</si>
  <si>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</si>
  <si>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</si>
  <si>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</si>
  <si>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</si>
  <si>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</si>
  <si>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</si>
  <si>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</si>
  <si>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</si>
  <si>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</si>
  <si>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</si>
  <si>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</si>
  <si>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</si>
  <si>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</si>
  <si>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</si>
  <si>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</si>
  <si>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</si>
  <si>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</si>
  <si>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</si>
  <si>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</si>
  <si>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</si>
  <si>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</si>
  <si>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</si>
  <si>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</si>
  <si>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</si>
  <si>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</si>
  <si>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</si>
  <si>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</si>
  <si>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</si>
  <si>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</si>
  <si>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</si>
  <si>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</si>
  <si>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</si>
  <si>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</si>
  <si>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</si>
  <si>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</si>
  <si>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Month</t>
  </si>
  <si>
    <t>Budget_COGS</t>
  </si>
  <si>
    <t>Actual_COGS</t>
  </si>
  <si>
    <t>Budget_Inventory</t>
  </si>
  <si>
    <t>Actual_Inventory</t>
  </si>
  <si>
    <t>Week</t>
  </si>
  <si>
    <t>Task</t>
  </si>
  <si>
    <t>Deliverable</t>
  </si>
  <si>
    <t>Understand the data and build data dictionary</t>
  </si>
  <si>
    <t>Data Dictionary</t>
  </si>
  <si>
    <t>Clean the data and identify anomalies</t>
  </si>
  <si>
    <t>Clean dataset</t>
  </si>
  <si>
    <t>Calculate KPIs</t>
  </si>
  <si>
    <t>KPI table</t>
  </si>
  <si>
    <t>Variance Analysis</t>
  </si>
  <si>
    <t>PPV &amp; Budget vs Actual</t>
  </si>
  <si>
    <t>Inventory Analysis</t>
  </si>
  <si>
    <t>ABC, Aging, Slow Moving</t>
  </si>
  <si>
    <t>Executive Dashboard</t>
  </si>
  <si>
    <t>Excel dashboard</t>
  </si>
  <si>
    <t>Management Presentation</t>
  </si>
  <si>
    <t>1-page summary + LinkedIn post</t>
  </si>
  <si>
    <t>ID</t>
  </si>
  <si>
    <t>Question</t>
  </si>
  <si>
    <t>Which supplier has the highest purchase price variance (PPV)?</t>
  </si>
  <si>
    <t>Which products are overstocked?</t>
  </si>
  <si>
    <t>Which products are slow moving?</t>
  </si>
  <si>
    <t>What is the inventory turnover?</t>
  </si>
  <si>
    <t>Which category has the highest inventory value?</t>
  </si>
  <si>
    <t>Where is Budget vs Actual variance above 10%?</t>
  </si>
  <si>
    <t>What recommendations would you give management?</t>
  </si>
  <si>
    <t>Column</t>
  </si>
  <si>
    <t>Hebrew</t>
  </si>
  <si>
    <t>Business Meaning</t>
  </si>
  <si>
    <t>תאריך</t>
  </si>
  <si>
    <t>קוד מוצר</t>
  </si>
  <si>
    <t>קטגוריה</t>
  </si>
  <si>
    <t>ספקים</t>
  </si>
  <si>
    <t>כמות במלאי</t>
  </si>
  <si>
    <t xml:space="preserve">עלות ליחידה </t>
  </si>
  <si>
    <t xml:space="preserve">עלות תקנית </t>
  </si>
  <si>
    <t xml:space="preserve">עלות בפועל </t>
  </si>
  <si>
    <t xml:space="preserve">ביקוש חודשי </t>
  </si>
  <si>
    <t xml:space="preserve">זמן אספקה </t>
  </si>
  <si>
    <t xml:space="preserve">תאריך רכשיה </t>
  </si>
  <si>
    <t>מזהה ייחודי של המוצר</t>
  </si>
  <si>
    <t>סוג המוצר</t>
  </si>
  <si>
    <t>ספק שנרכש ממנו המוצר</t>
  </si>
  <si>
    <t>מספר הייחדיות הקימות במלאי</t>
  </si>
  <si>
    <t xml:space="preserve">המחיר ליחידה </t>
  </si>
  <si>
    <t>העלות שתוכננה בתקציב</t>
  </si>
  <si>
    <t xml:space="preserve">העלות ששולמה בפועל </t>
  </si>
  <si>
    <t>מספר היחידות שנמכרות בחודש</t>
  </si>
  <si>
    <t xml:space="preserve">מספר ימים מההזמה ועד שהמוצר מגיע </t>
  </si>
  <si>
    <t xml:space="preserve">חשיבות </t>
  </si>
  <si>
    <t>תאריך העסקה או תאריך רכישת המלאי</t>
  </si>
  <si>
    <t>מזהה ייחודי המשמש למעקב ולניתוח של כל מוצר</t>
  </si>
  <si>
    <t>מאפשר לנתח ביצועים, רווחיות ורמות מלאי לפי קטגוריות מוצרים.</t>
  </si>
  <si>
    <t>מאפשר להשוות בין ספקים לפי מחיר, איכות, זמני אספקה וביצועים.</t>
  </si>
  <si>
    <t>מסייע בזיהוי עודף מלאי או מחסור במלאי</t>
  </si>
  <si>
    <t>משמש לחישוב ערך המלאי, עלות המכר (COGS) ורווחיות.</t>
  </si>
  <si>
    <t>עלות מתוכננת המשמשת לתקצוב ולהשוואה מול העלות בפועל</t>
  </si>
  <si>
    <t>משמש לניתוח חריגות בעלות (Variance Analysis) ולהבנת הסיבות להבדלים.</t>
  </si>
  <si>
    <t>מסייע בתכנון רכש, תחזיות ומניעת חוסר או עודף מלאי</t>
  </si>
  <si>
    <t>מסייע לקבוע מתי לבצע הזמנות כדי למנוע מחסור במלאי.</t>
  </si>
  <si>
    <t>Missing Values</t>
  </si>
  <si>
    <t>Check</t>
  </si>
  <si>
    <t>Objective</t>
  </si>
  <si>
    <t>Method</t>
  </si>
  <si>
    <t>Result</t>
  </si>
  <si>
    <t>Business Conclusion</t>
  </si>
  <si>
    <t>כל העמודות = 3000</t>
  </si>
  <si>
    <t>לא נמצאו ערכים חסרים</t>
  </si>
  <si>
    <t>Duplicates</t>
  </si>
  <si>
    <t>Outliers</t>
  </si>
  <si>
    <t>Negative Values</t>
  </si>
  <si>
    <t>Business Comments</t>
  </si>
  <si>
    <t>Formula</t>
  </si>
  <si>
    <t>Status</t>
  </si>
  <si>
    <t>COUNTA(Inventory!#REF!)</t>
  </si>
  <si>
    <t>COUNTA(Inventory!()</t>
  </si>
  <si>
    <t>)</t>
  </si>
  <si>
    <t>COUNTIF(Inventory!B2:B3001,Inventory!B2)</t>
  </si>
  <si>
    <t>COUNTIF(Inventory!D2:D3001,"&lt;0")</t>
  </si>
  <si>
    <t>cOUNTIF(Inventory!E2:E3001,"&lt;0")</t>
  </si>
  <si>
    <t>COUNTIF(Inventory!F2:F3001,"&lt;0")</t>
  </si>
  <si>
    <t>COUNTIF(Inventory!G2:G3001,"&lt;0")</t>
  </si>
  <si>
    <t>COUNTIF(Inventory!H2:H3001,"&lt;0")</t>
  </si>
  <si>
    <t>COUNTIF(Inventory!I2:I3001,"&lt;0")</t>
  </si>
  <si>
    <t>Zero Values</t>
  </si>
  <si>
    <t>COUNTIF(Inventory!E2:E3001,0)</t>
  </si>
  <si>
    <t>COUNTIF(Inventory!F2:F3001,0)</t>
  </si>
  <si>
    <t>COUNTIF(Inventory!G2:G3001,0)</t>
  </si>
  <si>
    <t>COUNTIF(Inventory!H2:H3001,0)</t>
  </si>
  <si>
    <t>COUNTIF(Inventory!I2:I3001,0)</t>
  </si>
  <si>
    <t>Findings &amp; Business Conclusions</t>
  </si>
  <si>
    <t>Observation</t>
  </si>
  <si>
    <t>Business Impact</t>
  </si>
  <si>
    <t>Recommendation</t>
  </si>
  <si>
    <t>Review Required</t>
  </si>
  <si>
    <t>====================================================</t>
  </si>
  <si>
    <t>Finding 1</t>
  </si>
  <si>
    <t>Finding 2</t>
  </si>
  <si>
    <t>Finding 3</t>
  </si>
  <si>
    <t>DATA QUALITY CHECKS:</t>
  </si>
  <si>
    <t>BUSINESS FINDINGS:</t>
  </si>
  <si>
    <t>Zero Inventory</t>
  </si>
  <si>
    <t>Passed</t>
  </si>
  <si>
    <t>Invalid Dates</t>
  </si>
  <si>
    <t xml:space="preserve">לבדוק שכל הערכים בעמודת Date נים </t>
  </si>
  <si>
    <t>Filter /isnumber</t>
  </si>
  <si>
    <t>נמצאה רשומה אחת עם תאריך לא תקין</t>
  </si>
  <si>
    <t xml:space="preserve">הרשומה נשמרה בשל חשיבבותה אך לא תיכלל בניתוח לפי תקופות עד קבלת התאריך הנכון ממקור הנתונים </t>
  </si>
  <si>
    <t xml:space="preserve">לבדוק אo קיימים תאים ריקים בנתונים </t>
  </si>
  <si>
    <t>COUNTA/countablank</t>
  </si>
  <si>
    <t>countif</t>
  </si>
  <si>
    <t>לבדוק אם קיימים מוצרים כפולים</t>
  </si>
  <si>
    <t>countif על עמודת PRODUCT ID</t>
  </si>
  <si>
    <t xml:space="preserve">לא נמצאו כפיליות כל ה 3000 בעלי מזהה ייחודי ולכן אין ניפוח של נתוני המלאי ןהביקוש עקב כפיליות </t>
  </si>
  <si>
    <t>countif על עמודת QTY_ON_HAND</t>
  </si>
  <si>
    <t>לבדוק את עמודת Unit_Cost</t>
  </si>
  <si>
    <t>לבדוק את עמודת  Qty_on_hand</t>
  </si>
  <si>
    <t>לבדוק את עמודת  std_Cost</t>
  </si>
  <si>
    <t>לבדוק את עמודת Actual_cost</t>
  </si>
  <si>
    <t>לבדוק את עמודת Monthly Demand</t>
  </si>
  <si>
    <t>לבדוק את עמודת Lead_Time_Days</t>
  </si>
  <si>
    <t>לא נמצאו ערכים שלילליים</t>
  </si>
  <si>
    <t>Zero_value</t>
  </si>
  <si>
    <t>לבדוק ערכים 0 בעמודת Qty_on hand</t>
  </si>
  <si>
    <t>למוצר אין מלאי, למרות ביקוש חודשי של 3,473 יחידות וזמן אספקה של 65 ימים. יש לבדוק מיד הזמנה פתוחה, מלאי בדרך והצורך בהזמנה דחופה</t>
  </si>
  <si>
    <t>לבדוק ערכים 0 בעמודת Uמןא</t>
  </si>
  <si>
    <t>Demand_During_Lead_Time</t>
  </si>
  <si>
    <t>Stock_Risk</t>
  </si>
  <si>
    <t>Total High Risk Products</t>
  </si>
  <si>
    <t>High_risk_rate</t>
  </si>
  <si>
    <t>Shortage_Qty</t>
  </si>
  <si>
    <t>Total Shortage</t>
  </si>
  <si>
    <t>Shortge_Value</t>
  </si>
  <si>
    <t>Total Shortage Value</t>
  </si>
  <si>
    <t>Row Labels</t>
  </si>
  <si>
    <t>Grand Total</t>
  </si>
  <si>
    <t>Column Labels</t>
  </si>
  <si>
    <t>High Risk</t>
  </si>
  <si>
    <t>Sufficuent Stock</t>
  </si>
  <si>
    <t>Count of Product_ID</t>
  </si>
  <si>
    <t>Total Count of Product_ID</t>
  </si>
  <si>
    <t>Total Count of Product_ID2</t>
  </si>
  <si>
    <t>Count of Product_ID2</t>
  </si>
  <si>
    <t>Sum of Shortge_Value</t>
  </si>
  <si>
    <t>Inventory Shortage Risk</t>
  </si>
  <si>
    <t>Financial Exposure</t>
  </si>
  <si>
    <r>
      <t xml:space="preserve">Product </t>
    </r>
    <r>
      <rPr>
        <b/>
        <sz val="11"/>
        <color theme="1"/>
        <rFont val="Calibri"/>
        <family val="2"/>
        <scheme val="minor"/>
      </rPr>
      <t>P02724</t>
    </r>
    <r>
      <rPr>
        <sz val="11"/>
        <color theme="1"/>
        <rFont val="Calibri"/>
        <family val="2"/>
        <scheme val="minor"/>
      </rPr>
      <t xml:space="preserve">, supplied by Beta, has no available stock despite monthly demand of </t>
    </r>
    <r>
      <rPr>
        <b/>
        <sz val="11"/>
        <color theme="1"/>
        <rFont val="Calibri"/>
        <family val="2"/>
        <scheme val="minor"/>
      </rPr>
      <t>3,473</t>
    </r>
    <r>
      <rPr>
        <sz val="11"/>
        <color theme="1"/>
        <rFont val="Calibri"/>
        <family val="2"/>
        <scheme val="minor"/>
      </rPr>
      <t xml:space="preserve"> units.</t>
    </r>
  </si>
  <si>
    <t>The product has monthly demand of 3,473 units. Therefore, there is a risk of a stockout and lost sales if no open purchase order exists</t>
  </si>
  <si>
    <t>Check whether an open purchase order exists with the supplier. Verify that the inventory data is up to date and, if necessary, place an urgent order.</t>
  </si>
  <si>
    <t xml:space="preserve">Observation: </t>
  </si>
  <si>
    <t>1,604 out of 3,000 products are classified as High Risk, representing 53.47% of all products.</t>
  </si>
  <si>
    <t>Finding 4</t>
  </si>
  <si>
    <t>Supplier Exposure</t>
  </si>
  <si>
    <t>Delta has the highest shortage value at 271,714,656.30, representing 22.22% of the total shortage value.</t>
  </si>
  <si>
    <t xml:space="preserve">Business Impact: </t>
  </si>
  <si>
    <t xml:space="preserve"> The exposure is relatively distributed across all five suppliers, indicating that the shortage risk is not caused by a single supplier.</t>
  </si>
  <si>
    <t>Recommendation:</t>
  </si>
  <si>
    <t>Prioritize a detailed review with Delta while developing shortage-reduction plans across all suppliers.</t>
  </si>
  <si>
    <t xml:space="preserve"> The total shortage is 4,759,477.5 units, with an estimated value of 1,222,974,681.36.</t>
  </si>
  <si>
    <t>The shortage may lead to lost sales, delayed orders and customer dissatisfaction.</t>
  </si>
  <si>
    <t>Prioritize Cooling and Memory, which together represent approximately 43.7% of the total shortage value.</t>
  </si>
  <si>
    <t>Inventory Performance KPIs</t>
  </si>
  <si>
    <t>Finding 5</t>
  </si>
  <si>
    <t>Observation:</t>
  </si>
  <si>
    <t>COGS Variance</t>
  </si>
  <si>
    <t>COGS Variance %</t>
  </si>
  <si>
    <t>COGS Status</t>
  </si>
  <si>
    <t>Favorable Months</t>
  </si>
  <si>
    <t>Unfavorable month</t>
  </si>
  <si>
    <t>Inventory Variance</t>
  </si>
  <si>
    <t>Inventory Variance %</t>
  </si>
  <si>
    <t>Inventory Status</t>
  </si>
  <si>
    <t>Above Budget Months</t>
  </si>
  <si>
    <t xml:space="preserve">Below Budget Months </t>
  </si>
  <si>
    <t>Finding 6</t>
  </si>
  <si>
    <t>Business Impact:</t>
  </si>
  <si>
    <t xml:space="preserve"> Investigate the causes of the higher-than-budget COGS, particularly in Months 3, 5 and 6, and use monthly variance monitoring to identify cost increases early and improve budget control.</t>
  </si>
  <si>
    <t>Finding 7</t>
  </si>
  <si>
    <t>Inventory Cost and Financial Performance Dashbord</t>
  </si>
  <si>
    <t>High Risk Rate</t>
  </si>
  <si>
    <t>High Risk Products</t>
  </si>
  <si>
    <t>Total Shortage Quantity</t>
  </si>
  <si>
    <t>Budget_COGS_Calculated</t>
  </si>
  <si>
    <t>Actual_COGS_Calculated</t>
  </si>
  <si>
    <t>COGS_Variance</t>
  </si>
  <si>
    <t>COGS_Variance %</t>
  </si>
  <si>
    <t>Monthly Budget COGS</t>
  </si>
  <si>
    <t>Monthly Actual COGS</t>
  </si>
  <si>
    <t>COGS Variance%</t>
  </si>
  <si>
    <t>Estimated Annual COGS</t>
  </si>
  <si>
    <t>Current Inventory Value</t>
  </si>
  <si>
    <t>Estimated Inventory Turnover</t>
  </si>
  <si>
    <t>Estimated DIO</t>
  </si>
  <si>
    <t>Estimated Days Inventory Outstanding</t>
  </si>
  <si>
    <t>Monthly COGS Variance</t>
  </si>
  <si>
    <t>Budget COGS</t>
  </si>
  <si>
    <t>Actual COGS</t>
  </si>
  <si>
    <t>Estimated Inventory Turnover Performance</t>
  </si>
  <si>
    <t>Based on annualized monthly demand, Estimated Annual COGS is 19,200,481,643.16 and Current Inventory Value is 1,956,523,143.90. This results in an Estimated Inventory Turnover of 9.81 and an Estimated Days Inventory Outstanding of 37.19 days</t>
  </si>
  <si>
    <t>Based on the current inventory snapshot, the company holds inventory equal to approximately 37 days of estimated COGS. However, the result may still hide excess inventory in some products and shortages in others.</t>
  </si>
  <si>
    <t>Monitor turnover by product category and compare beginning and ending inventory balances over time. Once historical inventory balances are available, replace the current inventory value with average inventory to calculate the official Inventory Turnover and DIO.</t>
  </si>
  <si>
    <t>Based on monthly demand, Budget COGS calculated using Standard Cost is 1,518,331,975.26, while Actual COGS calculated using Actual Cost is 1,600,040,136.93. This represents an unfavorable cost variance of 81,708,161.67, or 5.38%.</t>
  </si>
  <si>
    <t>Actual product costs are consistently higher than standard costs, increasing the expected cost of meeting monthly demand and potentially reducing gross profit margins.</t>
  </si>
  <si>
    <t>COGS Variance by Category</t>
  </si>
  <si>
    <t>Actual COGS is higher than Budget COGS across all five product categories. GPU recorded the largest unfavorable variance of approximately 18.91 million, followed by Cooling with approximately 18.62 million. Cooling recorded the highest variance rate at approximately 6.12%.</t>
  </si>
  <si>
    <t>Cost increases are spread across all categories rather than being limited to one product group. GPU and Cooling together account for approximately 45.9% of the total unfavorable COGS variance, creating a significant risk to gross profit margins.</t>
  </si>
  <si>
    <t>Prioritize a detailed review of GPU and Cooling purchasing costs, supplier terms and product mix. Compare Actual Cost with Standard Cost at product level to identify the SKUs and suppliers responsible for the largest variances.</t>
  </si>
  <si>
    <t>Portfolio project based on simulated data. Financial values are presented in currency units.</t>
  </si>
  <si>
    <t>Unfavorable Monthly COGS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</si>
</sst>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7" formatCode="0.00\ &quot;Days&quot;"/>
    <numFmt numFmtId="180" formatCode="0.00,,&quot;M&quot;"/>
    <numFmt numFmtId="181" formatCode="0.00,,,&quot;B&quot;"/>
  </numFmts>
  <fonts count="14" x14ac:knownFonts="1">
    <font>
      <sz val="11"/>
      <color theme="1"/>
      <name val="Calibri"/>
      <family val="2"/>
      <scheme val="minor"/>
    </font>
    <font>
      <b/>
      <sz val="11"/>
      <color theme="0"/>
      <name val="Calibri"/>
      <family val="2"/>
      <scheme val="minor"/>
    </font>
    <font>
      <b/>
      <sz val="11"/>
      <color theme="1"/>
      <name val="Calibri"/>
      <family val="2"/>
      <scheme val="minor"/>
    </font>
    <font>
      <b/>
      <u/>
      <sz val="18"/>
      <color theme="1"/>
      <name val="Calibri"/>
      <family val="2"/>
      <scheme val="minor"/>
    </font>
    <font>
      <b/>
      <sz val="10"/>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b/>
      <u/>
      <sz val="11"/>
      <color theme="1"/>
      <name val="Calibri"/>
      <family val="2"/>
      <scheme val="minor"/>
    </font>
    <font>
      <b/>
      <sz val="18"/>
      <color theme="1"/>
      <name val="Calibri"/>
      <family val="2"/>
      <scheme val="minor"/>
    </font>
    <font>
      <sz val="16"/>
      <color theme="1"/>
      <name val="Calibri"/>
      <family val="2"/>
      <scheme val="minor"/>
    </font>
    <font>
      <b/>
      <sz val="11"/>
      <color rgb="FFFF0000"/>
      <name val="Calibri"/>
      <family val="2"/>
      <scheme val="minor"/>
    </font>
    <font>
      <sz val="9"/>
      <color theme="0" tint="-0.499984740745262"/>
      <name val="Calibri"/>
      <family val="2"/>
      <scheme val="minor"/>
    </font>
    <font>
      <sz val="11"/>
      <color theme="0" tint="-0.499984740745262"/>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06D6A0"/>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56">
    <xf numFmtId="0" fontId="0" fillId="0" borderId="0" xfId="0"/>
    <xf numFmtId="0" fontId="0" fillId="0" borderId="1" xfId="0" applyBorder="1"/>
    <xf numFmtId="0" fontId="2" fillId="0" borderId="0" xfId="0" applyFont="1"/>
    <xf numFmtId="0" fontId="1" fillId="2" borderId="1" xfId="0" applyFont="1" applyFill="1" applyBorder="1" applyAlignment="1">
      <alignment horizontal="center" wrapText="1"/>
    </xf>
    <xf numFmtId="0" fontId="0" fillId="0" borderId="0" xfId="0" applyAlignment="1">
      <alignment wrapText="1"/>
    </xf>
    <xf numFmtId="0" fontId="0" fillId="0" borderId="1" xfId="0" applyBorder="1" applyAlignment="1">
      <alignment wrapText="1"/>
    </xf>
    <xf numFmtId="0" fontId="2" fillId="0" borderId="1" xfId="0" applyFont="1" applyBorder="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1" fillId="2" borderId="1" xfId="0" applyFont="1" applyFill="1" applyBorder="1" applyAlignment="1">
      <alignment horizontal="center" vertical="center" wrapText="1"/>
    </xf>
    <xf numFmtId="0" fontId="0" fillId="0" borderId="1" xfId="0" applyBorder="1" applyAlignment="1">
      <alignment horizontal="center"/>
    </xf>
    <xf numFmtId="0" fontId="3" fillId="0" borderId="0" xfId="0" applyFont="1"/>
    <xf numFmtId="0" fontId="4" fillId="0" borderId="0" xfId="0" applyFont="1" applyAlignment="1">
      <alignment vertical="center"/>
    </xf>
    <xf numFmtId="0" fontId="5" fillId="0" borderId="0" xfId="0" applyFont="1"/>
    <xf numFmtId="0" fontId="0" fillId="4" borderId="1" xfId="0" applyFill="1" applyBorder="1" applyAlignment="1">
      <alignment horizontal="center"/>
    </xf>
    <xf numFmtId="0" fontId="0" fillId="3" borderId="1" xfId="0" applyFill="1" applyBorder="1" applyAlignment="1">
      <alignment horizontal="center"/>
    </xf>
    <xf numFmtId="2" fontId="0" fillId="0" borderId="0" xfId="0" applyNumberFormat="1"/>
    <xf numFmtId="10" fontId="0" fillId="0" borderId="0" xfId="0" applyNumberFormat="1"/>
    <xf numFmtId="43" fontId="0" fillId="0" borderId="0" xfId="1" applyFont="1"/>
    <xf numFmtId="10" fontId="0" fillId="0" borderId="0" xfId="2" applyNumberFormat="1" applyFont="1"/>
    <xf numFmtId="4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center" wrapText="1"/>
    </xf>
    <xf numFmtId="0" fontId="2" fillId="0" borderId="0" xfId="0" applyFont="1" applyAlignment="1">
      <alignment wrapText="1"/>
    </xf>
    <xf numFmtId="0" fontId="8" fillId="0" borderId="0" xfId="0" applyFont="1"/>
    <xf numFmtId="0" fontId="2" fillId="0" borderId="0" xfId="0" applyFont="1" applyAlignment="1">
      <alignment horizontal="left" vertical="center" wrapText="1"/>
    </xf>
    <xf numFmtId="0" fontId="1" fillId="2" borderId="0" xfId="0" applyFont="1" applyFill="1"/>
    <xf numFmtId="0" fontId="7" fillId="2" borderId="0" xfId="0" applyFont="1" applyFill="1"/>
    <xf numFmtId="0" fontId="0" fillId="5" borderId="0" xfId="0" applyFill="1"/>
    <xf numFmtId="0" fontId="9" fillId="5" borderId="2" xfId="0" applyFont="1" applyFill="1" applyBorder="1" applyAlignment="1">
      <alignment horizontal="center"/>
    </xf>
    <xf numFmtId="0" fontId="0" fillId="5" borderId="3" xfId="0" applyFill="1" applyBorder="1" applyAlignment="1">
      <alignment horizontal="center"/>
    </xf>
    <xf numFmtId="0" fontId="0" fillId="5" borderId="4" xfId="0" applyFill="1" applyBorder="1"/>
    <xf numFmtId="0" fontId="0" fillId="5" borderId="5" xfId="0" applyFill="1" applyBorder="1" applyAlignment="1">
      <alignment horizontal="center"/>
    </xf>
    <xf numFmtId="0" fontId="0" fillId="5" borderId="0" xfId="0" applyFill="1" applyBorder="1" applyAlignment="1">
      <alignment horizontal="center"/>
    </xf>
    <xf numFmtId="0" fontId="0" fillId="5" borderId="6" xfId="0" applyFill="1" applyBorder="1"/>
    <xf numFmtId="0" fontId="0" fillId="5" borderId="5" xfId="0" applyFill="1" applyBorder="1"/>
    <xf numFmtId="0" fontId="0" fillId="5" borderId="0" xfId="0" applyFill="1" applyBorder="1"/>
    <xf numFmtId="0" fontId="2" fillId="5" borderId="5" xfId="0" applyFont="1" applyFill="1" applyBorder="1" applyAlignment="1">
      <alignment horizontal="center"/>
    </xf>
    <xf numFmtId="0" fontId="2" fillId="5" borderId="0" xfId="0" applyFont="1" applyFill="1" applyBorder="1" applyAlignment="1">
      <alignment horizontal="center"/>
    </xf>
    <xf numFmtId="0" fontId="2" fillId="5" borderId="6" xfId="0" applyFont="1" applyFill="1" applyBorder="1" applyAlignment="1">
      <alignment horizontal="center"/>
    </xf>
    <xf numFmtId="0" fontId="0" fillId="5" borderId="8" xfId="0" applyFill="1" applyBorder="1" applyAlignment="1">
      <alignment horizontal="center"/>
    </xf>
    <xf numFmtId="10" fontId="10" fillId="5" borderId="7" xfId="0" applyNumberFormat="1" applyFont="1" applyFill="1" applyBorder="1" applyAlignment="1">
      <alignment horizontal="center"/>
    </xf>
    <xf numFmtId="2" fontId="10" fillId="5" borderId="7" xfId="0" applyNumberFormat="1" applyFont="1" applyFill="1" applyBorder="1" applyAlignment="1">
      <alignment horizontal="center"/>
    </xf>
    <xf numFmtId="0" fontId="0" fillId="5" borderId="9" xfId="0" applyFill="1" applyBorder="1" applyAlignment="1">
      <alignment horizontal="center"/>
    </xf>
    <xf numFmtId="177" fontId="10" fillId="5" borderId="7" xfId="0" applyNumberFormat="1" applyFont="1" applyFill="1" applyBorder="1" applyAlignment="1">
      <alignment horizontal="center"/>
    </xf>
    <xf numFmtId="0" fontId="2" fillId="5" borderId="0" xfId="0" applyFont="1" applyFill="1" applyAlignment="1">
      <alignment horizontal="center"/>
    </xf>
    <xf numFmtId="0" fontId="2" fillId="5" borderId="0" xfId="0" applyFont="1" applyFill="1"/>
    <xf numFmtId="3" fontId="10" fillId="5" borderId="7" xfId="1" applyNumberFormat="1" applyFont="1" applyFill="1" applyBorder="1" applyAlignment="1">
      <alignment horizontal="center"/>
    </xf>
    <xf numFmtId="180" fontId="2" fillId="5" borderId="0" xfId="0" applyNumberFormat="1" applyFont="1" applyFill="1"/>
    <xf numFmtId="181" fontId="2" fillId="5" borderId="0" xfId="0" applyNumberFormat="1" applyFont="1" applyFill="1"/>
    <xf numFmtId="180" fontId="11" fillId="5" borderId="0" xfId="1" applyNumberFormat="1" applyFont="1" applyFill="1"/>
    <xf numFmtId="0" fontId="12" fillId="0" borderId="0" xfId="0" applyFont="1" applyAlignment="1"/>
    <xf numFmtId="0" fontId="13" fillId="0" borderId="0" xfId="0" applyFont="1"/>
  </cellXfs>
  <cellStyles count="3">
    <cellStyle name="Comma" xfId="1" builtinId="3"/>
    <cellStyle name="Normal" xfId="0" builtinId="0"/>
    <cellStyle name="Percent" xfId="2" builtinId="5"/>
  </cellStyles>
  <dxfs count="16">
    <dxf>
      <fill>
        <patternFill>
          <bgColor rgb="FF06D6A0"/>
        </patternFill>
      </fill>
    </dxf>
    <dxf>
      <fill>
        <patternFill>
          <bgColor rgb="FFFFD60A"/>
        </patternFill>
      </fill>
    </dxf>
    <dxf>
      <fill>
        <patternFill>
          <bgColor rgb="FFC1121F"/>
        </patternFill>
      </fill>
    </dxf>
    <dxf>
      <fill>
        <patternFill>
          <bgColor rgb="FFFFD500"/>
        </patternFill>
      </fill>
    </dxf>
    <dxf>
      <fill>
        <patternFill>
          <bgColor rgb="FF06D6A0"/>
        </patternFill>
      </fill>
    </dxf>
    <dxf>
      <fill>
        <patternFill>
          <bgColor rgb="FFC1121F"/>
        </patternFill>
      </fill>
    </dxf>
    <dxf>
      <fill>
        <patternFill>
          <bgColor rgb="FFFFD60A"/>
        </patternFill>
      </fill>
    </dxf>
    <dxf>
      <fill>
        <patternFill>
          <bgColor rgb="FF06D6A0"/>
        </patternFill>
      </fill>
    </dxf>
    <dxf>
      <fill>
        <patternFill>
          <bgColor rgb="FFFFD60A"/>
        </patternFill>
      </fill>
    </dxf>
    <dxf>
      <fill>
        <patternFill>
          <bgColor rgb="FFC1121F"/>
        </patternFill>
      </fill>
    </dxf>
    <dxf>
      <fill>
        <patternFill>
          <bgColor rgb="FF06D6A0"/>
        </patternFill>
      </fill>
    </dxf>
    <dxf>
      <fill>
        <patternFill>
          <bgColor rgb="FFFFD60A"/>
        </patternFill>
      </fill>
    </dxf>
    <dxf>
      <font>
        <color rgb="FF9C0006"/>
      </font>
      <fill>
        <patternFill>
          <bgColor rgb="FFFFC7CE"/>
        </patternFill>
      </fill>
    </dxf>
    <dxf>
      <fill>
        <patternFill>
          <bgColor rgb="FFC1121F"/>
        </patternFill>
      </fill>
    </dxf>
    <dxf>
      <font>
        <b/>
        <i val="0"/>
        <color theme="1"/>
      </font>
      <fill>
        <patternFill>
          <bgColor rgb="FFFFFFFF"/>
        </patternFill>
      </fill>
    </dxf>
    <dxf>
      <font>
        <b val="0"/>
        <i val="0"/>
      </font>
      <fill>
        <patternFill>
          <bgColor rgb="FFC1121F"/>
        </patternFill>
      </fill>
    </dxf>
  </dxfs>
  <tableStyles count="0" defaultTableStyle="TableStyleMedium9" defaultPivotStyle="PivotStyleLight16"/>
  <colors>
    <mruColors>
      <color rgb="FFFFD500"/>
      <color rgb="FFC1121F"/>
      <color rgb="FFFFD60A"/>
      <color rgb="FFFFFFFF"/>
      <color rgb="FF06D6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[Inventory_Cost_and_Financial_Analysis_Anan.xlsx]Supplier_Risk_Pivot!PivotTable1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Shortage Value by Supplier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185067526415994E-16"/>
              <c:y val="-0.18012977544473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76597039953339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523E-3"/>
              <c:y val="-0.3521715514727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888888888888888E-2"/>
              <c:y val="-0.188381087780694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219881525226013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s>
    <c:plotArea>
      <c:layout>
        <c:manualLayout>
          <c:layoutTarget val="inner"/>
          <c:xMode val="edge"/>
          <c:yMode val="edge"/>
          <c:x val="0.19029046889198287"/>
          <c:y val="0.17171296296296298"/>
          <c:w val="0.7849447960906818"/>
          <c:h val="0.72088764946048411"/>
        </c:manualLayout>
      </c:layout>
      <c:barChart>
        <c:barDir val="col"/>
        <c:grouping val="stacked"/>
        <c:varyColors val="0"/>
        <c:ser>
          <c:idx val="0"/>
          <c:order val="0"/>
          <c:tx>
            <c:strRef>
              <c:f>Supplier_Risk_Pivot!$B$3</c:f>
              <c:strCache>
                <c:ptCount val="1"/>
                <c:pt idx="0">
                  <c:v>Total</c:v>
                </c:pt>
              </c:strCache>
            </c:strRef>
          </c:tx>
          <c:spPr>
            <a:solidFill>
              <a:schemeClr val="accent1"/>
            </a:solidFill>
            <a:ln>
              <a:noFill/>
            </a:ln>
            <a:effectLst/>
          </c:spPr>
          <c:invertIfNegative val="0"/>
          <c:dLbls>
            <c:dLbl>
              <c:idx val="0"/>
              <c:layout>
                <c:manualLayout>
                  <c:x val="2.7777777777777523E-3"/>
                  <c:y val="-0.35217155147273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7B-4CCF-A21E-5A45AC099F20}"/>
                </c:ext>
              </c:extLst>
            </c:dLbl>
            <c:dLbl>
              <c:idx val="1"/>
              <c:layout>
                <c:manualLayout>
                  <c:x val="0"/>
                  <c:y val="-0.276597039953339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7B-4CCF-A21E-5A45AC099F20}"/>
                </c:ext>
              </c:extLst>
            </c:dLbl>
            <c:dLbl>
              <c:idx val="2"/>
              <c:layout>
                <c:manualLayout>
                  <c:x val="-2.7777777777777779E-3"/>
                  <c:y val="-0.219881525226013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7B-4CCF-A21E-5A45AC099F20}"/>
                </c:ext>
              </c:extLst>
            </c:dLbl>
            <c:dLbl>
              <c:idx val="3"/>
              <c:layout>
                <c:manualLayout>
                  <c:x val="-1.0185067526415994E-16"/>
                  <c:y val="-0.180129775444736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7B-4CCF-A21E-5A45AC099F20}"/>
                </c:ext>
              </c:extLst>
            </c:dLbl>
            <c:dLbl>
              <c:idx val="4"/>
              <c:layout>
                <c:manualLayout>
                  <c:x val="1.3888888888888888E-2"/>
                  <c:y val="-0.188381087780694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7B-4CCF-A21E-5A45AC099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Supplier_Risk_Pivot!$A$4:$A$9</c:f>
              <c:strCache>
                <c:ptCount val="5"/>
                <c:pt idx="0">
                  <c:v>Delta</c:v>
                </c:pt>
                <c:pt idx="1">
                  <c:v>Nova</c:v>
                </c:pt>
                <c:pt idx="2">
                  <c:v>Alpha</c:v>
                </c:pt>
                <c:pt idx="3">
                  <c:v>Sigma</c:v>
                </c:pt>
                <c:pt idx="4">
                  <c:v>Beta</c:v>
                </c:pt>
              </c:strCache>
            </c:strRef>
          </c:cat>
          <c:val>
            <c:numRef>
              <c:f>Supplier_Risk_Pivot!$B$4:$B$9</c:f>
              <c:numCache>
                <c:formatCode>_(* #,##0.00_);_(* \(#,##0.00\);_(* "-"??_);_(@_)</c:formatCode>
                <c:ptCount val="5"/>
                <c:pt idx="0">
                  <c:v>271747505.55999994</c:v>
                </c:pt>
                <c:pt idx="1">
                  <c:v>253396764.2599999</c:v>
                </c:pt>
                <c:pt idx="2">
                  <c:v>240652274.84999987</c:v>
                </c:pt>
                <c:pt idx="3">
                  <c:v>228826775.05999997</c:v>
                </c:pt>
                <c:pt idx="4">
                  <c:v>228525067.13000003</c:v>
                </c:pt>
              </c:numCache>
            </c:numRef>
          </c:val>
          <c:extLst>
            <c:ext xmlns:c16="http://schemas.microsoft.com/office/drawing/2014/chart" uri="{C3380CC4-5D6E-409C-BE32-E72D297353CC}">
              <c16:uniqueId val="{00000000-BC7B-4CCF-A21E-5A45AC099F20}"/>
            </c:ext>
          </c:extLst>
        </c:ser>
        <c:dLbls>
          <c:dLblPos val="inEnd"/>
          <c:showLegendKey val="0"/>
          <c:showVal val="1"/>
          <c:showCatName val="0"/>
          <c:showSerName val="0"/>
          <c:showPercent val="0"/>
          <c:showBubbleSize val="0"/>
        </c:dLbls>
        <c:gapWidth val="150"/>
        <c:overlap val="100"/>
        <c:axId val="1102425856"/>
        <c:axId val="920907536"/>
      </c:barChart>
      <c:catAx>
        <c:axId val="11024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920907536"/>
        <c:crosses val="autoZero"/>
        <c:auto val="1"/>
        <c:lblAlgn val="ctr"/>
        <c:lblOffset val="100"/>
        <c:noMultiLvlLbl val="0"/>
      </c:catAx>
      <c:valAx>
        <c:axId val="9209075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10242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[Inventory_Cost_and_Financial_Analysis_Anan.xlsx]Shortage_Value_Pivot!PivotTable1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Shortage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5741E-3"/>
              <c:y val="-0.29349992709244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8798E-3"/>
              <c:y val="-0.316679425488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3333333333333332E-3"/>
              <c:y val="-0.33337160979877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0925337632079971E-17"/>
              <c:y val="-0.35230643044619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0555555555555555E-2"/>
              <c:y val="-0.35887941090696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Shortage_Value_Pivot!$B$3</c:f>
              <c:strCache>
                <c:ptCount val="1"/>
                <c:pt idx="0">
                  <c:v>Total</c:v>
                </c:pt>
              </c:strCache>
            </c:strRef>
          </c:tx>
          <c:spPr>
            <a:solidFill>
              <a:schemeClr val="accent1"/>
            </a:solidFill>
            <a:ln>
              <a:noFill/>
            </a:ln>
            <a:effectLst/>
          </c:spPr>
          <c:invertIfNegative val="0"/>
          <c:dLbls>
            <c:dLbl>
              <c:idx val="0"/>
              <c:layout>
                <c:manualLayout>
                  <c:x val="-3.0555555555555555E-2"/>
                  <c:y val="-0.358879410906969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F8-4060-BB38-51E8BD81C02C}"/>
                </c:ext>
              </c:extLst>
            </c:dLbl>
            <c:dLbl>
              <c:idx val="1"/>
              <c:layout>
                <c:manualLayout>
                  <c:x val="-5.0925337632079971E-17"/>
                  <c:y val="-0.352306430446194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F8-4060-BB38-51E8BD81C02C}"/>
                </c:ext>
              </c:extLst>
            </c:dLbl>
            <c:dLbl>
              <c:idx val="2"/>
              <c:layout>
                <c:manualLayout>
                  <c:x val="-8.3333333333333332E-3"/>
                  <c:y val="-0.33337160979877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F8-4060-BB38-51E8BD81C02C}"/>
                </c:ext>
              </c:extLst>
            </c:dLbl>
            <c:dLbl>
              <c:idx val="3"/>
              <c:layout>
                <c:manualLayout>
                  <c:x val="-2.7777777777778798E-3"/>
                  <c:y val="-0.31667942548848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F8-4060-BB38-51E8BD81C02C}"/>
                </c:ext>
              </c:extLst>
            </c:dLbl>
            <c:dLbl>
              <c:idx val="4"/>
              <c:layout>
                <c:manualLayout>
                  <c:x val="2.7777777777775741E-3"/>
                  <c:y val="-0.293499927092446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F8-4060-BB38-51E8BD81C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Shortage_Value_Pivot!$A$4:$A$9</c:f>
              <c:strCache>
                <c:ptCount val="5"/>
                <c:pt idx="0">
                  <c:v>Cooling</c:v>
                </c:pt>
                <c:pt idx="1">
                  <c:v>Memory</c:v>
                </c:pt>
                <c:pt idx="2">
                  <c:v>GPU</c:v>
                </c:pt>
                <c:pt idx="3">
                  <c:v>CPU</c:v>
                </c:pt>
                <c:pt idx="4">
                  <c:v>Board</c:v>
                </c:pt>
              </c:strCache>
            </c:strRef>
          </c:cat>
          <c:val>
            <c:numRef>
              <c:f>Shortage_Value_Pivot!$B$4:$B$9</c:f>
              <c:numCache>
                <c:formatCode>_(* #,##0.00_);_(* \(#,##0.00\);_(* "-"??_);_(@_)</c:formatCode>
                <c:ptCount val="5"/>
                <c:pt idx="0">
                  <c:v>267879799.96999973</c:v>
                </c:pt>
                <c:pt idx="1">
                  <c:v>266259678.0200001</c:v>
                </c:pt>
                <c:pt idx="2">
                  <c:v>242795356.64000008</c:v>
                </c:pt>
                <c:pt idx="3">
                  <c:v>228899990.45000011</c:v>
                </c:pt>
                <c:pt idx="4">
                  <c:v>217313561.77999991</c:v>
                </c:pt>
              </c:numCache>
            </c:numRef>
          </c:val>
          <c:extLst>
            <c:ext xmlns:c16="http://schemas.microsoft.com/office/drawing/2014/chart" uri="{C3380CC4-5D6E-409C-BE32-E72D297353CC}">
              <c16:uniqueId val="{00000000-C9F8-4060-BB38-51E8BD81C02C}"/>
            </c:ext>
          </c:extLst>
        </c:ser>
        <c:dLbls>
          <c:showLegendKey val="0"/>
          <c:showVal val="1"/>
          <c:showCatName val="0"/>
          <c:showSerName val="0"/>
          <c:showPercent val="0"/>
          <c:showBubbleSize val="0"/>
        </c:dLbls>
        <c:gapWidth val="150"/>
        <c:overlap val="100"/>
        <c:axId val="401598816"/>
        <c:axId val="920831216"/>
      </c:barChart>
      <c:catAx>
        <c:axId val="4015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920831216"/>
        <c:crosses val="autoZero"/>
        <c:auto val="1"/>
        <c:lblAlgn val="ctr"/>
        <c:lblOffset val="100"/>
        <c:noMultiLvlLbl val="0"/>
      </c:catAx>
      <c:valAx>
        <c:axId val="9208312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40159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[Inventory_Cost_and_Financial_Analysis_Anan.xlsx]COGS_Category_Pivot!PivotTable4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Budget vs Actual COGS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COGS_Category_Pivot!$B$3</c:f>
              <c:strCache>
                <c:ptCount val="1"/>
                <c:pt idx="0">
                  <c:v>Budget COGS</c:v>
                </c:pt>
              </c:strCache>
            </c:strRef>
          </c:tx>
          <c:spPr>
            <a:solidFill>
              <a:schemeClr val="accent1"/>
            </a:solidFill>
            <a:ln>
              <a:noFill/>
            </a:ln>
            <a:effectLst/>
          </c:spPr>
          <c:invertIfNegative val="0"/>
          <c:cat>
            <c:strRef>
              <c:f>COGS_Category_Pivot!$A$4:$A$9</c:f>
              <c:strCache>
                <c:ptCount val="5"/>
                <c:pt idx="0">
                  <c:v>Board</c:v>
                </c:pt>
                <c:pt idx="1">
                  <c:v>Cooling</c:v>
                </c:pt>
                <c:pt idx="2">
                  <c:v>CPU</c:v>
                </c:pt>
                <c:pt idx="3">
                  <c:v>GPU</c:v>
                </c:pt>
                <c:pt idx="4">
                  <c:v>Memory</c:v>
                </c:pt>
              </c:strCache>
            </c:strRef>
          </c:cat>
          <c:val>
            <c:numRef>
              <c:f>COGS_Category_Pivot!$B$4:$B$9</c:f>
              <c:numCache>
                <c:formatCode>_(* #,##0.00_);_(* \(#,##0.00\);_(* "-"??_);_(@_)</c:formatCode>
                <c:ptCount val="5"/>
                <c:pt idx="0">
                  <c:v>284931474.85000032</c:v>
                </c:pt>
                <c:pt idx="1">
                  <c:v>304085872.37</c:v>
                </c:pt>
                <c:pt idx="2">
                  <c:v>293470667.16000021</c:v>
                </c:pt>
                <c:pt idx="3">
                  <c:v>327432756.60999984</c:v>
                </c:pt>
                <c:pt idx="4">
                  <c:v>308411204.26999986</c:v>
                </c:pt>
              </c:numCache>
            </c:numRef>
          </c:val>
          <c:extLst>
            <c:ext xmlns:c16="http://schemas.microsoft.com/office/drawing/2014/chart" uri="{C3380CC4-5D6E-409C-BE32-E72D297353CC}">
              <c16:uniqueId val="{00000000-40BD-42F6-A1FA-D9DE9F070E8F}"/>
            </c:ext>
          </c:extLst>
        </c:ser>
        <c:ser>
          <c:idx val="1"/>
          <c:order val="1"/>
          <c:tx>
            <c:strRef>
              <c:f>COGS_Category_Pivot!$C$3</c:f>
              <c:strCache>
                <c:ptCount val="1"/>
                <c:pt idx="0">
                  <c:v>Actual COGS</c:v>
                </c:pt>
              </c:strCache>
            </c:strRef>
          </c:tx>
          <c:spPr>
            <a:solidFill>
              <a:schemeClr val="accent2"/>
            </a:solidFill>
            <a:ln>
              <a:noFill/>
            </a:ln>
            <a:effectLst/>
          </c:spPr>
          <c:invertIfNegative val="0"/>
          <c:cat>
            <c:strRef>
              <c:f>COGS_Category_Pivot!$A$4:$A$9</c:f>
              <c:strCache>
                <c:ptCount val="5"/>
                <c:pt idx="0">
                  <c:v>Board</c:v>
                </c:pt>
                <c:pt idx="1">
                  <c:v>Cooling</c:v>
                </c:pt>
                <c:pt idx="2">
                  <c:v>CPU</c:v>
                </c:pt>
                <c:pt idx="3">
                  <c:v>GPU</c:v>
                </c:pt>
                <c:pt idx="4">
                  <c:v>Memory</c:v>
                </c:pt>
              </c:strCache>
            </c:strRef>
          </c:cat>
          <c:val>
            <c:numRef>
              <c:f>COGS_Category_Pivot!$C$4:$C$9</c:f>
              <c:numCache>
                <c:formatCode>_(* #,##0.00_);_(* \(#,##0.00\);_(* "-"??_);_(@_)</c:formatCode>
                <c:ptCount val="5"/>
                <c:pt idx="0">
                  <c:v>297712574.7699998</c:v>
                </c:pt>
                <c:pt idx="1">
                  <c:v>322701936.25999987</c:v>
                </c:pt>
                <c:pt idx="2">
                  <c:v>308956536.06999969</c:v>
                </c:pt>
                <c:pt idx="3">
                  <c:v>346339674.85999995</c:v>
                </c:pt>
                <c:pt idx="4">
                  <c:v>324329414.96999985</c:v>
                </c:pt>
              </c:numCache>
            </c:numRef>
          </c:val>
          <c:extLst>
            <c:ext xmlns:c16="http://schemas.microsoft.com/office/drawing/2014/chart" uri="{C3380CC4-5D6E-409C-BE32-E72D297353CC}">
              <c16:uniqueId val="{00000001-40BD-42F6-A1FA-D9DE9F070E8F}"/>
            </c:ext>
          </c:extLst>
        </c:ser>
        <c:dLbls>
          <c:showLegendKey val="0"/>
          <c:showVal val="0"/>
          <c:showCatName val="0"/>
          <c:showSerName val="0"/>
          <c:showPercent val="0"/>
          <c:showBubbleSize val="0"/>
        </c:dLbls>
        <c:gapWidth val="219"/>
        <c:overlap val="-27"/>
        <c:axId val="1334270400"/>
        <c:axId val="241296208"/>
      </c:barChart>
      <c:catAx>
        <c:axId val="13342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241296208"/>
        <c:crosses val="autoZero"/>
        <c:auto val="1"/>
        <c:lblAlgn val="ctr"/>
        <c:lblOffset val="100"/>
        <c:noMultiLvlLbl val="0"/>
      </c:catAx>
      <c:valAx>
        <c:axId val="2412962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3342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[Inventory_Cost_and_Financial_Analysis_Anan.xlsx]Shortage_Value_Pivot!PivotTable1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Shortage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5741E-3"/>
              <c:y val="-0.29349992709244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8798E-3"/>
              <c:y val="-0.316679425488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3333333333333332E-3"/>
              <c:y val="-0.33337160979877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0925337632079971E-17"/>
              <c:y val="-0.35230643044619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0555555555555555E-2"/>
              <c:y val="-0.35887941090696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0555555555555555E-2"/>
              <c:y val="-0.35887941090696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0925337632079971E-17"/>
              <c:y val="-0.35230643044619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33337160979877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8798E-3"/>
              <c:y val="-0.316679425488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5741E-3"/>
              <c:y val="-0.29349992709244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0555555555555555E-2"/>
              <c:y val="-0.35887941090696995"/>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0925337632079971E-17"/>
              <c:y val="-0.35230643044619425"/>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3333333333333332E-3"/>
              <c:y val="-0.3333716097987751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8798E-3"/>
              <c:y val="-0.316679425488480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5741E-3"/>
              <c:y val="-0.2934999270924468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Shortage_Value_Pivot!$B$3</c:f>
              <c:strCache>
                <c:ptCount val="1"/>
                <c:pt idx="0">
                  <c:v>Total</c:v>
                </c:pt>
              </c:strCache>
            </c:strRef>
          </c:tx>
          <c:spPr>
            <a:solidFill>
              <a:schemeClr val="accent1"/>
            </a:solidFill>
            <a:ln>
              <a:noFill/>
            </a:ln>
            <a:effectLst/>
          </c:spPr>
          <c:invertIfNegative val="0"/>
          <c:dLbls>
            <c:dLbl>
              <c:idx val="0"/>
              <c:layout>
                <c:manualLayout>
                  <c:x val="-3.0555555555555555E-2"/>
                  <c:y val="-0.358879410906969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CF-4D80-A444-FE66A8098979}"/>
                </c:ext>
              </c:extLst>
            </c:dLbl>
            <c:dLbl>
              <c:idx val="1"/>
              <c:layout>
                <c:manualLayout>
                  <c:x val="-5.0925337632079971E-17"/>
                  <c:y val="-0.352306430446194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CF-4D80-A444-FE66A8098979}"/>
                </c:ext>
              </c:extLst>
            </c:dLbl>
            <c:dLbl>
              <c:idx val="2"/>
              <c:layout>
                <c:manualLayout>
                  <c:x val="-8.3333333333333332E-3"/>
                  <c:y val="-0.33337160979877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CF-4D80-A444-FE66A8098979}"/>
                </c:ext>
              </c:extLst>
            </c:dLbl>
            <c:dLbl>
              <c:idx val="3"/>
              <c:layout>
                <c:manualLayout>
                  <c:x val="-2.7777777777778798E-3"/>
                  <c:y val="-0.31667942548848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CF-4D80-A444-FE66A8098979}"/>
                </c:ext>
              </c:extLst>
            </c:dLbl>
            <c:dLbl>
              <c:idx val="4"/>
              <c:layout>
                <c:manualLayout>
                  <c:x val="2.7777777777775741E-3"/>
                  <c:y val="-0.293499927092446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CF-4D80-A444-FE66A8098979}"/>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Shortage_Value_Pivot!$A$4:$A$9</c:f>
              <c:strCache>
                <c:ptCount val="5"/>
                <c:pt idx="0">
                  <c:v>Cooling</c:v>
                </c:pt>
                <c:pt idx="1">
                  <c:v>Memory</c:v>
                </c:pt>
                <c:pt idx="2">
                  <c:v>GPU</c:v>
                </c:pt>
                <c:pt idx="3">
                  <c:v>CPU</c:v>
                </c:pt>
                <c:pt idx="4">
                  <c:v>Board</c:v>
                </c:pt>
              </c:strCache>
            </c:strRef>
          </c:cat>
          <c:val>
            <c:numRef>
              <c:f>Shortage_Value_Pivot!$B$4:$B$9</c:f>
              <c:numCache>
                <c:formatCode>_(* #,##0.00_);_(* \(#,##0.00\);_(* "-"??_);_(@_)</c:formatCode>
                <c:ptCount val="5"/>
                <c:pt idx="0">
                  <c:v>267879799.96999973</c:v>
                </c:pt>
                <c:pt idx="1">
                  <c:v>266259678.0200001</c:v>
                </c:pt>
                <c:pt idx="2">
                  <c:v>242795356.64000008</c:v>
                </c:pt>
                <c:pt idx="3">
                  <c:v>228899990.45000011</c:v>
                </c:pt>
                <c:pt idx="4">
                  <c:v>217313561.77999991</c:v>
                </c:pt>
              </c:numCache>
            </c:numRef>
          </c:val>
          <c:extLst>
            <c:ext xmlns:c16="http://schemas.microsoft.com/office/drawing/2014/chart" uri="{C3380CC4-5D6E-409C-BE32-E72D297353CC}">
              <c16:uniqueId val="{00000005-8BCF-4D80-A444-FE66A8098979}"/>
            </c:ext>
          </c:extLst>
        </c:ser>
        <c:dLbls>
          <c:showLegendKey val="0"/>
          <c:showVal val="1"/>
          <c:showCatName val="0"/>
          <c:showSerName val="0"/>
          <c:showPercent val="0"/>
          <c:showBubbleSize val="0"/>
        </c:dLbls>
        <c:gapWidth val="150"/>
        <c:overlap val="100"/>
        <c:axId val="401598816"/>
        <c:axId val="920831216"/>
      </c:barChart>
      <c:catAx>
        <c:axId val="4015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920831216"/>
        <c:crosses val="autoZero"/>
        <c:auto val="1"/>
        <c:lblAlgn val="ctr"/>
        <c:lblOffset val="100"/>
        <c:noMultiLvlLbl val="0"/>
      </c:catAx>
      <c:valAx>
        <c:axId val="92083121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40159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[Inventory_Cost_and_Financial_Analysis_Anan.xlsx]Supplier_Risk_Pivot!PivotTable1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Shortage Value by Supplier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185067526415994E-16"/>
              <c:y val="-0.18012977544473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76597039953339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523E-3"/>
              <c:y val="-0.3521715514727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888888888888888E-2"/>
              <c:y val="-0.188381087780694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219881525226013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7523E-3"/>
              <c:y val="-0.3521715514727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76597039953339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7777777777777779E-3"/>
              <c:y val="-0.219881525226013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185067526415994E-16"/>
              <c:y val="-0.18012977544473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3888888888888888E-2"/>
              <c:y val="-0.188381087780694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523E-3"/>
              <c:y val="-0.352171551472732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596190948580216E-17"/>
              <c:y val="-0.33678222513852435"/>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7472527472516278E-4"/>
              <c:y val="-0.3171037474482356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051297754447360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7.7838827838826721E-3"/>
              <c:y val="-0.2994921988918051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Supplier_Risk_Pivot!$B$3</c:f>
              <c:strCache>
                <c:ptCount val="1"/>
                <c:pt idx="0">
                  <c:v>Total</c:v>
                </c:pt>
              </c:strCache>
            </c:strRef>
          </c:tx>
          <c:spPr>
            <a:solidFill>
              <a:schemeClr val="accent1"/>
            </a:solidFill>
            <a:ln>
              <a:noFill/>
            </a:ln>
            <a:effectLst/>
          </c:spPr>
          <c:invertIfNegative val="0"/>
          <c:dLbls>
            <c:dLbl>
              <c:idx val="0"/>
              <c:layout>
                <c:manualLayout>
                  <c:x val="2.7777777777777523E-3"/>
                  <c:y val="-0.35217155147273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E-432F-9BD0-3E0850BBB638}"/>
                </c:ext>
              </c:extLst>
            </c:dLbl>
            <c:dLbl>
              <c:idx val="1"/>
              <c:layout>
                <c:manualLayout>
                  <c:x val="5.596190948580216E-17"/>
                  <c:y val="-0.336782225138524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E-432F-9BD0-3E0850BBB638}"/>
                </c:ext>
              </c:extLst>
            </c:dLbl>
            <c:dLbl>
              <c:idx val="2"/>
              <c:layout>
                <c:manualLayout>
                  <c:x val="2.7472527472516278E-4"/>
                  <c:y val="-0.317103747448235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E-432F-9BD0-3E0850BBB638}"/>
                </c:ext>
              </c:extLst>
            </c:dLbl>
            <c:dLbl>
              <c:idx val="3"/>
              <c:layout>
                <c:manualLayout>
                  <c:x val="0"/>
                  <c:y val="-0.305129775444736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E-432F-9BD0-3E0850BBB638}"/>
                </c:ext>
              </c:extLst>
            </c:dLbl>
            <c:dLbl>
              <c:idx val="4"/>
              <c:layout>
                <c:manualLayout>
                  <c:x val="7.7838827838826721E-3"/>
                  <c:y val="-0.29949219889180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E-432F-9BD0-3E0850BBB638}"/>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Supplier_Risk_Pivot!$A$4:$A$9</c:f>
              <c:strCache>
                <c:ptCount val="5"/>
                <c:pt idx="0">
                  <c:v>Delta</c:v>
                </c:pt>
                <c:pt idx="1">
                  <c:v>Nova</c:v>
                </c:pt>
                <c:pt idx="2">
                  <c:v>Alpha</c:v>
                </c:pt>
                <c:pt idx="3">
                  <c:v>Sigma</c:v>
                </c:pt>
                <c:pt idx="4">
                  <c:v>Beta</c:v>
                </c:pt>
              </c:strCache>
            </c:strRef>
          </c:cat>
          <c:val>
            <c:numRef>
              <c:f>Supplier_Risk_Pivot!$B$4:$B$9</c:f>
              <c:numCache>
                <c:formatCode>_(* #,##0.00_);_(* \(#,##0.00\);_(* "-"??_);_(@_)</c:formatCode>
                <c:ptCount val="5"/>
                <c:pt idx="0">
                  <c:v>271747505.55999994</c:v>
                </c:pt>
                <c:pt idx="1">
                  <c:v>253396764.2599999</c:v>
                </c:pt>
                <c:pt idx="2">
                  <c:v>240652274.84999987</c:v>
                </c:pt>
                <c:pt idx="3">
                  <c:v>228826775.05999997</c:v>
                </c:pt>
                <c:pt idx="4">
                  <c:v>228525067.13000003</c:v>
                </c:pt>
              </c:numCache>
            </c:numRef>
          </c:val>
          <c:extLst>
            <c:ext xmlns:c16="http://schemas.microsoft.com/office/drawing/2014/chart" uri="{C3380CC4-5D6E-409C-BE32-E72D297353CC}">
              <c16:uniqueId val="{00000005-194E-432F-9BD0-3E0850BBB638}"/>
            </c:ext>
          </c:extLst>
        </c:ser>
        <c:dLbls>
          <c:dLblPos val="inEnd"/>
          <c:showLegendKey val="0"/>
          <c:showVal val="1"/>
          <c:showCatName val="0"/>
          <c:showSerName val="0"/>
          <c:showPercent val="0"/>
          <c:showBubbleSize val="0"/>
        </c:dLbls>
        <c:gapWidth val="150"/>
        <c:overlap val="100"/>
        <c:axId val="1102425856"/>
        <c:axId val="920907536"/>
      </c:barChart>
      <c:catAx>
        <c:axId val="110242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920907536"/>
        <c:crosses val="autoZero"/>
        <c:auto val="1"/>
        <c:lblAlgn val="ctr"/>
        <c:lblOffset val="100"/>
        <c:noMultiLvlLbl val="0"/>
      </c:catAx>
      <c:valAx>
        <c:axId val="92090753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10242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[Inventory_Cost_and_Financial_Analysis_Anan.xlsx]COGS_Category_Pivot!PivotTable4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Budget vs Actual COGS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COGS_Category_Pivot!$B$3</c:f>
              <c:strCache>
                <c:ptCount val="1"/>
                <c:pt idx="0">
                  <c:v>Budget COGS</c:v>
                </c:pt>
              </c:strCache>
            </c:strRef>
          </c:tx>
          <c:spPr>
            <a:solidFill>
              <a:schemeClr val="accent1"/>
            </a:solidFill>
            <a:ln>
              <a:noFill/>
            </a:ln>
            <a:effectLst/>
          </c:spPr>
          <c:invertIfNegative val="0"/>
          <c:cat>
            <c:strRef>
              <c:f>COGS_Category_Pivot!$A$4:$A$9</c:f>
              <c:strCache>
                <c:ptCount val="5"/>
                <c:pt idx="0">
                  <c:v>Board</c:v>
                </c:pt>
                <c:pt idx="1">
                  <c:v>Cooling</c:v>
                </c:pt>
                <c:pt idx="2">
                  <c:v>CPU</c:v>
                </c:pt>
                <c:pt idx="3">
                  <c:v>GPU</c:v>
                </c:pt>
                <c:pt idx="4">
                  <c:v>Memory</c:v>
                </c:pt>
              </c:strCache>
            </c:strRef>
          </c:cat>
          <c:val>
            <c:numRef>
              <c:f>COGS_Category_Pivot!$B$4:$B$9</c:f>
              <c:numCache>
                <c:formatCode>_(* #,##0.00_);_(* \(#,##0.00\);_(* "-"??_);_(@_)</c:formatCode>
                <c:ptCount val="5"/>
                <c:pt idx="0">
                  <c:v>284931474.85000032</c:v>
                </c:pt>
                <c:pt idx="1">
                  <c:v>304085872.37</c:v>
                </c:pt>
                <c:pt idx="2">
                  <c:v>293470667.16000021</c:v>
                </c:pt>
                <c:pt idx="3">
                  <c:v>327432756.60999984</c:v>
                </c:pt>
                <c:pt idx="4">
                  <c:v>308411204.26999986</c:v>
                </c:pt>
              </c:numCache>
            </c:numRef>
          </c:val>
          <c:extLst>
            <c:ext xmlns:c16="http://schemas.microsoft.com/office/drawing/2014/chart" uri="{C3380CC4-5D6E-409C-BE32-E72D297353CC}">
              <c16:uniqueId val="{00000000-BCA7-4EEB-98AF-49423BF88853}"/>
            </c:ext>
          </c:extLst>
        </c:ser>
        <c:ser>
          <c:idx val="1"/>
          <c:order val="1"/>
          <c:tx>
            <c:strRef>
              <c:f>COGS_Category_Pivot!$C$3</c:f>
              <c:strCache>
                <c:ptCount val="1"/>
                <c:pt idx="0">
                  <c:v>Actual COGS</c:v>
                </c:pt>
              </c:strCache>
            </c:strRef>
          </c:tx>
          <c:spPr>
            <a:solidFill>
              <a:schemeClr val="accent2"/>
            </a:solidFill>
            <a:ln>
              <a:noFill/>
            </a:ln>
            <a:effectLst/>
          </c:spPr>
          <c:invertIfNegative val="0"/>
          <c:cat>
            <c:strRef>
              <c:f>COGS_Category_Pivot!$A$4:$A$9</c:f>
              <c:strCache>
                <c:ptCount val="5"/>
                <c:pt idx="0">
                  <c:v>Board</c:v>
                </c:pt>
                <c:pt idx="1">
                  <c:v>Cooling</c:v>
                </c:pt>
                <c:pt idx="2">
                  <c:v>CPU</c:v>
                </c:pt>
                <c:pt idx="3">
                  <c:v>GPU</c:v>
                </c:pt>
                <c:pt idx="4">
                  <c:v>Memory</c:v>
                </c:pt>
              </c:strCache>
            </c:strRef>
          </c:cat>
          <c:val>
            <c:numRef>
              <c:f>COGS_Category_Pivot!$C$4:$C$9</c:f>
              <c:numCache>
                <c:formatCode>_(* #,##0.00_);_(* \(#,##0.00\);_(* "-"??_);_(@_)</c:formatCode>
                <c:ptCount val="5"/>
                <c:pt idx="0">
                  <c:v>297712574.7699998</c:v>
                </c:pt>
                <c:pt idx="1">
                  <c:v>322701936.25999987</c:v>
                </c:pt>
                <c:pt idx="2">
                  <c:v>308956536.06999969</c:v>
                </c:pt>
                <c:pt idx="3">
                  <c:v>346339674.85999995</c:v>
                </c:pt>
                <c:pt idx="4">
                  <c:v>324329414.96999985</c:v>
                </c:pt>
              </c:numCache>
            </c:numRef>
          </c:val>
          <c:extLst>
            <c:ext xmlns:c16="http://schemas.microsoft.com/office/drawing/2014/chart" uri="{C3380CC4-5D6E-409C-BE32-E72D297353CC}">
              <c16:uniqueId val="{00000001-BCA7-4EEB-98AF-49423BF88853}"/>
            </c:ext>
          </c:extLst>
        </c:ser>
        <c:dLbls>
          <c:showLegendKey val="0"/>
          <c:showVal val="0"/>
          <c:showCatName val="0"/>
          <c:showSerName val="0"/>
          <c:showPercent val="0"/>
          <c:showBubbleSize val="0"/>
        </c:dLbls>
        <c:gapWidth val="219"/>
        <c:overlap val="-27"/>
        <c:axId val="1334270400"/>
        <c:axId val="241296208"/>
      </c:barChart>
      <c:catAx>
        <c:axId val="13342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241296208"/>
        <c:crosses val="autoZero"/>
        <c:auto val="1"/>
        <c:lblAlgn val="ctr"/>
        <c:lblOffset val="100"/>
        <c:noMultiLvlLbl val="0"/>
      </c:catAx>
      <c:valAx>
        <c:axId val="241296208"/>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3342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Actual COGS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lotArea>
      <c:layout/>
      <c:lineChart>
        <c:grouping val="standard"/>
        <c:varyColors val="0"/>
        <c:ser>
          <c:idx val="1"/>
          <c:order val="1"/>
          <c:tx>
            <c:strRef>
              <c:f>Budget_vs_Actual!$B$1</c:f>
              <c:strCache>
                <c:ptCount val="1"/>
                <c:pt idx="0">
                  <c:v>Budget_COGS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Budget_vs_Actual!$B$2:$B$13</c:f>
              <c:numCache>
                <c:formatCode>General</c:formatCode>
                <c:ptCount val="12"/>
                <c:pt idx="0">
                  <c:v>653502</c:v>
                </c:pt>
                <c:pt idx="1">
                  <c:v>454079</c:v>
                </c:pt>
                <c:pt idx="2">
                  <c:v>506173</c:v>
                </c:pt>
                <c:pt idx="3">
                  <c:v>533611</c:v>
                </c:pt>
                <c:pt idx="4">
                  <c:v>484313</c:v>
                </c:pt>
                <c:pt idx="5">
                  <c:v>515444</c:v>
                </c:pt>
                <c:pt idx="6">
                  <c:v>450256</c:v>
                </c:pt>
                <c:pt idx="7">
                  <c:v>403676</c:v>
                </c:pt>
                <c:pt idx="8">
                  <c:v>693525</c:v>
                </c:pt>
                <c:pt idx="9">
                  <c:v>521742</c:v>
                </c:pt>
                <c:pt idx="10">
                  <c:v>526769</c:v>
                </c:pt>
                <c:pt idx="11">
                  <c:v>618870</c:v>
                </c:pt>
              </c:numCache>
            </c:numRef>
          </c:val>
          <c:smooth val="0"/>
          <c:extLst>
            <c:ext xmlns:c16="http://schemas.microsoft.com/office/drawing/2014/chart" uri="{C3380CC4-5D6E-409C-BE32-E72D297353CC}">
              <c16:uniqueId val="{00000001-5835-4425-87D4-781C22327DBB}"/>
            </c:ext>
          </c:extLst>
        </c:ser>
        <c:ser>
          <c:idx val="2"/>
          <c:order val="2"/>
          <c:tx>
            <c:strRef>
              <c:f>Budget_vs_Actual!$C$1</c:f>
              <c:strCache>
                <c:ptCount val="1"/>
                <c:pt idx="0">
                  <c:v>Actual_COGS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Budget_vs_Actual!$C$2:$C$13</c:f>
              <c:numCache>
                <c:formatCode>General</c:formatCode>
                <c:ptCount val="12"/>
                <c:pt idx="0">
                  <c:v>634511</c:v>
                </c:pt>
                <c:pt idx="1">
                  <c:v>415822</c:v>
                </c:pt>
                <c:pt idx="2">
                  <c:v>572039</c:v>
                </c:pt>
                <c:pt idx="3">
                  <c:v>499549</c:v>
                </c:pt>
                <c:pt idx="4">
                  <c:v>538648</c:v>
                </c:pt>
                <c:pt idx="5">
                  <c:v>576276</c:v>
                </c:pt>
                <c:pt idx="6">
                  <c:v>437086</c:v>
                </c:pt>
                <c:pt idx="7">
                  <c:v>433247</c:v>
                </c:pt>
                <c:pt idx="8">
                  <c:v>721824</c:v>
                </c:pt>
                <c:pt idx="9">
                  <c:v>535065</c:v>
                </c:pt>
                <c:pt idx="10">
                  <c:v>518532</c:v>
                </c:pt>
                <c:pt idx="11">
                  <c:v>565680</c:v>
                </c:pt>
              </c:numCache>
            </c:numRef>
          </c:val>
          <c:smooth val="0"/>
          <c:extLst>
            <c:ext xmlns:c16="http://schemas.microsoft.com/office/drawing/2014/chart" uri="{C3380CC4-5D6E-409C-BE32-E72D297353CC}">
              <c16:uniqueId val="{00000002-5835-4425-87D4-781C22327DBB}"/>
            </c:ext>
          </c:extLst>
        </c:ser>
        <c:dLbls>
          <c:showLegendKey val="0"/>
          <c:showVal val="0"/>
          <c:showCatName val="0"/>
          <c:showSerName val="0"/>
          <c:showPercent val="0"/>
          <c:showBubbleSize val="0"/>
        </c:dLbls>
        <c:marker val="1"/>
        <c:smooth val="0"/>
        <c:axId val="875308576"/>
        <c:axId val="920922416"/>
        <c:extLst>
          <c:ext xmlns:c15="http://schemas.microsoft.com/office/drawing/2012/chart" uri="{02D57815-91ED-43cb-92C2-25804820EDAC}">
            <c15:filteredLineSeries>
              <c15:ser>
                <c:idx val="0"/>
                <c:order val="0"/>
                <c:tx>
                  <c:strRef>
                    <c:extLst>
                      <c:ext uri="{02D57815-91ED-43cb-92C2-25804820EDAC}">
                        <c15:formulaRef>
                          <c15:sqref>Budget_vs_Actual!$A$1</c15:sqref>
                        </c15:formulaRef>
                      </c:ext>
                    </c:extLst>
                    <c:strCache>
                      <c:ptCount val="1"/>
                      <c:pt idx="0">
                        <c:v>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extLst>
                      <c:ext uri="{02D57815-91ED-43cb-92C2-25804820EDAC}">
                        <c15:formulaRef>
                          <c15:sqref>Budget_vs_Actual!$A$2:$A$13</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5835-4425-87D4-781C22327DBB}"/>
                  </c:ext>
                </c:extLst>
              </c15:ser>
            </c15:filteredLineSeries>
          </c:ext>
        </c:extLst>
      </c:lineChart>
      <c:catAx>
        <c:axId val="875308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920922416"/>
        <c:crosses val="autoZero"/>
        <c:auto val="1"/>
        <c:lblAlgn val="ctr"/>
        <c:lblOffset val="100"/>
        <c:noMultiLvlLbl val="0"/>
      </c:catAx>
      <c:valAx>
        <c:axId val="92092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875308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Budget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lotArea>
      <c:layout/>
      <c:lineChart>
        <c:grouping val="standard"/>
        <c:varyColors val="0"/>
        <c:ser>
          <c:idx val="1"/>
          <c:order val="1"/>
          <c:tx>
            <c:strRef>
              <c:f>Budget_vs_Actual!$D$1</c:f>
              <c:strCache>
                <c:ptCount val="1"/>
                <c:pt idx="0">
                  <c:v>Budget_Inventory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Budget_vs_Actual!$D$2:$D$13</c:f>
              <c:numCache>
                <c:formatCode>General</c:formatCode>
                <c:ptCount val="12"/>
                <c:pt idx="0">
                  <c:v>1243759</c:v>
                </c:pt>
                <c:pt idx="1">
                  <c:v>1154689</c:v>
                </c:pt>
                <c:pt idx="2">
                  <c:v>1229753</c:v>
                </c:pt>
                <c:pt idx="3">
                  <c:v>1113956</c:v>
                </c:pt>
                <c:pt idx="4">
                  <c:v>1253816</c:v>
                </c:pt>
                <c:pt idx="5">
                  <c:v>1163970</c:v>
                </c:pt>
                <c:pt idx="6">
                  <c:v>1166065</c:v>
                </c:pt>
                <c:pt idx="7">
                  <c:v>1078882</c:v>
                </c:pt>
                <c:pt idx="8">
                  <c:v>1172394</c:v>
                </c:pt>
                <c:pt idx="9">
                  <c:v>1273220</c:v>
                </c:pt>
                <c:pt idx="10">
                  <c:v>1072610</c:v>
                </c:pt>
                <c:pt idx="11">
                  <c:v>1174568</c:v>
                </c:pt>
              </c:numCache>
            </c:numRef>
          </c:val>
          <c:smooth val="0"/>
          <c:extLst>
            <c:ext xmlns:c16="http://schemas.microsoft.com/office/drawing/2014/chart" uri="{C3380CC4-5D6E-409C-BE32-E72D297353CC}">
              <c16:uniqueId val="{00000001-97E4-45F9-A7D4-FD2C68F0FA9E}"/>
            </c:ext>
          </c:extLst>
        </c:ser>
        <c:ser>
          <c:idx val="2"/>
          <c:order val="2"/>
          <c:tx>
            <c:strRef>
              <c:f>Budget_vs_Actual!$E$1</c:f>
              <c:strCache>
                <c:ptCount val="1"/>
                <c:pt idx="0">
                  <c:v>Actual_Inventory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Budget_vs_Actual!$E$2:$E$13</c:f>
              <c:numCache>
                <c:formatCode>General</c:formatCode>
                <c:ptCount val="12"/>
                <c:pt idx="0">
                  <c:v>1458735</c:v>
                </c:pt>
                <c:pt idx="1">
                  <c:v>1344629</c:v>
                </c:pt>
                <c:pt idx="2">
                  <c:v>1225052</c:v>
                </c:pt>
                <c:pt idx="3">
                  <c:v>1297111</c:v>
                </c:pt>
                <c:pt idx="4">
                  <c:v>1458986</c:v>
                </c:pt>
                <c:pt idx="5">
                  <c:v>1284174</c:v>
                </c:pt>
                <c:pt idx="6">
                  <c:v>1206802</c:v>
                </c:pt>
                <c:pt idx="7">
                  <c:v>980357</c:v>
                </c:pt>
                <c:pt idx="8">
                  <c:v>1100403</c:v>
                </c:pt>
                <c:pt idx="9">
                  <c:v>1288926</c:v>
                </c:pt>
                <c:pt idx="10">
                  <c:v>1206382</c:v>
                </c:pt>
                <c:pt idx="11">
                  <c:v>1185717</c:v>
                </c:pt>
              </c:numCache>
            </c:numRef>
          </c:val>
          <c:smooth val="0"/>
          <c:extLst>
            <c:ext xmlns:c16="http://schemas.microsoft.com/office/drawing/2014/chart" uri="{C3380CC4-5D6E-409C-BE32-E72D297353CC}">
              <c16:uniqueId val="{00000002-97E4-45F9-A7D4-FD2C68F0FA9E}"/>
            </c:ext>
          </c:extLst>
        </c:ser>
        <c:dLbls>
          <c:showLegendKey val="0"/>
          <c:showVal val="0"/>
          <c:showCatName val="0"/>
          <c:showSerName val="0"/>
          <c:showPercent val="0"/>
          <c:showBubbleSize val="0"/>
        </c:dLbls>
        <c:marker val="1"/>
        <c:smooth val="0"/>
        <c:axId val="1122013888"/>
        <c:axId val="920813456"/>
        <c:extLst>
          <c:ext xmlns:c15="http://schemas.microsoft.com/office/drawing/2012/chart" uri="{02D57815-91ED-43cb-92C2-25804820EDAC}">
            <c15:filteredLineSeries>
              <c15:ser>
                <c:idx val="0"/>
                <c:order val="0"/>
                <c:tx>
                  <c:strRef>
                    <c:extLst>
                      <c:ext uri="{02D57815-91ED-43cb-92C2-25804820EDAC}">
                        <c15:formulaRef>
                          <c15:sqref>Budget_vs_Actual!$A$1</c15:sqref>
                        </c15:formulaRef>
                      </c:ext>
                    </c:extLst>
                    <c:strCache>
                      <c:ptCount val="1"/>
                      <c:pt idx="0">
                        <c:v>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extLst>
                      <c:ext uri="{02D57815-91ED-43cb-92C2-25804820EDAC}">
                        <c15:formulaRef>
                          <c15:sqref>Budget_vs_Actual!$A$2:$A$13</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97E4-45F9-A7D4-FD2C68F0FA9E}"/>
                  </c:ext>
                </c:extLst>
              </c15:ser>
            </c15:filteredLineSeries>
          </c:ext>
        </c:extLst>
      </c:lineChart>
      <c:catAx>
        <c:axId val="11220138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920813456"/>
        <c:crosses val="autoZero"/>
        <c:auto val="1"/>
        <c:lblAlgn val="ctr"/>
        <c:lblOffset val="100"/>
        <c:noMultiLvlLbl val="0"/>
      </c:catAx>
      <c:valAx>
        <c:axId val="92081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12201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548640</xdr:colOff>
      <xdr:row>0</xdr:row>
      <xdr:rowOff>179070</xdr:rowOff>
    </xdr:from>
    <xdr:to>
      <xdr:col>6</xdr:col>
      <xdr:colOff>1485900</xdr:colOff>
      <xdr:row>15</xdr:row>
      <xdr:rowOff>179070</xdr:rowOff>
    </xdr:to>
    <xdr:graphicFrame macro="">
      <xdr:nvGraphicFramePr>
        <xdr:cNvPr id="3" name="Chart 2">
          <a:extLst>
            <a:ext uri="{FF2B5EF4-FFF2-40B4-BE49-F238E27FC236}">
              <a16:creationId xmlns:a16="http://schemas.microsoft.com/office/drawing/2014/main" id="{0E264941-8147-AFB9-9B46-8D220AF4D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1066800</xdr:colOff>
      <xdr:row>2</xdr:row>
      <xdr:rowOff>11430</xdr:rowOff>
    </xdr:from>
    <xdr:to>
      <xdr:col>6</xdr:col>
      <xdr:colOff>7620</xdr:colOff>
      <xdr:row>17</xdr:row>
      <xdr:rowOff>11430</xdr:rowOff>
    </xdr:to>
    <xdr:graphicFrame macro="">
      <xdr:nvGraphicFramePr>
        <xdr:cNvPr id="3" name="Chart 2">
          <a:extLst>
            <a:ext uri="{FF2B5EF4-FFF2-40B4-BE49-F238E27FC236}">
              <a16:creationId xmlns:a16="http://schemas.microsoft.com/office/drawing/2014/main" id="{4D0755E7-EFDD-1B28-AF99-B34383684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1257300</xdr:colOff>
      <xdr:row>10</xdr:row>
      <xdr:rowOff>3810</xdr:rowOff>
    </xdr:from>
    <xdr:to>
      <xdr:col>7</xdr:col>
      <xdr:colOff>0</xdr:colOff>
      <xdr:row>25</xdr:row>
      <xdr:rowOff>3810</xdr:rowOff>
    </xdr:to>
    <xdr:graphicFrame macro="">
      <xdr:nvGraphicFramePr>
        <xdr:cNvPr id="2" name="Chart 1">
          <a:extLst>
            <a:ext uri="{FF2B5EF4-FFF2-40B4-BE49-F238E27FC236}">
              <a16:creationId xmlns:a16="http://schemas.microsoft.com/office/drawing/2014/main" id="{CC0DA256-67B0-2530-C379-048C3AA07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23</xdr:row>
      <xdr:rowOff>0</xdr:rowOff>
    </xdr:from>
    <xdr:to>
      <xdr:col>4</xdr:col>
      <xdr:colOff>640080</xdr:colOff>
      <xdr:row>37</xdr:row>
      <xdr:rowOff>167640</xdr:rowOff>
    </xdr:to>
    <xdr:graphicFrame macro="">
      <xdr:nvGraphicFramePr>
        <xdr:cNvPr id="4" name="Chart 3">
          <a:extLst>
            <a:ext uri="{FF2B5EF4-FFF2-40B4-BE49-F238E27FC236}">
              <a16:creationId xmlns:a16="http://schemas.microsoft.com/office/drawing/2014/main" id="{90F64282-BB3D-4B79-BB10-C39F74962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670560</xdr:colOff>
      <xdr:row>23</xdr:row>
      <xdr:rowOff>0</xdr:rowOff>
    </xdr:from>
    <xdr:to>
      <xdr:col>9</xdr:col>
      <xdr:colOff>53340</xdr:colOff>
      <xdr:row>38</xdr:row>
      <xdr:rowOff>0</xdr:rowOff>
    </xdr:to>
    <xdr:graphicFrame macro="">
      <xdr:nvGraphicFramePr>
        <xdr:cNvPr id="5" name="Chart 4">
          <a:extLst>
            <a:ext uri="{FF2B5EF4-FFF2-40B4-BE49-F238E27FC236}">
              <a16:creationId xmlns:a16="http://schemas.microsoft.com/office/drawing/2014/main" id="{1C1BC2BB-0063-4719-8EFF-31003B261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0</xdr:rowOff>
    </xdr:from>
    <xdr:to>
      <xdr:col>9</xdr:col>
      <xdr:colOff>53340</xdr:colOff>
      <xdr:row>22</xdr:row>
      <xdr:rowOff>167640</xdr:rowOff>
    </xdr:to>
    <xdr:graphicFrame macro="">
      <xdr:nvGraphicFramePr>
        <xdr:cNvPr id="6" name="Chart 5">
          <a:extLst>
            <a:ext uri="{FF2B5EF4-FFF2-40B4-BE49-F238E27FC236}">
              <a16:creationId xmlns:a16="http://schemas.microsoft.com/office/drawing/2014/main" id="{7B36AA5A-CA61-45B5-8681-EA52754E9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xdr:colOff>
      <xdr:row>14</xdr:row>
      <xdr:rowOff>3810</xdr:rowOff>
    </xdr:from>
    <xdr:to>
      <xdr:col>6</xdr:col>
      <xdr:colOff>815340</xdr:colOff>
      <xdr:row>29</xdr:row>
      <xdr:rowOff>3810</xdr:rowOff>
    </xdr:to>
    <xdr:graphicFrame macro="">
      <xdr:nvGraphicFramePr>
        <xdr:cNvPr id="2" name="Chart 1">
          <a:extLst>
            <a:ext uri="{FF2B5EF4-FFF2-40B4-BE49-F238E27FC236}">
              <a16:creationId xmlns:a16="http://schemas.microsoft.com/office/drawing/2014/main" id="{E6CF7F50-FB52-1C82-E595-9CD5EA90E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12</xdr:row>
      <xdr:rowOff>57150</xdr:rowOff>
    </xdr:from>
    <xdr:to>
      <xdr:col>11</xdr:col>
      <xdr:colOff>601980</xdr:colOff>
      <xdr:row>27</xdr:row>
      <xdr:rowOff>57150</xdr:rowOff>
    </xdr:to>
    <xdr:graphicFrame macro="">
      <xdr:nvGraphicFramePr>
        <xdr:cNvPr id="3" name="Chart 2">
          <a:extLst>
            <a:ext uri="{FF2B5EF4-FFF2-40B4-BE49-F238E27FC236}">
              <a16:creationId xmlns:a16="http://schemas.microsoft.com/office/drawing/2014/main" id="{139E4CE7-4A04-BA3D-9A25-9CCFC2822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invalid="1" refreshedBy="anan" refreshedDate="46269.773549074074" createdVersion="8" refreshedVersion="8" minRefreshableVersion="3" recordCount="3000" xr:uid="{7451BDBF-ADDD-49AC-BA26-57964AF28865}">
  <cacheSource type="worksheet">
    <worksheetSource ref="A1:W3001" sheet="Inventory"/>
  </cacheSource>
  <cacheFields count="23">
    <cacheField name="Date" numFmtId="0">
      <sharedItems/>
    </cacheField>
    <cacheField name="Product_ID" numFmtId="0">
      <sharedItems/>
    </cacheField>
    <cacheField name="Category" numFmtId="0">
      <sharedItems count="5">
        <s v="Cooling"/>
        <s v="CPU"/>
        <s v="GPU"/>
        <s v="Board"/>
        <s v="Memory"/>
      </sharedItems>
    </cacheField>
    <cacheField name="Supplier" numFmtId="0">
      <sharedItems/>
    </cacheField>
    <cacheField name="Qty_On_Hand" numFmtId="0">
      <sharedItems containsSemiMixedTypes="0" containsString="0" containsNumber="1" containsInteger="1" minValue="0" maxValue="4998"/>
    </cacheField>
    <cacheField name="Unit_Cost" numFmtId="0">
      <sharedItems containsSemiMixedTypes="0" containsString="0" containsNumber="1" minValue="9.9600000000000009" maxValue="595.91"/>
    </cacheField>
    <cacheField name="Std_Cost" numFmtId="0">
      <sharedItems containsSemiMixedTypes="0" containsString="0" containsNumber="1" minValue="10.119999999999999" maxValue="499.99"/>
    </cacheField>
    <cacheField name="Actual_Cost" numFmtId="0">
      <sharedItems containsSemiMixedTypes="0" containsString="0" containsNumber="1" minValue="9.9600000000000009" maxValue="595.91"/>
    </cacheField>
    <cacheField name="Monthly_Demand" numFmtId="0">
      <sharedItems containsSemiMixedTypes="0" containsString="0" containsNumber="1" containsInteger="1" minValue="50" maxValue="3997"/>
    </cacheField>
    <cacheField name="Lead_Time_Days" numFmtId="0">
      <sharedItems containsSemiMixedTypes="0" containsString="0" containsNumber="1" containsInteger="1" minValue="5" maxValue="90"/>
    </cacheField>
    <cacheField name="Demand_During_Lead_Time" numFmtId="2">
      <sharedItems containsSemiMixedTypes="0" containsString="0" containsNumber="1" minValue="13.333333333333332" maxValue="11940"/>
    </cacheField>
    <cacheField name="Stock_Risk" numFmtId="0">
      <sharedItems/>
    </cacheField>
    <cacheField name="Field13" caption="Field13" numFmtId="0">
      <sharedItems containsNonDate="0" containsString="0" containsBlank="1"/>
    </cacheField>
    <cacheField name="Total High Risk Products" numFmtId="0">
      <sharedItems containsString="0" containsBlank="1" containsNumber="1" containsInteger="1" minValue="879" maxValue="1604"/>
    </cacheField>
    <cacheField name="High_risk_rate" numFmtId="0">
      <sharedItems containsString="0" containsBlank="1" containsNumber="1" minValue="0.41209563994374121" maxValue="0.53466666666666662"/>
    </cacheField>
    <cacheField name="Shortage_Qty" numFmtId="43">
      <sharedItems containsSemiMixedTypes="0" containsString="0" containsNumber="1" containsInteger="1" minValue="0" maxValue="11292"/>
    </cacheField>
    <cacheField name="Total Shortage" numFmtId="0">
      <sharedItems containsString="0" containsBlank="1" containsNumber="1" containsInteger="1" minValue="2435680" maxValue="4760154"/>
    </cacheField>
    <cacheField name="Shortge_Value" numFmtId="43">
      <sharedItems containsSemiMixedTypes="0" containsString="0" containsNumber="1" minValue="0" maxValue="5000197.25"/>
    </cacheField>
    <cacheField name="Total Shortage Value" numFmtId="0">
      <sharedItems containsString="0" containsBlank="1" containsNumber="1" minValue="620807388.28999937" maxValue="1223148386.8599987"/>
    </cacheField>
    <cacheField name="Budget_COGS_Calculated" numFmtId="43">
      <sharedItems containsSemiMixedTypes="0" containsString="0" containsNumber="1" minValue="1292.5" maxValue="1905303.4200000002"/>
    </cacheField>
    <cacheField name="Actual_COGS_Calculated" numFmtId="43">
      <sharedItems containsSemiMixedTypes="0" containsString="0" containsNumber="1" minValue="1394.02" maxValue="2126191.7600000002"/>
    </cacheField>
    <cacheField name="COGS_Variance" numFmtId="43">
      <sharedItems containsSemiMixedTypes="0" containsString="0" containsNumber="1" minValue="-171542.75" maxValue="347621.45000000019"/>
    </cacheField>
    <cacheField name="COGS_Variance %" numFmtId="10">
      <sharedItems containsSemiMixedTypes="0" containsString="0" containsNumber="1" minValue="-9.996994891315239E-2" maxValue="0.199894275789155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invalid="1" refreshedBy="anan" refreshedDate="46269.773549421298" createdVersion="8" refreshedVersion="8" minRefreshableVersion="3" recordCount="3000" xr:uid="{174D4F7E-F059-4E0F-8BAE-FC71990E1BDA}">
  <cacheSource type="worksheet">
    <worksheetSource ref="A1:S3001" sheet="Inventory"/>
  </cacheSource>
  <cacheFields count="19">
    <cacheField name="Date" numFmtId="0">
      <sharedItems/>
    </cacheField>
    <cacheField name="Product_ID" numFmtId="0">
      <sharedItems/>
    </cacheField>
    <cacheField name="Category" numFmtId="0">
      <sharedItems count="5">
        <s v="Cooling"/>
        <s v="CPU"/>
        <s v="GPU"/>
        <s v="Board"/>
        <s v="Memory"/>
      </sharedItems>
    </cacheField>
    <cacheField name="Supplier" numFmtId="0">
      <sharedItems count="5">
        <s v="Beta"/>
        <s v="Delta"/>
        <s v="Nova"/>
        <s v="Sigma"/>
        <s v="Alpha"/>
      </sharedItems>
    </cacheField>
    <cacheField name="Qty_On_Hand" numFmtId="0">
      <sharedItems containsSemiMixedTypes="0" containsString="0" containsNumber="1" containsInteger="1" minValue="0" maxValue="4998"/>
    </cacheField>
    <cacheField name="Unit_Cost" numFmtId="0">
      <sharedItems containsSemiMixedTypes="0" containsString="0" containsNumber="1" minValue="9.9600000000000009" maxValue="595.91"/>
    </cacheField>
    <cacheField name="Std_Cost" numFmtId="0">
      <sharedItems containsSemiMixedTypes="0" containsString="0" containsNumber="1" minValue="10.119999999999999" maxValue="499.99"/>
    </cacheField>
    <cacheField name="Actual_Cost" numFmtId="0">
      <sharedItems containsSemiMixedTypes="0" containsString="0" containsNumber="1" minValue="9.9600000000000009" maxValue="595.91"/>
    </cacheField>
    <cacheField name="Monthly_Demand" numFmtId="0">
      <sharedItems containsSemiMixedTypes="0" containsString="0" containsNumber="1" containsInteger="1" minValue="50" maxValue="3997"/>
    </cacheField>
    <cacheField name="Lead_Time_Days" numFmtId="0">
      <sharedItems containsSemiMixedTypes="0" containsString="0" containsNumber="1" containsInteger="1" minValue="5" maxValue="90"/>
    </cacheField>
    <cacheField name="Demand_During_Lead_Time" numFmtId="2">
      <sharedItems containsSemiMixedTypes="0" containsString="0" containsNumber="1" minValue="13.333333333333332" maxValue="11940"/>
    </cacheField>
    <cacheField name="Stock_Risk" numFmtId="0">
      <sharedItems count="2">
        <s v="High Risk"/>
        <s v="Sufficuent Stock"/>
      </sharedItems>
    </cacheField>
    <cacheField name="Field13" caption="Field13" numFmtId="0">
      <sharedItems containsNonDate="0" containsString="0" containsBlank="1"/>
    </cacheField>
    <cacheField name="Total High Risk Products" numFmtId="0">
      <sharedItems containsString="0" containsBlank="1" containsNumber="1" containsInteger="1" minValue="879" maxValue="1604"/>
    </cacheField>
    <cacheField name="High_risk_rate" numFmtId="0">
      <sharedItems containsString="0" containsBlank="1" containsNumber="1" minValue="0.41209563994374121" maxValue="0.53466666666666662"/>
    </cacheField>
    <cacheField name="Shortage_Qty" numFmtId="43">
      <sharedItems containsSemiMixedTypes="0" containsString="0" containsNumber="1" containsInteger="1" minValue="0" maxValue="11292"/>
    </cacheField>
    <cacheField name="Total Shortage" numFmtId="0">
      <sharedItems containsString="0" containsBlank="1" containsNumber="1" containsInteger="1" minValue="2435680" maxValue="4760154"/>
    </cacheField>
    <cacheField name="Shortge_Value" numFmtId="43">
      <sharedItems containsSemiMixedTypes="0" containsString="0" containsNumber="1" minValue="0" maxValue="5000197.25"/>
    </cacheField>
    <cacheField name="Total Shortage Value" numFmtId="0">
      <sharedItems containsString="0" containsBlank="1" containsNumber="1" minValue="620807388.28999937" maxValue="1223148386.8599987"/>
    </cacheField>
  </cacheFields>
  <extLst>
    <ext xmlns:x14="http://schemas.microsoft.com/office/spreadsheetml/2009/9/main" uri="{725AE2AE-9491-48be-B2B4-4EB974FC3084}">
      <x14:pivotCacheDefinition/>
    </ext>
  </extLst>
</pivotCacheDefinition>
</file>

<file path=xl/pivotCache/pivotCacheRecords1.xml><?xml version="1.0" encoding="UTF-8" standalone="yes"?>

</file>

<file path=xl/pivotCache/pivotCacheRecords2.xml><?xml version="1.0" encoding="UTF-8" standalone="ye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CDC964-39F3-4404-BC58-C510A7E49012}"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9" firstHeaderRow="1" firstDataRow="1" firstDataCol="1"/>
  <pivotFields count="19">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 showAll="0"/>
    <pivotField showAll="0"/>
    <pivotField showAll="0"/>
    <pivotField showAll="0"/>
    <pivotField showAll="0"/>
    <pivotField numFmtId="43" showAll="0"/>
    <pivotField showAll="0"/>
    <pivotField dataField="1" numFmtId="43" showAll="0"/>
    <pivotField showAll="0"/>
  </pivotFields>
  <rowFields count="1">
    <field x="3"/>
  </rowFields>
  <rowItems count="6">
    <i>
      <x v="2"/>
    </i>
    <i>
      <x v="3"/>
    </i>
    <i>
      <x/>
    </i>
    <i>
      <x v="4"/>
    </i>
    <i>
      <x v="1"/>
    </i>
    <i t="grand">
      <x/>
    </i>
  </rowItems>
  <colItems count="1">
    <i/>
  </colItems>
  <dataFields count="1">
    <dataField name="Sum of Shortge_Value" fld="17" baseField="0" baseItem="0" numFmtId="43"/>
  </dataFields>
  <chartFormats count="14">
    <chartFormat chart="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3" count="1" selected="0">
            <x v="4"/>
          </reference>
        </references>
      </pivotArea>
    </chartFormat>
    <chartFormat chart="30" format="2">
      <pivotArea type="data" outline="0" fieldPosition="0">
        <references count="2">
          <reference field="4294967294" count="1" selected="0">
            <x v="0"/>
          </reference>
          <reference field="3" count="1" selected="0">
            <x v="3"/>
          </reference>
        </references>
      </pivotArea>
    </chartFormat>
    <chartFormat chart="30" format="3">
      <pivotArea type="data" outline="0" fieldPosition="0">
        <references count="2">
          <reference field="4294967294" count="1" selected="0">
            <x v="0"/>
          </reference>
          <reference field="3" count="1" selected="0">
            <x v="2"/>
          </reference>
        </references>
      </pivotArea>
    </chartFormat>
    <chartFormat chart="30" format="4">
      <pivotArea type="data" outline="0" fieldPosition="0">
        <references count="2">
          <reference field="4294967294" count="1" selected="0">
            <x v="0"/>
          </reference>
          <reference field="3" count="1" selected="0">
            <x v="1"/>
          </reference>
        </references>
      </pivotArea>
    </chartFormat>
    <chartFormat chart="30" format="5">
      <pivotArea type="data" outline="0" fieldPosition="0">
        <references count="2">
          <reference field="4294967294" count="1" selected="0">
            <x v="0"/>
          </reference>
          <reference field="3" count="1" selected="0">
            <x v="0"/>
          </reference>
        </references>
      </pivotArea>
    </chartFormat>
    <chartFormat chart="36" format="17" series="1">
      <pivotArea type="data" outline="0" fieldPosition="0">
        <references count="1">
          <reference field="4294967294" count="1" selected="0">
            <x v="0"/>
          </reference>
        </references>
      </pivotArea>
    </chartFormat>
    <chartFormat chart="36" format="18">
      <pivotArea type="data" outline="0" fieldPosition="0">
        <references count="2">
          <reference field="4294967294" count="1" selected="0">
            <x v="0"/>
          </reference>
          <reference field="3" count="1" selected="0">
            <x v="2"/>
          </reference>
        </references>
      </pivotArea>
    </chartFormat>
    <chartFormat chart="36" format="19">
      <pivotArea type="data" outline="0" fieldPosition="0">
        <references count="2">
          <reference field="4294967294" count="1" selected="0">
            <x v="0"/>
          </reference>
          <reference field="3" count="1" selected="0">
            <x v="3"/>
          </reference>
        </references>
      </pivotArea>
    </chartFormat>
    <chartFormat chart="36" format="20">
      <pivotArea type="data" outline="0" fieldPosition="0">
        <references count="2">
          <reference field="4294967294" count="1" selected="0">
            <x v="0"/>
          </reference>
          <reference field="3" count="1" selected="0">
            <x v="0"/>
          </reference>
        </references>
      </pivotArea>
    </chartFormat>
    <chartFormat chart="36" format="21">
      <pivotArea type="data" outline="0" fieldPosition="0">
        <references count="2">
          <reference field="4294967294" count="1" selected="0">
            <x v="0"/>
          </reference>
          <reference field="3" count="1" selected="0">
            <x v="4"/>
          </reference>
        </references>
      </pivotArea>
    </chartFormat>
    <chartFormat chart="36" format="2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D4C8AE-85E0-4414-9D2A-56D1C2A09509}"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9">
    <pivotField showAll="0"/>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showAll="0"/>
    <pivotField showAll="0"/>
    <pivotField showAll="0"/>
    <pivotField showAll="0"/>
    <pivotField numFmtId="43" showAll="0"/>
    <pivotField showAll="0"/>
    <pivotField dataField="1" numFmtId="43" showAll="0"/>
    <pivotField showAll="0"/>
  </pivotFields>
  <rowFields count="1">
    <field x="2"/>
  </rowFields>
  <rowItems count="6">
    <i>
      <x v="1"/>
    </i>
    <i>
      <x v="4"/>
    </i>
    <i>
      <x v="3"/>
    </i>
    <i>
      <x v="2"/>
    </i>
    <i>
      <x/>
    </i>
    <i t="grand">
      <x/>
    </i>
  </rowItems>
  <colItems count="1">
    <i/>
  </colItems>
  <dataFields count="1">
    <dataField name="Sum of Shortge_Value" fld="17" baseField="0" baseItem="0" numFmtId="43"/>
  </dataFields>
  <chartFormats count="1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2"/>
          </reference>
        </references>
      </pivotArea>
    </chartFormat>
    <chartFormat chart="18" format="3">
      <pivotArea type="data" outline="0" fieldPosition="0">
        <references count="2">
          <reference field="4294967294" count="1" selected="0">
            <x v="0"/>
          </reference>
          <reference field="2" count="1" selected="0">
            <x v="3"/>
          </reference>
        </references>
      </pivotArea>
    </chartFormat>
    <chartFormat chart="18" format="4">
      <pivotArea type="data" outline="0" fieldPosition="0">
        <references count="2">
          <reference field="4294967294" count="1" selected="0">
            <x v="0"/>
          </reference>
          <reference field="2" count="1" selected="0">
            <x v="4"/>
          </reference>
        </references>
      </pivotArea>
    </chartFormat>
    <chartFormat chart="18" format="5">
      <pivotArea type="data" outline="0" fieldPosition="0">
        <references count="2">
          <reference field="4294967294" count="1" selected="0">
            <x v="0"/>
          </reference>
          <reference field="2"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2" count="1" selected="0">
            <x v="1"/>
          </reference>
        </references>
      </pivotArea>
    </chartFormat>
    <chartFormat chart="21" format="14">
      <pivotArea type="data" outline="0" fieldPosition="0">
        <references count="2">
          <reference field="4294967294" count="1" selected="0">
            <x v="0"/>
          </reference>
          <reference field="2" count="1" selected="0">
            <x v="4"/>
          </reference>
        </references>
      </pivotArea>
    </chartFormat>
    <chartFormat chart="21" format="15">
      <pivotArea type="data" outline="0" fieldPosition="0">
        <references count="2">
          <reference field="4294967294" count="1" selected="0">
            <x v="0"/>
          </reference>
          <reference field="2" count="1" selected="0">
            <x v="3"/>
          </reference>
        </references>
      </pivotArea>
    </chartFormat>
    <chartFormat chart="21" format="16">
      <pivotArea type="data" outline="0" fieldPosition="0">
        <references count="2">
          <reference field="4294967294" count="1" selected="0">
            <x v="0"/>
          </reference>
          <reference field="2" count="1" selected="0">
            <x v="2"/>
          </reference>
        </references>
      </pivotArea>
    </chartFormat>
    <chartFormat chart="21" format="1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7996EA-032A-4023-9DD9-6D23344D9101}"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3" firstDataCol="1"/>
  <pivotFields count="19">
    <pivotField showAll="0"/>
    <pivotField dataField="1" showAll="0"/>
    <pivotField axis="axisRow" showAll="0" sortType="descending">
      <items count="6">
        <item x="3"/>
        <item x="0"/>
        <item x="1"/>
        <item x="2"/>
        <item x="4"/>
        <item t="default"/>
      </items>
      <autoSortScope>
        <pivotArea dataOnly="0" outline="0" fieldPosition="0">
          <references count="2">
            <reference field="4294967294" count="1" selected="0">
              <x v="1"/>
            </reference>
            <reference field="11" count="1" selected="0">
              <x v="0"/>
            </reference>
          </references>
        </pivotArea>
      </autoSortScope>
    </pivotField>
    <pivotField showAll="0"/>
    <pivotField showAll="0"/>
    <pivotField showAll="0"/>
    <pivotField showAll="0"/>
    <pivotField showAll="0"/>
    <pivotField showAll="0"/>
    <pivotField showAll="0"/>
    <pivotField numFmtId="2" showAll="0"/>
    <pivotField axis="axisCol" showAll="0">
      <items count="3">
        <item x="0"/>
        <item x="1"/>
        <item t="default"/>
      </items>
    </pivotField>
    <pivotField showAll="0"/>
    <pivotField showAll="0"/>
    <pivotField showAll="0"/>
    <pivotField numFmtId="43" showAll="0"/>
    <pivotField showAll="0"/>
    <pivotField numFmtId="43" showAll="0"/>
    <pivotField showAll="0"/>
  </pivotFields>
  <rowFields count="1">
    <field x="2"/>
  </rowFields>
  <rowItems count="6">
    <i>
      <x v="1"/>
    </i>
    <i>
      <x v="4"/>
    </i>
    <i>
      <x v="3"/>
    </i>
    <i>
      <x v="2"/>
    </i>
    <i>
      <x/>
    </i>
    <i t="grand">
      <x/>
    </i>
  </rowItems>
  <colFields count="2">
    <field x="11"/>
    <field x="-2"/>
  </colFields>
  <colItems count="6">
    <i>
      <x/>
      <x/>
    </i>
    <i r="1" i="1">
      <x v="1"/>
    </i>
    <i>
      <x v="1"/>
      <x/>
    </i>
    <i r="1" i="1">
      <x v="1"/>
    </i>
    <i t="grand">
      <x/>
    </i>
    <i t="grand" i="1">
      <x/>
    </i>
  </colItems>
  <dataFields count="2">
    <dataField name="Count of Product_ID" fld="1" subtotal="count" baseField="0" baseItem="0"/>
    <dataField name="Count of Product_ID2" fld="1" subtotal="count" showDataAs="percentOfRow"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0D17CA-AE69-4F6B-BD2E-3E65C505FDFA}"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23">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numFmtId="2" showAll="0"/>
    <pivotField showAll="0"/>
    <pivotField showAll="0"/>
    <pivotField showAll="0"/>
    <pivotField showAll="0"/>
    <pivotField numFmtId="43" showAll="0"/>
    <pivotField showAll="0"/>
    <pivotField numFmtId="43" showAll="0"/>
    <pivotField showAll="0"/>
    <pivotField dataField="1" numFmtId="43" showAll="0"/>
    <pivotField dataField="1" numFmtId="43" showAll="0"/>
    <pivotField numFmtId="43" showAll="0"/>
    <pivotField numFmtId="10" showAll="0"/>
  </pivotFields>
  <rowFields count="1">
    <field x="2"/>
  </rowFields>
  <rowItems count="6">
    <i>
      <x/>
    </i>
    <i>
      <x v="1"/>
    </i>
    <i>
      <x v="2"/>
    </i>
    <i>
      <x v="3"/>
    </i>
    <i>
      <x v="4"/>
    </i>
    <i t="grand">
      <x/>
    </i>
  </rowItems>
  <colFields count="1">
    <field x="-2"/>
  </colFields>
  <colItems count="2">
    <i>
      <x/>
    </i>
    <i i="1">
      <x v="1"/>
    </i>
  </colItems>
  <dataFields count="2">
    <dataField name="Budget COGS" fld="19" baseField="2" baseItem="0" numFmtId="43"/>
    <dataField name="Actual COGS" fld="20" baseField="2" baseItem="1" numFmtId="4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D738-C744-4650-BE43-9EF58D7FB4D2}">
  <dimension ref="A3:B9"/>
  <sheetViews>
    <sheetView workbookViewId="0">
      <selection activeCell="F20" sqref="F20"/>
    </sheetView>
  </sheetViews>
  <sheetFormatPr defaultRowHeight="14.4" x14ac:dyDescent="0.3"/>
  <cols>
    <col min="1" max="1" width="12.5546875" bestFit="1" customWidth="1"/>
    <col min="2" max="2" width="20" bestFit="1" customWidth="1"/>
    <col min="3" max="3" width="21" bestFit="1" customWidth="1"/>
    <col min="4" max="4" width="18.44140625" bestFit="1" customWidth="1"/>
    <col min="5" max="5" width="19.44140625" bestFit="1" customWidth="1"/>
    <col min="6" max="6" width="23.21875" bestFit="1" customWidth="1"/>
    <col min="7" max="7" width="24.21875" bestFit="1" customWidth="1"/>
  </cols>
  <sheetData>
    <row r="3" spans="1:2" x14ac:dyDescent="0.3">
      <c r="A3" s="22" t="s">
        <v>3524</v>
      </c>
      <c r="B3" t="s">
        <v>3533</v>
      </c>
    </row>
    <row r="4" spans="1:2" x14ac:dyDescent="0.3">
      <c r="A4" s="23" t="s">
        <v>17</v>
      </c>
      <c r="B4" s="21">
        <v>271747505.55999994</v>
      </c>
    </row>
    <row r="5" spans="1:2" x14ac:dyDescent="0.3">
      <c r="A5" s="23" t="s">
        <v>13</v>
      </c>
      <c r="B5" s="21">
        <v>253396764.2599999</v>
      </c>
    </row>
    <row r="6" spans="1:2" x14ac:dyDescent="0.3">
      <c r="A6" s="23" t="s">
        <v>26</v>
      </c>
      <c r="B6" s="21">
        <v>240652274.84999987</v>
      </c>
    </row>
    <row r="7" spans="1:2" x14ac:dyDescent="0.3">
      <c r="A7" s="23" t="s">
        <v>20</v>
      </c>
      <c r="B7" s="21">
        <v>228826775.05999997</v>
      </c>
    </row>
    <row r="8" spans="1:2" x14ac:dyDescent="0.3">
      <c r="A8" s="23" t="s">
        <v>69</v>
      </c>
      <c r="B8" s="21">
        <v>228525067.13000003</v>
      </c>
    </row>
    <row r="9" spans="1:2" x14ac:dyDescent="0.3">
      <c r="A9" s="23" t="s">
        <v>3525</v>
      </c>
      <c r="B9" s="21">
        <v>1223148386.8599997</v>
      </c>
    </row>
  </sheetData>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FCDB-C3B9-436B-984A-9D2BBFE180CE}">
  <dimension ref="A3:B9"/>
  <sheetViews>
    <sheetView workbookViewId="0">
      <selection activeCell="G14" sqref="G14"/>
    </sheetView>
  </sheetViews>
  <sheetFormatPr defaultRowHeight="14.4" x14ac:dyDescent="0.3"/>
  <cols>
    <col min="1" max="1" width="12.5546875" bestFit="1" customWidth="1"/>
    <col min="2" max="2" width="20" bestFit="1" customWidth="1"/>
    <col min="3" max="3" width="21" bestFit="1" customWidth="1"/>
    <col min="4" max="4" width="18.44140625" bestFit="1" customWidth="1"/>
    <col min="5" max="5" width="19.44140625" bestFit="1" customWidth="1"/>
    <col min="6" max="6" width="23.21875" bestFit="1" customWidth="1"/>
    <col min="7" max="7" width="24.21875" bestFit="1" customWidth="1"/>
  </cols>
  <sheetData>
    <row r="3" spans="1:2" x14ac:dyDescent="0.3">
      <c r="A3" s="22" t="s">
        <v>3524</v>
      </c>
      <c r="B3" t="s">
        <v>3533</v>
      </c>
    </row>
    <row r="4" spans="1:2" x14ac:dyDescent="0.3">
      <c r="A4" s="23" t="s">
        <v>12</v>
      </c>
      <c r="B4" s="21">
        <v>267879799.96999973</v>
      </c>
    </row>
    <row r="5" spans="1:2" x14ac:dyDescent="0.3">
      <c r="A5" s="23" t="s">
        <v>16</v>
      </c>
      <c r="B5" s="21">
        <v>266259678.0200001</v>
      </c>
    </row>
    <row r="6" spans="1:2" x14ac:dyDescent="0.3">
      <c r="A6" s="23" t="s">
        <v>23</v>
      </c>
      <c r="B6" s="21">
        <v>242795356.64000008</v>
      </c>
    </row>
    <row r="7" spans="1:2" x14ac:dyDescent="0.3">
      <c r="A7" s="23" t="s">
        <v>37</v>
      </c>
      <c r="B7" s="21">
        <v>228899990.45000011</v>
      </c>
    </row>
    <row r="8" spans="1:2" x14ac:dyDescent="0.3">
      <c r="A8" s="23" t="s">
        <v>50</v>
      </c>
      <c r="B8" s="21">
        <v>217313561.77999991</v>
      </c>
    </row>
    <row r="9" spans="1:2" x14ac:dyDescent="0.3">
      <c r="A9" s="23" t="s">
        <v>3525</v>
      </c>
      <c r="B9" s="21">
        <v>1223148386.8600001</v>
      </c>
    </row>
  </sheetData>
  <pageMargins left="0.7" right="0.7" top="0.75" bottom="0.75" header="0.3" footer="0.3"/>
  <pageSetup paperSize="9" orientation="portrait" horizontalDpi="0"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3838-3626-4693-A676-7125B68288F4}">
  <dimension ref="A3:G11"/>
  <sheetViews>
    <sheetView workbookViewId="0">
      <selection activeCell="D21" sqref="D21"/>
    </sheetView>
  </sheetViews>
  <sheetFormatPr defaultRowHeight="14.4" x14ac:dyDescent="0.3"/>
  <cols>
    <col min="1" max="1" width="12.5546875" bestFit="1" customWidth="1"/>
    <col min="2" max="2" width="18.44140625" bestFit="1" customWidth="1"/>
    <col min="3" max="3" width="19.44140625" bestFit="1" customWidth="1"/>
    <col min="4" max="4" width="18.44140625" bestFit="1" customWidth="1"/>
    <col min="5" max="5" width="19.44140625" bestFit="1" customWidth="1"/>
    <col min="6" max="6" width="23.21875" bestFit="1" customWidth="1"/>
    <col min="7" max="7" width="24.21875" bestFit="1" customWidth="1"/>
  </cols>
  <sheetData>
    <row r="3" spans="1:7" x14ac:dyDescent="0.3">
      <c r="B3" s="22" t="s">
        <v>3526</v>
      </c>
    </row>
    <row r="4" spans="1:7" x14ac:dyDescent="0.3">
      <c r="B4" t="s">
        <v>3527</v>
      </c>
      <c r="D4" t="s">
        <v>3528</v>
      </c>
      <c r="F4" t="s">
        <v>3530</v>
      </c>
      <c r="G4" t="s">
        <v>3531</v>
      </c>
    </row>
    <row r="5" spans="1:7" x14ac:dyDescent="0.3">
      <c r="A5" s="22" t="s">
        <v>3524</v>
      </c>
      <c r="B5" t="s">
        <v>3529</v>
      </c>
      <c r="C5" t="s">
        <v>3532</v>
      </c>
      <c r="D5" t="s">
        <v>3529</v>
      </c>
      <c r="E5" t="s">
        <v>3532</v>
      </c>
    </row>
    <row r="6" spans="1:7" x14ac:dyDescent="0.3">
      <c r="A6" s="23" t="s">
        <v>12</v>
      </c>
      <c r="B6" s="24">
        <v>353</v>
      </c>
      <c r="C6" s="18">
        <v>0.57027463651050081</v>
      </c>
      <c r="D6" s="24">
        <v>266</v>
      </c>
      <c r="E6" s="18">
        <v>0.42972536348949919</v>
      </c>
      <c r="F6" s="24">
        <v>619</v>
      </c>
      <c r="G6" s="18">
        <v>1</v>
      </c>
    </row>
    <row r="7" spans="1:7" x14ac:dyDescent="0.3">
      <c r="A7" s="23" t="s">
        <v>16</v>
      </c>
      <c r="B7" s="24">
        <v>322</v>
      </c>
      <c r="C7" s="18">
        <v>0.53223140495867771</v>
      </c>
      <c r="D7" s="24">
        <v>283</v>
      </c>
      <c r="E7" s="18">
        <v>0.46776859504132229</v>
      </c>
      <c r="F7" s="24">
        <v>605</v>
      </c>
      <c r="G7" s="18">
        <v>1</v>
      </c>
    </row>
    <row r="8" spans="1:7" x14ac:dyDescent="0.3">
      <c r="A8" s="23" t="s">
        <v>23</v>
      </c>
      <c r="B8" s="24">
        <v>321</v>
      </c>
      <c r="C8" s="18">
        <v>0.51359999999999995</v>
      </c>
      <c r="D8" s="24">
        <v>304</v>
      </c>
      <c r="E8" s="18">
        <v>0.4864</v>
      </c>
      <c r="F8" s="24">
        <v>625</v>
      </c>
      <c r="G8" s="18">
        <v>1</v>
      </c>
    </row>
    <row r="9" spans="1:7" x14ac:dyDescent="0.3">
      <c r="A9" s="23" t="s">
        <v>37</v>
      </c>
      <c r="B9" s="24">
        <v>318</v>
      </c>
      <c r="C9" s="18">
        <v>0.53716216216216217</v>
      </c>
      <c r="D9" s="24">
        <v>274</v>
      </c>
      <c r="E9" s="18">
        <v>0.46283783783783783</v>
      </c>
      <c r="F9" s="24">
        <v>592</v>
      </c>
      <c r="G9" s="18">
        <v>1</v>
      </c>
    </row>
    <row r="10" spans="1:7" x14ac:dyDescent="0.3">
      <c r="A10" s="23" t="s">
        <v>50</v>
      </c>
      <c r="B10" s="24">
        <v>290</v>
      </c>
      <c r="C10" s="18">
        <v>0.51878354203935595</v>
      </c>
      <c r="D10" s="24">
        <v>269</v>
      </c>
      <c r="E10" s="18">
        <v>0.481216457960644</v>
      </c>
      <c r="F10" s="24">
        <v>559</v>
      </c>
      <c r="G10" s="18">
        <v>1</v>
      </c>
    </row>
    <row r="11" spans="1:7" x14ac:dyDescent="0.3">
      <c r="A11" s="23" t="s">
        <v>3525</v>
      </c>
      <c r="B11" s="24">
        <v>1604</v>
      </c>
      <c r="C11" s="18">
        <v>0.53466666666666662</v>
      </c>
      <c r="D11" s="24">
        <v>1396</v>
      </c>
      <c r="E11" s="18">
        <v>0.46533333333333332</v>
      </c>
      <c r="F11" s="24">
        <v>3000</v>
      </c>
      <c r="G11" s="18">
        <v>1</v>
      </c>
    </row>
  </sheetData>
  <pageMargins left="0.7" right="0.7" top="0.75" bottom="0.75" header="0.3" footer="0.3"/>
  <pageSetup paperSize="9"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0ADA-3A38-4F49-AEE5-06C2D60713FC}">
  <dimension ref="A3:C9"/>
  <sheetViews>
    <sheetView workbookViewId="0">
      <selection activeCell="C5" sqref="C5"/>
    </sheetView>
  </sheetViews>
  <sheetFormatPr defaultRowHeight="14.4" x14ac:dyDescent="0.3"/>
  <cols>
    <col min="1" max="1" width="12.5546875" bestFit="1" customWidth="1"/>
    <col min="2" max="3" width="16.6640625" bestFit="1" customWidth="1"/>
  </cols>
  <sheetData>
    <row r="3" spans="1:3" x14ac:dyDescent="0.3">
      <c r="A3" s="22" t="s">
        <v>3524</v>
      </c>
      <c r="B3" t="s">
        <v>3585</v>
      </c>
      <c r="C3" t="s">
        <v>3586</v>
      </c>
    </row>
    <row r="4" spans="1:3" x14ac:dyDescent="0.3">
      <c r="A4" s="23" t="s">
        <v>50</v>
      </c>
      <c r="B4" s="21">
        <v>284931474.85000032</v>
      </c>
      <c r="C4" s="21">
        <v>297712574.7699998</v>
      </c>
    </row>
    <row r="5" spans="1:3" x14ac:dyDescent="0.3">
      <c r="A5" s="23" t="s">
        <v>12</v>
      </c>
      <c r="B5" s="21">
        <v>304085872.37</v>
      </c>
      <c r="C5" s="21">
        <v>322701936.25999987</v>
      </c>
    </row>
    <row r="6" spans="1:3" x14ac:dyDescent="0.3">
      <c r="A6" s="23" t="s">
        <v>37</v>
      </c>
      <c r="B6" s="21">
        <v>293470667.16000021</v>
      </c>
      <c r="C6" s="21">
        <v>308956536.06999969</v>
      </c>
    </row>
    <row r="7" spans="1:3" x14ac:dyDescent="0.3">
      <c r="A7" s="23" t="s">
        <v>23</v>
      </c>
      <c r="B7" s="21">
        <v>327432756.60999984</v>
      </c>
      <c r="C7" s="21">
        <v>346339674.85999995</v>
      </c>
    </row>
    <row r="8" spans="1:3" x14ac:dyDescent="0.3">
      <c r="A8" s="23" t="s">
        <v>16</v>
      </c>
      <c r="B8" s="21">
        <v>308411204.26999986</v>
      </c>
      <c r="C8" s="21">
        <v>324329414.96999985</v>
      </c>
    </row>
    <row r="9" spans="1:3" x14ac:dyDescent="0.3">
      <c r="A9" s="23" t="s">
        <v>3525</v>
      </c>
      <c r="B9" s="21">
        <v>1518331975.2600002</v>
      </c>
      <c r="C9" s="21">
        <v>1600040136.9299991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01"/>
  <sheetViews>
    <sheetView workbookViewId="0">
      <selection sqref="A1:W3001"/>
    </sheetView>
  </sheetViews>
  <sheetFormatPr defaultRowHeight="14.4" x14ac:dyDescent="0.3"/>
  <cols>
    <col min="1" max="1" width="10.33203125" bestFit="1" customWidth="1"/>
    <col min="2" max="2" width="11.6640625" customWidth="1"/>
    <col min="3" max="3" width="11.77734375" customWidth="1"/>
    <col min="5" max="5" width="14.88671875" customWidth="1"/>
    <col min="6" max="6" width="10.6640625" customWidth="1"/>
    <col min="7" max="7" width="10" customWidth="1"/>
    <col min="8" max="8" width="12.21875" customWidth="1"/>
    <col min="9" max="9" width="15.6640625" bestFit="1" customWidth="1"/>
    <col min="10" max="10" width="14.88671875" bestFit="1" customWidth="1"/>
    <col min="11" max="11" width="24.21875" bestFit="1" customWidth="1"/>
    <col min="12" max="12" width="14.21875" bestFit="1" customWidth="1"/>
    <col min="14" max="14" width="20.6640625" bestFit="1" customWidth="1"/>
    <col min="15" max="15" width="12.6640625" bestFit="1" customWidth="1"/>
    <col min="16" max="16" width="12.109375" bestFit="1" customWidth="1"/>
    <col min="17" max="17" width="13.5546875" bestFit="1" customWidth="1"/>
    <col min="18" max="18" width="12.77734375" bestFit="1" customWidth="1"/>
    <col min="19" max="19" width="18.109375" bestFit="1" customWidth="1"/>
    <col min="20" max="20" width="22.109375" bestFit="1" customWidth="1"/>
    <col min="21" max="21" width="21.5546875" bestFit="1" customWidth="1"/>
    <col min="22" max="22" width="13.77734375" bestFit="1" customWidth="1"/>
    <col min="23" max="23" width="15.6640625" bestFit="1" customWidth="1"/>
  </cols>
  <sheetData>
    <row r="1" spans="1:23" x14ac:dyDescent="0.3">
      <c r="A1" t="s">
        <v>0</v>
      </c>
      <c r="B1" t="s">
        <v>1</v>
      </c>
      <c r="C1" t="s">
        <v>2</v>
      </c>
      <c r="D1" t="s">
        <v>3</v>
      </c>
      <c r="E1" t="s">
        <v>4</v>
      </c>
      <c r="F1" t="s">
        <v>5</v>
      </c>
      <c r="G1" t="s">
        <v>6</v>
      </c>
      <c r="H1" t="s">
        <v>7</v>
      </c>
      <c r="I1" t="s">
        <v>8</v>
      </c>
      <c r="J1" t="s">
        <v>9</v>
      </c>
      <c r="K1" t="s">
        <v>3516</v>
      </c>
      <c r="L1" t="s">
        <v>3517</v>
      </c>
      <c r="N1" t="s">
        <v>3518</v>
      </c>
      <c r="O1" t="s">
        <v>3519</v>
      </c>
      <c r="P1" t="s">
        <v>3520</v>
      </c>
      <c r="Q1" t="s">
        <v>3521</v>
      </c>
      <c r="R1" t="s">
        <v>3522</v>
      </c>
      <c r="S1" t="s">
        <v>3523</v>
      </c>
      <c r="T1" t="s">
        <v>3572</v>
      </c>
      <c r="U1" t="s">
        <v>3573</v>
      </c>
      <c r="V1" t="s">
        <v>3574</v>
      </c>
      <c r="W1" t="s">
        <v>3575</v>
      </c>
    </row>
    <row r="2" spans="1:23" x14ac:dyDescent="0.3">
      <c r="A2" t="s">
        <v>909</v>
      </c>
      <c r="B2" t="s">
        <v>3107</v>
      </c>
      <c r="C2" t="s">
        <v>12</v>
      </c>
      <c r="D2" t="s">
        <v>69</v>
      </c>
      <c r="E2">
        <v>0</v>
      </c>
      <c r="F2">
        <v>404.82</v>
      </c>
      <c r="G2">
        <v>377.31</v>
      </c>
      <c r="H2">
        <v>404.82</v>
      </c>
      <c r="I2">
        <v>3473</v>
      </c>
      <c r="J2">
        <v>65</v>
      </c>
      <c r="K2" s="17">
        <f>(I2/30)*J2</f>
        <v>7524.833333333333</v>
      </c>
      <c r="L2" t="str">
        <f>IF(E2&lt;K2,"High Risk","Sufficuent Stock")</f>
        <v>High Risk</v>
      </c>
      <c r="N2" cm="1">
        <f t="array" ref="N2">SUMPRODUCT(--(E2:E3001&lt;K2:K3001))</f>
        <v>1604</v>
      </c>
      <c r="O2" s="20">
        <f>N2/COUNTA(B2:B3001)</f>
        <v>0.53466666666666662</v>
      </c>
      <c r="P2" s="19">
        <f>ROUNDUP(MAX(0,K2-E2),0)</f>
        <v>7525</v>
      </c>
      <c r="Q2" s="21">
        <f>SUM(P2:P3001)</f>
        <v>4760154</v>
      </c>
      <c r="R2" s="19">
        <f t="shared" ref="R2:R65" si="0">P2*H2</f>
        <v>3046270.5</v>
      </c>
      <c r="S2" s="21">
        <f>SUM(R2:R3001)</f>
        <v>1223148386.8599987</v>
      </c>
      <c r="T2" s="19">
        <f>I2*G2</f>
        <v>1310397.6300000001</v>
      </c>
      <c r="U2" s="19">
        <f>I2*H2</f>
        <v>1405939.8599999999</v>
      </c>
      <c r="V2" s="21">
        <f>U2-T2</f>
        <v>95542.229999999749</v>
      </c>
      <c r="W2" s="18">
        <f>IFERROR(V2/T2,0)</f>
        <v>7.2910869046672294E-2</v>
      </c>
    </row>
    <row r="3" spans="1:23" x14ac:dyDescent="0.3">
      <c r="A3" t="s">
        <v>65</v>
      </c>
      <c r="B3" t="s">
        <v>1820</v>
      </c>
      <c r="C3" t="s">
        <v>37</v>
      </c>
      <c r="D3" t="s">
        <v>17</v>
      </c>
      <c r="E3">
        <v>1</v>
      </c>
      <c r="F3">
        <v>312.38</v>
      </c>
      <c r="G3">
        <v>293.04000000000002</v>
      </c>
      <c r="H3">
        <v>312.38</v>
      </c>
      <c r="I3">
        <v>222</v>
      </c>
      <c r="J3">
        <v>20</v>
      </c>
      <c r="K3" s="17">
        <f t="shared" ref="K3:K66" si="1">(I3/30)*J3</f>
        <v>148</v>
      </c>
      <c r="L3" t="str">
        <f t="shared" ref="L3:L66" si="2">IF(E3&lt;K3,"High Risk","Sufficuent Stock")</f>
        <v>High Risk</v>
      </c>
      <c r="P3" s="19">
        <f t="shared" ref="P3:P66" si="3">ROUNDUP(MAX(0,K3-E3),0)</f>
        <v>147</v>
      </c>
      <c r="R3" s="19">
        <f t="shared" si="0"/>
        <v>45919.86</v>
      </c>
      <c r="T3" s="19">
        <f t="shared" ref="T3:T66" si="4">I3*G3</f>
        <v>65054.880000000005</v>
      </c>
      <c r="U3" s="19">
        <f t="shared" ref="U3:U66" si="5">I3*H3</f>
        <v>69348.36</v>
      </c>
      <c r="V3" s="21">
        <f t="shared" ref="V3:V66" si="6">U3-T3</f>
        <v>4293.4799999999959</v>
      </c>
      <c r="W3" s="18">
        <f t="shared" ref="W3:W66" si="7">IFERROR(V3/T3,0)</f>
        <v>6.5997815997815928E-2</v>
      </c>
    </row>
    <row r="4" spans="1:23" x14ac:dyDescent="0.3">
      <c r="A4" t="s">
        <v>151</v>
      </c>
      <c r="B4" t="s">
        <v>2612</v>
      </c>
      <c r="C4" t="s">
        <v>12</v>
      </c>
      <c r="D4" t="s">
        <v>13</v>
      </c>
      <c r="E4">
        <v>2</v>
      </c>
      <c r="F4">
        <v>426.73</v>
      </c>
      <c r="G4">
        <v>401.69</v>
      </c>
      <c r="H4">
        <v>426.73</v>
      </c>
      <c r="I4">
        <v>1248</v>
      </c>
      <c r="J4">
        <v>13</v>
      </c>
      <c r="K4" s="17">
        <f t="shared" si="1"/>
        <v>540.80000000000007</v>
      </c>
      <c r="L4" t="str">
        <f t="shared" si="2"/>
        <v>High Risk</v>
      </c>
      <c r="P4" s="19">
        <f t="shared" si="3"/>
        <v>539</v>
      </c>
      <c r="R4" s="19">
        <f t="shared" si="0"/>
        <v>230007.47</v>
      </c>
      <c r="T4" s="19">
        <f t="shared" si="4"/>
        <v>501309.12</v>
      </c>
      <c r="U4" s="19">
        <f t="shared" si="5"/>
        <v>532559.04</v>
      </c>
      <c r="V4" s="21">
        <f t="shared" si="6"/>
        <v>31249.920000000042</v>
      </c>
      <c r="W4" s="18">
        <f t="shared" si="7"/>
        <v>6.2336627747765772E-2</v>
      </c>
    </row>
    <row r="5" spans="1:23" x14ac:dyDescent="0.3">
      <c r="A5" t="s">
        <v>535</v>
      </c>
      <c r="B5" t="s">
        <v>1757</v>
      </c>
      <c r="C5" t="s">
        <v>12</v>
      </c>
      <c r="D5" t="s">
        <v>13</v>
      </c>
      <c r="E5">
        <v>2</v>
      </c>
      <c r="F5">
        <v>43.18</v>
      </c>
      <c r="G5">
        <v>41.67</v>
      </c>
      <c r="H5">
        <v>43.18</v>
      </c>
      <c r="I5">
        <v>3110</v>
      </c>
      <c r="J5">
        <v>68</v>
      </c>
      <c r="K5" s="17">
        <f t="shared" si="1"/>
        <v>7049.3333333333339</v>
      </c>
      <c r="L5" t="str">
        <f t="shared" si="2"/>
        <v>High Risk</v>
      </c>
      <c r="P5" s="19">
        <f t="shared" si="3"/>
        <v>7048</v>
      </c>
      <c r="R5" s="19">
        <f t="shared" si="0"/>
        <v>304332.64</v>
      </c>
      <c r="T5" s="19">
        <f t="shared" si="4"/>
        <v>129593.70000000001</v>
      </c>
      <c r="U5" s="19">
        <f t="shared" si="5"/>
        <v>134289.79999999999</v>
      </c>
      <c r="V5" s="21">
        <f t="shared" si="6"/>
        <v>4696.0999999999767</v>
      </c>
      <c r="W5" s="18">
        <f t="shared" si="7"/>
        <v>3.6237101031917261E-2</v>
      </c>
    </row>
    <row r="6" spans="1:23" x14ac:dyDescent="0.3">
      <c r="A6" t="s">
        <v>161</v>
      </c>
      <c r="B6" t="s">
        <v>162</v>
      </c>
      <c r="C6" t="s">
        <v>37</v>
      </c>
      <c r="D6" t="s">
        <v>17</v>
      </c>
      <c r="E6">
        <v>3</v>
      </c>
      <c r="F6">
        <v>138.87</v>
      </c>
      <c r="G6">
        <v>139.68</v>
      </c>
      <c r="H6">
        <v>138.87</v>
      </c>
      <c r="I6">
        <v>1170</v>
      </c>
      <c r="J6">
        <v>89</v>
      </c>
      <c r="K6" s="17">
        <f t="shared" si="1"/>
        <v>3471</v>
      </c>
      <c r="L6" t="str">
        <f t="shared" si="2"/>
        <v>High Risk</v>
      </c>
      <c r="P6" s="19">
        <f t="shared" si="3"/>
        <v>3468</v>
      </c>
      <c r="R6" s="19">
        <f t="shared" si="0"/>
        <v>481601.16000000003</v>
      </c>
      <c r="T6" s="19">
        <f t="shared" si="4"/>
        <v>163425.60000000001</v>
      </c>
      <c r="U6" s="19">
        <f t="shared" si="5"/>
        <v>162477.9</v>
      </c>
      <c r="V6" s="21">
        <f t="shared" si="6"/>
        <v>-947.70000000001164</v>
      </c>
      <c r="W6" s="18">
        <f t="shared" si="7"/>
        <v>-5.7989690721650198E-3</v>
      </c>
    </row>
    <row r="7" spans="1:23" x14ac:dyDescent="0.3">
      <c r="A7" t="s">
        <v>626</v>
      </c>
      <c r="B7" t="s">
        <v>2512</v>
      </c>
      <c r="C7" t="s">
        <v>23</v>
      </c>
      <c r="D7" t="s">
        <v>69</v>
      </c>
      <c r="E7">
        <v>6</v>
      </c>
      <c r="F7">
        <v>223.54</v>
      </c>
      <c r="G7">
        <v>240.42</v>
      </c>
      <c r="H7">
        <v>223.54</v>
      </c>
      <c r="I7">
        <v>316</v>
      </c>
      <c r="J7">
        <v>71</v>
      </c>
      <c r="K7" s="17">
        <f t="shared" si="1"/>
        <v>747.86666666666667</v>
      </c>
      <c r="L7" t="str">
        <f t="shared" si="2"/>
        <v>High Risk</v>
      </c>
      <c r="P7" s="19">
        <f t="shared" si="3"/>
        <v>742</v>
      </c>
      <c r="R7" s="19">
        <f t="shared" si="0"/>
        <v>165866.68</v>
      </c>
      <c r="T7" s="19">
        <f t="shared" si="4"/>
        <v>75972.72</v>
      </c>
      <c r="U7" s="19">
        <f t="shared" si="5"/>
        <v>70638.64</v>
      </c>
      <c r="V7" s="21">
        <f t="shared" si="6"/>
        <v>-5334.0800000000017</v>
      </c>
      <c r="W7" s="18">
        <f t="shared" si="7"/>
        <v>-7.021046501954914E-2</v>
      </c>
    </row>
    <row r="8" spans="1:23" x14ac:dyDescent="0.3">
      <c r="A8" t="s">
        <v>253</v>
      </c>
      <c r="B8" t="s">
        <v>931</v>
      </c>
      <c r="C8" t="s">
        <v>50</v>
      </c>
      <c r="D8" t="s">
        <v>17</v>
      </c>
      <c r="E8">
        <v>6</v>
      </c>
      <c r="F8">
        <v>407.54</v>
      </c>
      <c r="G8">
        <v>388.55</v>
      </c>
      <c r="H8">
        <v>407.54</v>
      </c>
      <c r="I8">
        <v>1505</v>
      </c>
      <c r="J8">
        <v>12</v>
      </c>
      <c r="K8" s="17">
        <f t="shared" si="1"/>
        <v>602</v>
      </c>
      <c r="L8" t="str">
        <f t="shared" si="2"/>
        <v>High Risk</v>
      </c>
      <c r="P8" s="19">
        <f t="shared" si="3"/>
        <v>596</v>
      </c>
      <c r="R8" s="19">
        <f t="shared" si="0"/>
        <v>242893.84000000003</v>
      </c>
      <c r="T8" s="19">
        <f t="shared" si="4"/>
        <v>584767.75</v>
      </c>
      <c r="U8" s="19">
        <f t="shared" si="5"/>
        <v>613347.70000000007</v>
      </c>
      <c r="V8" s="21">
        <f t="shared" si="6"/>
        <v>28579.95000000007</v>
      </c>
      <c r="W8" s="18">
        <f t="shared" si="7"/>
        <v>4.887401878780092E-2</v>
      </c>
    </row>
    <row r="9" spans="1:23" x14ac:dyDescent="0.3">
      <c r="A9" t="s">
        <v>759</v>
      </c>
      <c r="B9" t="s">
        <v>2188</v>
      </c>
      <c r="C9" t="s">
        <v>23</v>
      </c>
      <c r="D9" t="s">
        <v>20</v>
      </c>
      <c r="E9">
        <v>7</v>
      </c>
      <c r="F9">
        <v>443.34</v>
      </c>
      <c r="G9">
        <v>395.18</v>
      </c>
      <c r="H9">
        <v>443.34</v>
      </c>
      <c r="I9">
        <v>3164</v>
      </c>
      <c r="J9">
        <v>10</v>
      </c>
      <c r="K9" s="17">
        <f t="shared" si="1"/>
        <v>1054.6666666666667</v>
      </c>
      <c r="L9" t="str">
        <f t="shared" si="2"/>
        <v>High Risk</v>
      </c>
      <c r="P9" s="19">
        <f t="shared" si="3"/>
        <v>1048</v>
      </c>
      <c r="R9" s="19">
        <f t="shared" si="0"/>
        <v>464620.31999999995</v>
      </c>
      <c r="T9" s="19">
        <f t="shared" si="4"/>
        <v>1250349.52</v>
      </c>
      <c r="U9" s="19">
        <f t="shared" si="5"/>
        <v>1402727.76</v>
      </c>
      <c r="V9" s="21">
        <f t="shared" si="6"/>
        <v>152378.23999999999</v>
      </c>
      <c r="W9" s="18">
        <f t="shared" si="7"/>
        <v>0.1218685156131383</v>
      </c>
    </row>
    <row r="10" spans="1:23" x14ac:dyDescent="0.3">
      <c r="A10" t="s">
        <v>235</v>
      </c>
      <c r="B10" t="s">
        <v>893</v>
      </c>
      <c r="C10" t="s">
        <v>50</v>
      </c>
      <c r="D10" t="s">
        <v>17</v>
      </c>
      <c r="E10">
        <v>9</v>
      </c>
      <c r="F10">
        <v>468.93</v>
      </c>
      <c r="G10">
        <v>492.71</v>
      </c>
      <c r="H10">
        <v>468.93</v>
      </c>
      <c r="I10">
        <v>2885</v>
      </c>
      <c r="J10">
        <v>8</v>
      </c>
      <c r="K10" s="17">
        <f t="shared" si="1"/>
        <v>769.33333333333337</v>
      </c>
      <c r="L10" t="str">
        <f t="shared" si="2"/>
        <v>High Risk</v>
      </c>
      <c r="P10" s="19">
        <f t="shared" si="3"/>
        <v>761</v>
      </c>
      <c r="R10" s="19">
        <f t="shared" si="0"/>
        <v>356855.73</v>
      </c>
      <c r="T10" s="19">
        <f t="shared" si="4"/>
        <v>1421468.3499999999</v>
      </c>
      <c r="U10" s="19">
        <f t="shared" si="5"/>
        <v>1352863.05</v>
      </c>
      <c r="V10" s="21">
        <f t="shared" si="6"/>
        <v>-68605.299999999814</v>
      </c>
      <c r="W10" s="18">
        <f t="shared" si="7"/>
        <v>-4.8263684520305938E-2</v>
      </c>
    </row>
    <row r="11" spans="1:23" x14ac:dyDescent="0.3">
      <c r="A11" t="s">
        <v>216</v>
      </c>
      <c r="B11" t="s">
        <v>2165</v>
      </c>
      <c r="C11" t="s">
        <v>37</v>
      </c>
      <c r="D11" t="s">
        <v>13</v>
      </c>
      <c r="E11">
        <v>16</v>
      </c>
      <c r="F11">
        <v>285.57</v>
      </c>
      <c r="G11">
        <v>265.45999999999998</v>
      </c>
      <c r="H11">
        <v>285.57</v>
      </c>
      <c r="I11">
        <v>1139</v>
      </c>
      <c r="J11">
        <v>17</v>
      </c>
      <c r="K11" s="17">
        <f t="shared" si="1"/>
        <v>645.43333333333339</v>
      </c>
      <c r="L11" t="str">
        <f t="shared" si="2"/>
        <v>High Risk</v>
      </c>
      <c r="P11" s="19">
        <f t="shared" si="3"/>
        <v>630</v>
      </c>
      <c r="R11" s="19">
        <f t="shared" si="0"/>
        <v>179909.1</v>
      </c>
      <c r="T11" s="19">
        <f t="shared" si="4"/>
        <v>302358.94</v>
      </c>
      <c r="U11" s="19">
        <f t="shared" si="5"/>
        <v>325264.23</v>
      </c>
      <c r="V11" s="21">
        <f t="shared" si="6"/>
        <v>22905.289999999979</v>
      </c>
      <c r="W11" s="18">
        <f t="shared" si="7"/>
        <v>7.5755292699465016E-2</v>
      </c>
    </row>
    <row r="12" spans="1:23" x14ac:dyDescent="0.3">
      <c r="A12" t="s">
        <v>629</v>
      </c>
      <c r="B12" t="s">
        <v>892</v>
      </c>
      <c r="C12" t="s">
        <v>12</v>
      </c>
      <c r="D12" t="s">
        <v>69</v>
      </c>
      <c r="E12">
        <v>17</v>
      </c>
      <c r="F12">
        <v>485.99</v>
      </c>
      <c r="G12">
        <v>452.49</v>
      </c>
      <c r="H12">
        <v>485.99</v>
      </c>
      <c r="I12">
        <v>1784</v>
      </c>
      <c r="J12">
        <v>62</v>
      </c>
      <c r="K12" s="17">
        <f t="shared" si="1"/>
        <v>3686.9333333333334</v>
      </c>
      <c r="L12" t="str">
        <f t="shared" si="2"/>
        <v>High Risk</v>
      </c>
      <c r="P12" s="19">
        <f t="shared" si="3"/>
        <v>3670</v>
      </c>
      <c r="R12" s="19">
        <f t="shared" si="0"/>
        <v>1783583.3</v>
      </c>
      <c r="T12" s="19">
        <f t="shared" si="4"/>
        <v>807242.16</v>
      </c>
      <c r="U12" s="19">
        <f t="shared" si="5"/>
        <v>867006.16</v>
      </c>
      <c r="V12" s="21">
        <f t="shared" si="6"/>
        <v>59764</v>
      </c>
      <c r="W12" s="18">
        <f t="shared" si="7"/>
        <v>7.4034785299122635E-2</v>
      </c>
    </row>
    <row r="13" spans="1:23" x14ac:dyDescent="0.3">
      <c r="A13" t="s">
        <v>312</v>
      </c>
      <c r="B13" t="s">
        <v>2335</v>
      </c>
      <c r="C13" t="s">
        <v>12</v>
      </c>
      <c r="D13" t="s">
        <v>69</v>
      </c>
      <c r="E13">
        <v>17</v>
      </c>
      <c r="F13">
        <v>12.29</v>
      </c>
      <c r="G13">
        <v>12.49</v>
      </c>
      <c r="H13">
        <v>12.29</v>
      </c>
      <c r="I13">
        <v>1571</v>
      </c>
      <c r="J13">
        <v>6</v>
      </c>
      <c r="K13" s="17">
        <f t="shared" si="1"/>
        <v>314.2</v>
      </c>
      <c r="L13" t="str">
        <f t="shared" si="2"/>
        <v>High Risk</v>
      </c>
      <c r="P13" s="19">
        <f t="shared" si="3"/>
        <v>298</v>
      </c>
      <c r="R13" s="19">
        <f t="shared" si="0"/>
        <v>3662.4199999999996</v>
      </c>
      <c r="T13" s="19">
        <f t="shared" si="4"/>
        <v>19621.79</v>
      </c>
      <c r="U13" s="19">
        <f t="shared" si="5"/>
        <v>19307.59</v>
      </c>
      <c r="V13" s="21">
        <f t="shared" si="6"/>
        <v>-314.20000000000073</v>
      </c>
      <c r="W13" s="18">
        <f t="shared" si="7"/>
        <v>-1.6012810248198596E-2</v>
      </c>
    </row>
    <row r="14" spans="1:23" x14ac:dyDescent="0.3">
      <c r="A14" t="s">
        <v>38</v>
      </c>
      <c r="B14" t="s">
        <v>2846</v>
      </c>
      <c r="C14" t="s">
        <v>23</v>
      </c>
      <c r="D14" t="s">
        <v>26</v>
      </c>
      <c r="E14">
        <v>19</v>
      </c>
      <c r="F14">
        <v>234.29</v>
      </c>
      <c r="G14">
        <v>218.69</v>
      </c>
      <c r="H14">
        <v>234.29</v>
      </c>
      <c r="I14">
        <v>2498</v>
      </c>
      <c r="J14">
        <v>38</v>
      </c>
      <c r="K14" s="17">
        <f t="shared" si="1"/>
        <v>3164.1333333333332</v>
      </c>
      <c r="L14" t="str">
        <f t="shared" si="2"/>
        <v>High Risk</v>
      </c>
      <c r="P14" s="19">
        <f t="shared" si="3"/>
        <v>3146</v>
      </c>
      <c r="R14" s="19">
        <f t="shared" si="0"/>
        <v>737076.34</v>
      </c>
      <c r="T14" s="19">
        <f t="shared" si="4"/>
        <v>546287.62</v>
      </c>
      <c r="U14" s="19">
        <f t="shared" si="5"/>
        <v>585256.41999999993</v>
      </c>
      <c r="V14" s="21">
        <f t="shared" si="6"/>
        <v>38968.79999999993</v>
      </c>
      <c r="W14" s="18">
        <f t="shared" si="7"/>
        <v>7.1333851570716408E-2</v>
      </c>
    </row>
    <row r="15" spans="1:23" x14ac:dyDescent="0.3">
      <c r="A15" t="s">
        <v>427</v>
      </c>
      <c r="B15" t="s">
        <v>2661</v>
      </c>
      <c r="C15" t="s">
        <v>12</v>
      </c>
      <c r="D15" t="s">
        <v>20</v>
      </c>
      <c r="E15">
        <v>20</v>
      </c>
      <c r="F15">
        <v>459.13</v>
      </c>
      <c r="G15">
        <v>415.79</v>
      </c>
      <c r="H15">
        <v>459.13</v>
      </c>
      <c r="I15">
        <v>3529</v>
      </c>
      <c r="J15">
        <v>9</v>
      </c>
      <c r="K15" s="17">
        <f t="shared" si="1"/>
        <v>1058.7</v>
      </c>
      <c r="L15" t="str">
        <f t="shared" si="2"/>
        <v>High Risk</v>
      </c>
      <c r="P15" s="19">
        <f t="shared" si="3"/>
        <v>1039</v>
      </c>
      <c r="R15" s="19">
        <f t="shared" si="0"/>
        <v>477036.07</v>
      </c>
      <c r="T15" s="19">
        <f t="shared" si="4"/>
        <v>1467322.9100000001</v>
      </c>
      <c r="U15" s="19">
        <f t="shared" si="5"/>
        <v>1620269.77</v>
      </c>
      <c r="V15" s="21">
        <f t="shared" si="6"/>
        <v>152946.85999999987</v>
      </c>
      <c r="W15" s="18">
        <f t="shared" si="7"/>
        <v>0.10423531109454282</v>
      </c>
    </row>
    <row r="16" spans="1:23" x14ac:dyDescent="0.3">
      <c r="A16" t="s">
        <v>201</v>
      </c>
      <c r="B16" t="s">
        <v>1511</v>
      </c>
      <c r="C16" t="s">
        <v>50</v>
      </c>
      <c r="D16" t="s">
        <v>20</v>
      </c>
      <c r="E16">
        <v>20</v>
      </c>
      <c r="F16">
        <v>150.71</v>
      </c>
      <c r="G16">
        <v>143.01</v>
      </c>
      <c r="H16">
        <v>150.71</v>
      </c>
      <c r="I16">
        <v>1663</v>
      </c>
      <c r="J16">
        <v>89</v>
      </c>
      <c r="K16" s="17">
        <f t="shared" si="1"/>
        <v>4933.5666666666666</v>
      </c>
      <c r="L16" t="str">
        <f t="shared" si="2"/>
        <v>High Risk</v>
      </c>
      <c r="P16" s="19">
        <f t="shared" si="3"/>
        <v>4914</v>
      </c>
      <c r="R16" s="19">
        <f t="shared" si="0"/>
        <v>740588.94000000006</v>
      </c>
      <c r="T16" s="19">
        <f t="shared" si="4"/>
        <v>237825.62999999998</v>
      </c>
      <c r="U16" s="19">
        <f t="shared" si="5"/>
        <v>250630.73</v>
      </c>
      <c r="V16" s="21">
        <f t="shared" si="6"/>
        <v>12805.100000000035</v>
      </c>
      <c r="W16" s="18">
        <f t="shared" si="7"/>
        <v>5.3842388644150911E-2</v>
      </c>
    </row>
    <row r="17" spans="1:23" x14ac:dyDescent="0.3">
      <c r="A17" t="s">
        <v>51</v>
      </c>
      <c r="B17" t="s">
        <v>1144</v>
      </c>
      <c r="C17" t="s">
        <v>16</v>
      </c>
      <c r="D17" t="s">
        <v>69</v>
      </c>
      <c r="E17">
        <v>26</v>
      </c>
      <c r="F17">
        <v>386.49</v>
      </c>
      <c r="G17">
        <v>372.34</v>
      </c>
      <c r="H17">
        <v>386.49</v>
      </c>
      <c r="I17">
        <v>760</v>
      </c>
      <c r="J17">
        <v>43</v>
      </c>
      <c r="K17" s="17">
        <f t="shared" si="1"/>
        <v>1089.3333333333333</v>
      </c>
      <c r="L17" t="str">
        <f t="shared" si="2"/>
        <v>High Risk</v>
      </c>
      <c r="P17" s="19">
        <f t="shared" si="3"/>
        <v>1064</v>
      </c>
      <c r="R17" s="19">
        <f t="shared" si="0"/>
        <v>411225.36</v>
      </c>
      <c r="T17" s="19">
        <f t="shared" si="4"/>
        <v>282978.39999999997</v>
      </c>
      <c r="U17" s="19">
        <f t="shared" si="5"/>
        <v>293732.40000000002</v>
      </c>
      <c r="V17" s="21">
        <f t="shared" si="6"/>
        <v>10754.000000000058</v>
      </c>
      <c r="W17" s="18">
        <f t="shared" si="7"/>
        <v>3.8002900574743724E-2</v>
      </c>
    </row>
    <row r="18" spans="1:23" x14ac:dyDescent="0.3">
      <c r="A18" t="s">
        <v>209</v>
      </c>
      <c r="B18" t="s">
        <v>1978</v>
      </c>
      <c r="C18" t="s">
        <v>50</v>
      </c>
      <c r="D18" t="s">
        <v>20</v>
      </c>
      <c r="E18">
        <v>27</v>
      </c>
      <c r="F18">
        <v>467.98</v>
      </c>
      <c r="G18">
        <v>476.96</v>
      </c>
      <c r="H18">
        <v>467.98</v>
      </c>
      <c r="I18">
        <v>1160</v>
      </c>
      <c r="J18">
        <v>30</v>
      </c>
      <c r="K18" s="17">
        <f t="shared" si="1"/>
        <v>1160</v>
      </c>
      <c r="L18" t="str">
        <f t="shared" si="2"/>
        <v>High Risk</v>
      </c>
      <c r="P18" s="19">
        <f t="shared" si="3"/>
        <v>1133</v>
      </c>
      <c r="R18" s="19">
        <f t="shared" si="0"/>
        <v>530221.34</v>
      </c>
      <c r="T18" s="19">
        <f t="shared" si="4"/>
        <v>553273.59999999998</v>
      </c>
      <c r="U18" s="19">
        <f t="shared" si="5"/>
        <v>542856.80000000005</v>
      </c>
      <c r="V18" s="21">
        <f t="shared" si="6"/>
        <v>-10416.79999999993</v>
      </c>
      <c r="W18" s="18">
        <f t="shared" si="7"/>
        <v>-1.8827574639382633E-2</v>
      </c>
    </row>
    <row r="19" spans="1:23" x14ac:dyDescent="0.3">
      <c r="A19" t="s">
        <v>31</v>
      </c>
      <c r="B19" t="s">
        <v>2005</v>
      </c>
      <c r="C19" t="s">
        <v>12</v>
      </c>
      <c r="D19" t="s">
        <v>17</v>
      </c>
      <c r="E19">
        <v>30</v>
      </c>
      <c r="F19">
        <v>27.01</v>
      </c>
      <c r="G19">
        <v>23.52</v>
      </c>
      <c r="H19">
        <v>27.01</v>
      </c>
      <c r="I19">
        <v>109</v>
      </c>
      <c r="J19">
        <v>32</v>
      </c>
      <c r="K19" s="17">
        <f t="shared" si="1"/>
        <v>116.26666666666667</v>
      </c>
      <c r="L19" t="str">
        <f t="shared" si="2"/>
        <v>High Risk</v>
      </c>
      <c r="P19" s="19">
        <f t="shared" si="3"/>
        <v>87</v>
      </c>
      <c r="R19" s="19">
        <f t="shared" si="0"/>
        <v>2349.8700000000003</v>
      </c>
      <c r="T19" s="19">
        <f t="shared" si="4"/>
        <v>2563.6799999999998</v>
      </c>
      <c r="U19" s="19">
        <f t="shared" si="5"/>
        <v>2944.09</v>
      </c>
      <c r="V19" s="21">
        <f t="shared" si="6"/>
        <v>380.41000000000031</v>
      </c>
      <c r="W19" s="18">
        <f t="shared" si="7"/>
        <v>0.14838435374149672</v>
      </c>
    </row>
    <row r="20" spans="1:23" x14ac:dyDescent="0.3">
      <c r="A20" t="s">
        <v>231</v>
      </c>
      <c r="B20" t="s">
        <v>1271</v>
      </c>
      <c r="C20" t="s">
        <v>37</v>
      </c>
      <c r="D20" t="s">
        <v>20</v>
      </c>
      <c r="E20">
        <v>30</v>
      </c>
      <c r="F20">
        <v>143.5</v>
      </c>
      <c r="G20">
        <v>136.94</v>
      </c>
      <c r="H20">
        <v>143.5</v>
      </c>
      <c r="I20">
        <v>3301</v>
      </c>
      <c r="J20">
        <v>57</v>
      </c>
      <c r="K20" s="17">
        <f t="shared" si="1"/>
        <v>6271.9</v>
      </c>
      <c r="L20" t="str">
        <f t="shared" si="2"/>
        <v>High Risk</v>
      </c>
      <c r="P20" s="19">
        <f t="shared" si="3"/>
        <v>6242</v>
      </c>
      <c r="R20" s="19">
        <f t="shared" si="0"/>
        <v>895727</v>
      </c>
      <c r="T20" s="19">
        <f t="shared" si="4"/>
        <v>452038.94</v>
      </c>
      <c r="U20" s="19">
        <f t="shared" si="5"/>
        <v>473693.5</v>
      </c>
      <c r="V20" s="21">
        <f t="shared" si="6"/>
        <v>21654.559999999998</v>
      </c>
      <c r="W20" s="18">
        <f t="shared" si="7"/>
        <v>4.7904191616766463E-2</v>
      </c>
    </row>
    <row r="21" spans="1:23" x14ac:dyDescent="0.3">
      <c r="A21" t="s">
        <v>489</v>
      </c>
      <c r="B21" t="s">
        <v>1617</v>
      </c>
      <c r="C21" t="s">
        <v>12</v>
      </c>
      <c r="D21" t="s">
        <v>20</v>
      </c>
      <c r="E21">
        <v>33</v>
      </c>
      <c r="F21">
        <v>75.06</v>
      </c>
      <c r="G21">
        <v>67.180000000000007</v>
      </c>
      <c r="H21">
        <v>75.06</v>
      </c>
      <c r="I21">
        <v>2712</v>
      </c>
      <c r="J21">
        <v>38</v>
      </c>
      <c r="K21" s="17">
        <f t="shared" si="1"/>
        <v>3435.2000000000003</v>
      </c>
      <c r="L21" t="str">
        <f t="shared" si="2"/>
        <v>High Risk</v>
      </c>
      <c r="P21" s="19">
        <f t="shared" si="3"/>
        <v>3403</v>
      </c>
      <c r="R21" s="19">
        <f t="shared" si="0"/>
        <v>255429.18000000002</v>
      </c>
      <c r="T21" s="19">
        <f t="shared" si="4"/>
        <v>182192.16000000003</v>
      </c>
      <c r="U21" s="19">
        <f t="shared" si="5"/>
        <v>203562.72</v>
      </c>
      <c r="V21" s="21">
        <f t="shared" si="6"/>
        <v>21370.559999999969</v>
      </c>
      <c r="W21" s="18">
        <f t="shared" si="7"/>
        <v>0.11729681452813318</v>
      </c>
    </row>
    <row r="22" spans="1:23" x14ac:dyDescent="0.3">
      <c r="A22" t="s">
        <v>876</v>
      </c>
      <c r="B22" t="s">
        <v>877</v>
      </c>
      <c r="C22" t="s">
        <v>16</v>
      </c>
      <c r="D22" t="s">
        <v>20</v>
      </c>
      <c r="E22">
        <v>33</v>
      </c>
      <c r="F22">
        <v>374.03</v>
      </c>
      <c r="G22">
        <v>410.91</v>
      </c>
      <c r="H22">
        <v>374.03</v>
      </c>
      <c r="I22">
        <v>2313</v>
      </c>
      <c r="J22">
        <v>86</v>
      </c>
      <c r="K22" s="17">
        <f t="shared" si="1"/>
        <v>6630.5999999999995</v>
      </c>
      <c r="L22" t="str">
        <f t="shared" si="2"/>
        <v>High Risk</v>
      </c>
      <c r="P22" s="19">
        <f t="shared" si="3"/>
        <v>6598</v>
      </c>
      <c r="R22" s="19">
        <f t="shared" si="0"/>
        <v>2467849.94</v>
      </c>
      <c r="T22" s="19">
        <f t="shared" si="4"/>
        <v>950434.83000000007</v>
      </c>
      <c r="U22" s="19">
        <f t="shared" si="5"/>
        <v>865131.3899999999</v>
      </c>
      <c r="V22" s="21">
        <f t="shared" si="6"/>
        <v>-85303.440000000177</v>
      </c>
      <c r="W22" s="18">
        <f t="shared" si="7"/>
        <v>-8.9752013822978441E-2</v>
      </c>
    </row>
    <row r="23" spans="1:23" x14ac:dyDescent="0.3">
      <c r="A23" t="s">
        <v>1240</v>
      </c>
      <c r="B23" t="s">
        <v>1421</v>
      </c>
      <c r="C23" t="s">
        <v>50</v>
      </c>
      <c r="D23" t="s">
        <v>17</v>
      </c>
      <c r="E23">
        <v>35</v>
      </c>
      <c r="F23">
        <v>245.07</v>
      </c>
      <c r="G23">
        <v>217.98</v>
      </c>
      <c r="H23">
        <v>245.07</v>
      </c>
      <c r="I23">
        <v>1480</v>
      </c>
      <c r="J23">
        <v>15</v>
      </c>
      <c r="K23" s="17">
        <f t="shared" si="1"/>
        <v>740</v>
      </c>
      <c r="L23" t="str">
        <f t="shared" si="2"/>
        <v>High Risk</v>
      </c>
      <c r="P23" s="19">
        <f t="shared" si="3"/>
        <v>705</v>
      </c>
      <c r="R23" s="19">
        <f t="shared" si="0"/>
        <v>172774.35</v>
      </c>
      <c r="T23" s="19">
        <f t="shared" si="4"/>
        <v>322610.39999999997</v>
      </c>
      <c r="U23" s="19">
        <f t="shared" si="5"/>
        <v>362703.6</v>
      </c>
      <c r="V23" s="21">
        <f t="shared" si="6"/>
        <v>40093.200000000012</v>
      </c>
      <c r="W23" s="18">
        <f t="shared" si="7"/>
        <v>0.12427745664739889</v>
      </c>
    </row>
    <row r="24" spans="1:23" x14ac:dyDescent="0.3">
      <c r="A24" t="s">
        <v>10</v>
      </c>
      <c r="B24" t="s">
        <v>11</v>
      </c>
      <c r="C24" t="s">
        <v>12</v>
      </c>
      <c r="D24" t="s">
        <v>13</v>
      </c>
      <c r="E24">
        <v>37</v>
      </c>
      <c r="F24">
        <v>283.87</v>
      </c>
      <c r="G24">
        <v>247.34</v>
      </c>
      <c r="H24">
        <v>283.87</v>
      </c>
      <c r="I24">
        <v>887</v>
      </c>
      <c r="J24">
        <v>89</v>
      </c>
      <c r="K24" s="17">
        <f t="shared" si="1"/>
        <v>2631.4333333333334</v>
      </c>
      <c r="L24" t="str">
        <f t="shared" si="2"/>
        <v>High Risk</v>
      </c>
      <c r="P24" s="19">
        <f t="shared" si="3"/>
        <v>2595</v>
      </c>
      <c r="R24" s="19">
        <f t="shared" si="0"/>
        <v>736642.65</v>
      </c>
      <c r="T24" s="19">
        <f t="shared" si="4"/>
        <v>219390.58000000002</v>
      </c>
      <c r="U24" s="19">
        <f t="shared" si="5"/>
        <v>251792.69</v>
      </c>
      <c r="V24" s="21">
        <f t="shared" si="6"/>
        <v>32402.109999999986</v>
      </c>
      <c r="W24" s="18">
        <f t="shared" si="7"/>
        <v>0.14769143688849351</v>
      </c>
    </row>
    <row r="25" spans="1:23" x14ac:dyDescent="0.3">
      <c r="A25" t="s">
        <v>438</v>
      </c>
      <c r="B25" t="s">
        <v>439</v>
      </c>
      <c r="C25" t="s">
        <v>12</v>
      </c>
      <c r="D25" t="s">
        <v>13</v>
      </c>
      <c r="E25">
        <v>37</v>
      </c>
      <c r="F25">
        <v>163.28</v>
      </c>
      <c r="G25">
        <v>156.16</v>
      </c>
      <c r="H25">
        <v>163.28</v>
      </c>
      <c r="I25">
        <v>2050</v>
      </c>
      <c r="J25">
        <v>88</v>
      </c>
      <c r="K25" s="17">
        <f t="shared" si="1"/>
        <v>6013.333333333333</v>
      </c>
      <c r="L25" t="str">
        <f t="shared" si="2"/>
        <v>High Risk</v>
      </c>
      <c r="P25" s="19">
        <f t="shared" si="3"/>
        <v>5977</v>
      </c>
      <c r="R25" s="19">
        <f t="shared" si="0"/>
        <v>975924.56</v>
      </c>
      <c r="T25" s="19">
        <f t="shared" si="4"/>
        <v>320128</v>
      </c>
      <c r="U25" s="19">
        <f t="shared" si="5"/>
        <v>334724</v>
      </c>
      <c r="V25" s="21">
        <f t="shared" si="6"/>
        <v>14596</v>
      </c>
      <c r="W25" s="18">
        <f t="shared" si="7"/>
        <v>4.5594262295081969E-2</v>
      </c>
    </row>
    <row r="26" spans="1:23" x14ac:dyDescent="0.3">
      <c r="A26" t="s">
        <v>33</v>
      </c>
      <c r="B26" t="s">
        <v>2881</v>
      </c>
      <c r="C26" t="s">
        <v>37</v>
      </c>
      <c r="D26" t="s">
        <v>17</v>
      </c>
      <c r="E26">
        <v>38</v>
      </c>
      <c r="F26">
        <v>122.31</v>
      </c>
      <c r="G26">
        <v>116.17</v>
      </c>
      <c r="H26">
        <v>122.31</v>
      </c>
      <c r="I26">
        <v>1465</v>
      </c>
      <c r="J26">
        <v>80</v>
      </c>
      <c r="K26" s="17">
        <f t="shared" si="1"/>
        <v>3906.666666666667</v>
      </c>
      <c r="L26" t="str">
        <f t="shared" si="2"/>
        <v>High Risk</v>
      </c>
      <c r="P26" s="19">
        <f t="shared" si="3"/>
        <v>3869</v>
      </c>
      <c r="R26" s="19">
        <f t="shared" si="0"/>
        <v>473217.39</v>
      </c>
      <c r="T26" s="19">
        <f t="shared" si="4"/>
        <v>170189.05</v>
      </c>
      <c r="U26" s="19">
        <f t="shared" si="5"/>
        <v>179184.15</v>
      </c>
      <c r="V26" s="21">
        <f t="shared" si="6"/>
        <v>8995.1000000000058</v>
      </c>
      <c r="W26" s="18">
        <f t="shared" si="7"/>
        <v>5.2853576654902333E-2</v>
      </c>
    </row>
    <row r="27" spans="1:23" x14ac:dyDescent="0.3">
      <c r="A27" t="s">
        <v>213</v>
      </c>
      <c r="B27" t="s">
        <v>2996</v>
      </c>
      <c r="C27" t="s">
        <v>12</v>
      </c>
      <c r="D27" t="s">
        <v>69</v>
      </c>
      <c r="E27">
        <v>39</v>
      </c>
      <c r="F27">
        <v>95.85</v>
      </c>
      <c r="G27">
        <v>100.53</v>
      </c>
      <c r="H27">
        <v>95.85</v>
      </c>
      <c r="I27">
        <v>515</v>
      </c>
      <c r="J27">
        <v>66</v>
      </c>
      <c r="K27" s="17">
        <f t="shared" si="1"/>
        <v>1133</v>
      </c>
      <c r="L27" t="str">
        <f t="shared" si="2"/>
        <v>High Risk</v>
      </c>
      <c r="P27" s="19">
        <f t="shared" si="3"/>
        <v>1094</v>
      </c>
      <c r="R27" s="19">
        <f t="shared" si="0"/>
        <v>104859.9</v>
      </c>
      <c r="T27" s="19">
        <f t="shared" si="4"/>
        <v>51772.95</v>
      </c>
      <c r="U27" s="19">
        <f t="shared" si="5"/>
        <v>49362.75</v>
      </c>
      <c r="V27" s="21">
        <f t="shared" si="6"/>
        <v>-2410.1999999999971</v>
      </c>
      <c r="W27" s="18">
        <f t="shared" si="7"/>
        <v>-4.6553267681289111E-2</v>
      </c>
    </row>
    <row r="28" spans="1:23" x14ac:dyDescent="0.3">
      <c r="A28" t="s">
        <v>188</v>
      </c>
      <c r="B28" t="s">
        <v>196</v>
      </c>
      <c r="C28" t="s">
        <v>12</v>
      </c>
      <c r="D28" t="s">
        <v>26</v>
      </c>
      <c r="E28">
        <v>39</v>
      </c>
      <c r="F28">
        <v>28.7</v>
      </c>
      <c r="G28">
        <v>30.85</v>
      </c>
      <c r="H28">
        <v>28.7</v>
      </c>
      <c r="I28">
        <v>3473</v>
      </c>
      <c r="J28">
        <v>71</v>
      </c>
      <c r="K28" s="17">
        <f t="shared" si="1"/>
        <v>8219.4333333333325</v>
      </c>
      <c r="L28" t="str">
        <f t="shared" si="2"/>
        <v>High Risk</v>
      </c>
      <c r="P28" s="19">
        <f t="shared" si="3"/>
        <v>8181</v>
      </c>
      <c r="R28" s="19">
        <f t="shared" si="0"/>
        <v>234794.69999999998</v>
      </c>
      <c r="T28" s="19">
        <f t="shared" si="4"/>
        <v>107142.05</v>
      </c>
      <c r="U28" s="19">
        <f t="shared" si="5"/>
        <v>99675.099999999991</v>
      </c>
      <c r="V28" s="21">
        <f t="shared" si="6"/>
        <v>-7466.9500000000116</v>
      </c>
      <c r="W28" s="18">
        <f t="shared" si="7"/>
        <v>-6.9692058346839655E-2</v>
      </c>
    </row>
    <row r="29" spans="1:23" x14ac:dyDescent="0.3">
      <c r="A29" t="s">
        <v>84</v>
      </c>
      <c r="B29" t="s">
        <v>2552</v>
      </c>
      <c r="C29" t="s">
        <v>37</v>
      </c>
      <c r="D29" t="s">
        <v>69</v>
      </c>
      <c r="E29">
        <v>40</v>
      </c>
      <c r="F29">
        <v>149.41</v>
      </c>
      <c r="G29">
        <v>146.26</v>
      </c>
      <c r="H29">
        <v>149.41</v>
      </c>
      <c r="I29">
        <v>1753</v>
      </c>
      <c r="J29">
        <v>14</v>
      </c>
      <c r="K29" s="17">
        <f t="shared" si="1"/>
        <v>818.06666666666661</v>
      </c>
      <c r="L29" t="str">
        <f t="shared" si="2"/>
        <v>High Risk</v>
      </c>
      <c r="P29" s="19">
        <f t="shared" si="3"/>
        <v>779</v>
      </c>
      <c r="R29" s="19">
        <f t="shared" si="0"/>
        <v>116390.39</v>
      </c>
      <c r="T29" s="19">
        <f t="shared" si="4"/>
        <v>256393.77999999997</v>
      </c>
      <c r="U29" s="19">
        <f t="shared" si="5"/>
        <v>261915.72999999998</v>
      </c>
      <c r="V29" s="21">
        <f t="shared" si="6"/>
        <v>5521.9500000000116</v>
      </c>
      <c r="W29" s="18">
        <f t="shared" si="7"/>
        <v>2.1536988923834315E-2</v>
      </c>
    </row>
    <row r="30" spans="1:23" x14ac:dyDescent="0.3">
      <c r="A30" t="s">
        <v>1067</v>
      </c>
      <c r="B30" t="s">
        <v>2291</v>
      </c>
      <c r="C30" t="s">
        <v>37</v>
      </c>
      <c r="D30" t="s">
        <v>17</v>
      </c>
      <c r="E30">
        <v>41</v>
      </c>
      <c r="F30">
        <v>259.13</v>
      </c>
      <c r="G30">
        <v>264.94</v>
      </c>
      <c r="H30">
        <v>259.13</v>
      </c>
      <c r="I30">
        <v>3452</v>
      </c>
      <c r="J30">
        <v>28</v>
      </c>
      <c r="K30" s="17">
        <f t="shared" si="1"/>
        <v>3221.8666666666668</v>
      </c>
      <c r="L30" t="str">
        <f t="shared" si="2"/>
        <v>High Risk</v>
      </c>
      <c r="P30" s="19">
        <f t="shared" si="3"/>
        <v>3181</v>
      </c>
      <c r="R30" s="19">
        <f t="shared" si="0"/>
        <v>824292.53</v>
      </c>
      <c r="T30" s="19">
        <f t="shared" si="4"/>
        <v>914572.88</v>
      </c>
      <c r="U30" s="19">
        <f t="shared" si="5"/>
        <v>894516.76</v>
      </c>
      <c r="V30" s="21">
        <f t="shared" si="6"/>
        <v>-20056.119999999995</v>
      </c>
      <c r="W30" s="18">
        <f t="shared" si="7"/>
        <v>-2.1929493470219667E-2</v>
      </c>
    </row>
    <row r="31" spans="1:23" x14ac:dyDescent="0.3">
      <c r="A31" t="s">
        <v>803</v>
      </c>
      <c r="B31" t="s">
        <v>2550</v>
      </c>
      <c r="C31" t="s">
        <v>37</v>
      </c>
      <c r="D31" t="s">
        <v>69</v>
      </c>
      <c r="E31">
        <v>41</v>
      </c>
      <c r="F31">
        <v>571.04999999999995</v>
      </c>
      <c r="G31">
        <v>480.9</v>
      </c>
      <c r="H31">
        <v>571.04999999999995</v>
      </c>
      <c r="I31">
        <v>1743</v>
      </c>
      <c r="J31">
        <v>71</v>
      </c>
      <c r="K31" s="17">
        <f t="shared" si="1"/>
        <v>4125.1000000000004</v>
      </c>
      <c r="L31" t="str">
        <f t="shared" si="2"/>
        <v>High Risk</v>
      </c>
      <c r="P31" s="19">
        <f t="shared" si="3"/>
        <v>4085</v>
      </c>
      <c r="R31" s="19">
        <f t="shared" si="0"/>
        <v>2332739.25</v>
      </c>
      <c r="T31" s="19">
        <f t="shared" si="4"/>
        <v>838208.7</v>
      </c>
      <c r="U31" s="19">
        <f t="shared" si="5"/>
        <v>995340.14999999991</v>
      </c>
      <c r="V31" s="21">
        <f t="shared" si="6"/>
        <v>157131.44999999995</v>
      </c>
      <c r="W31" s="18">
        <f t="shared" si="7"/>
        <v>0.18746101060511536</v>
      </c>
    </row>
    <row r="32" spans="1:23" x14ac:dyDescent="0.3">
      <c r="A32" t="s">
        <v>246</v>
      </c>
      <c r="B32" t="s">
        <v>3014</v>
      </c>
      <c r="C32" t="s">
        <v>37</v>
      </c>
      <c r="D32" t="s">
        <v>17</v>
      </c>
      <c r="E32">
        <v>42</v>
      </c>
      <c r="F32">
        <v>507.9</v>
      </c>
      <c r="G32">
        <v>429.2</v>
      </c>
      <c r="H32">
        <v>507.9</v>
      </c>
      <c r="I32">
        <v>2062</v>
      </c>
      <c r="J32">
        <v>78</v>
      </c>
      <c r="K32" s="17">
        <f t="shared" si="1"/>
        <v>5361.2</v>
      </c>
      <c r="L32" t="str">
        <f t="shared" si="2"/>
        <v>High Risk</v>
      </c>
      <c r="P32" s="19">
        <f t="shared" si="3"/>
        <v>5320</v>
      </c>
      <c r="R32" s="19">
        <f t="shared" si="0"/>
        <v>2702028</v>
      </c>
      <c r="T32" s="19">
        <f t="shared" si="4"/>
        <v>885010.4</v>
      </c>
      <c r="U32" s="19">
        <f t="shared" si="5"/>
        <v>1047289.7999999999</v>
      </c>
      <c r="V32" s="21">
        <f t="shared" si="6"/>
        <v>162279.39999999991</v>
      </c>
      <c r="W32" s="18">
        <f t="shared" si="7"/>
        <v>0.18336439888164016</v>
      </c>
    </row>
    <row r="33" spans="1:23" x14ac:dyDescent="0.3">
      <c r="A33" t="s">
        <v>46</v>
      </c>
      <c r="B33" t="s">
        <v>3241</v>
      </c>
      <c r="C33" t="s">
        <v>50</v>
      </c>
      <c r="D33" t="s">
        <v>69</v>
      </c>
      <c r="E33">
        <v>46</v>
      </c>
      <c r="F33">
        <v>18.309999999999999</v>
      </c>
      <c r="G33">
        <v>17.29</v>
      </c>
      <c r="H33">
        <v>18.309999999999999</v>
      </c>
      <c r="I33">
        <v>176</v>
      </c>
      <c r="J33">
        <v>37</v>
      </c>
      <c r="K33" s="17">
        <f t="shared" si="1"/>
        <v>217.06666666666666</v>
      </c>
      <c r="L33" t="str">
        <f t="shared" si="2"/>
        <v>High Risk</v>
      </c>
      <c r="P33" s="19">
        <f t="shared" si="3"/>
        <v>172</v>
      </c>
      <c r="R33" s="19">
        <f t="shared" si="0"/>
        <v>3149.3199999999997</v>
      </c>
      <c r="T33" s="19">
        <f t="shared" si="4"/>
        <v>3043.04</v>
      </c>
      <c r="U33" s="19">
        <f t="shared" si="5"/>
        <v>3222.56</v>
      </c>
      <c r="V33" s="21">
        <f t="shared" si="6"/>
        <v>179.51999999999998</v>
      </c>
      <c r="W33" s="18">
        <f t="shared" si="7"/>
        <v>5.8993637941006358E-2</v>
      </c>
    </row>
    <row r="34" spans="1:23" x14ac:dyDescent="0.3">
      <c r="A34" t="s">
        <v>422</v>
      </c>
      <c r="B34" t="s">
        <v>2491</v>
      </c>
      <c r="C34" t="s">
        <v>37</v>
      </c>
      <c r="D34" t="s">
        <v>13</v>
      </c>
      <c r="E34">
        <v>47</v>
      </c>
      <c r="F34">
        <v>41.52</v>
      </c>
      <c r="G34">
        <v>45.39</v>
      </c>
      <c r="H34">
        <v>41.52</v>
      </c>
      <c r="I34">
        <v>3365</v>
      </c>
      <c r="J34">
        <v>78</v>
      </c>
      <c r="K34" s="17">
        <f t="shared" si="1"/>
        <v>8749</v>
      </c>
      <c r="L34" t="str">
        <f t="shared" si="2"/>
        <v>High Risk</v>
      </c>
      <c r="P34" s="19">
        <f t="shared" si="3"/>
        <v>8702</v>
      </c>
      <c r="R34" s="19">
        <f t="shared" si="0"/>
        <v>361307.04000000004</v>
      </c>
      <c r="T34" s="19">
        <f t="shared" si="4"/>
        <v>152737.35</v>
      </c>
      <c r="U34" s="19">
        <f t="shared" si="5"/>
        <v>139714.80000000002</v>
      </c>
      <c r="V34" s="21">
        <f t="shared" si="6"/>
        <v>-13022.549999999988</v>
      </c>
      <c r="W34" s="18">
        <f t="shared" si="7"/>
        <v>-8.5261070720422924E-2</v>
      </c>
    </row>
    <row r="35" spans="1:23" x14ac:dyDescent="0.3">
      <c r="A35" t="s">
        <v>1489</v>
      </c>
      <c r="B35" t="s">
        <v>2040</v>
      </c>
      <c r="C35" t="s">
        <v>37</v>
      </c>
      <c r="D35" t="s">
        <v>69</v>
      </c>
      <c r="E35">
        <v>48</v>
      </c>
      <c r="F35">
        <v>205.7</v>
      </c>
      <c r="G35">
        <v>198</v>
      </c>
      <c r="H35">
        <v>205.7</v>
      </c>
      <c r="I35">
        <v>1387</v>
      </c>
      <c r="J35">
        <v>19</v>
      </c>
      <c r="K35" s="17">
        <f t="shared" si="1"/>
        <v>878.43333333333339</v>
      </c>
      <c r="L35" t="str">
        <f t="shared" si="2"/>
        <v>High Risk</v>
      </c>
      <c r="P35" s="19">
        <f t="shared" si="3"/>
        <v>831</v>
      </c>
      <c r="R35" s="19">
        <f t="shared" si="0"/>
        <v>170936.69999999998</v>
      </c>
      <c r="T35" s="19">
        <f t="shared" si="4"/>
        <v>274626</v>
      </c>
      <c r="U35" s="19">
        <f t="shared" si="5"/>
        <v>285305.89999999997</v>
      </c>
      <c r="V35" s="21">
        <f t="shared" si="6"/>
        <v>10679.899999999965</v>
      </c>
      <c r="W35" s="18">
        <f t="shared" si="7"/>
        <v>3.8888888888888765E-2</v>
      </c>
    </row>
    <row r="36" spans="1:23" x14ac:dyDescent="0.3">
      <c r="A36" t="s">
        <v>444</v>
      </c>
      <c r="B36" t="s">
        <v>2969</v>
      </c>
      <c r="C36" t="s">
        <v>37</v>
      </c>
      <c r="D36" t="s">
        <v>13</v>
      </c>
      <c r="E36">
        <v>50</v>
      </c>
      <c r="F36">
        <v>223.18</v>
      </c>
      <c r="G36">
        <v>244.28</v>
      </c>
      <c r="H36">
        <v>223.18</v>
      </c>
      <c r="I36">
        <v>824</v>
      </c>
      <c r="J36">
        <v>88</v>
      </c>
      <c r="K36" s="17">
        <f t="shared" si="1"/>
        <v>2417.0666666666666</v>
      </c>
      <c r="L36" t="str">
        <f t="shared" si="2"/>
        <v>High Risk</v>
      </c>
      <c r="P36" s="19">
        <f t="shared" si="3"/>
        <v>2368</v>
      </c>
      <c r="R36" s="19">
        <f t="shared" si="0"/>
        <v>528490.23999999999</v>
      </c>
      <c r="T36" s="19">
        <f t="shared" si="4"/>
        <v>201286.72</v>
      </c>
      <c r="U36" s="19">
        <f t="shared" si="5"/>
        <v>183900.32</v>
      </c>
      <c r="V36" s="21">
        <f t="shared" si="6"/>
        <v>-17386.399999999994</v>
      </c>
      <c r="W36" s="18">
        <f t="shared" si="7"/>
        <v>-8.6376289503848014E-2</v>
      </c>
    </row>
    <row r="37" spans="1:23" x14ac:dyDescent="0.3">
      <c r="A37" t="s">
        <v>459</v>
      </c>
      <c r="B37" t="s">
        <v>2119</v>
      </c>
      <c r="C37" t="s">
        <v>50</v>
      </c>
      <c r="D37" t="s">
        <v>69</v>
      </c>
      <c r="E37">
        <v>54</v>
      </c>
      <c r="F37">
        <v>93.06</v>
      </c>
      <c r="G37">
        <v>95.3</v>
      </c>
      <c r="H37">
        <v>93.06</v>
      </c>
      <c r="I37">
        <v>1910</v>
      </c>
      <c r="J37">
        <v>37</v>
      </c>
      <c r="K37" s="17">
        <f t="shared" si="1"/>
        <v>2355.6666666666665</v>
      </c>
      <c r="L37" t="str">
        <f t="shared" si="2"/>
        <v>High Risk</v>
      </c>
      <c r="P37" s="19">
        <f t="shared" si="3"/>
        <v>2302</v>
      </c>
      <c r="R37" s="19">
        <f t="shared" si="0"/>
        <v>214224.12</v>
      </c>
      <c r="T37" s="19">
        <f t="shared" si="4"/>
        <v>182023</v>
      </c>
      <c r="U37" s="19">
        <f t="shared" si="5"/>
        <v>177744.6</v>
      </c>
      <c r="V37" s="21">
        <f t="shared" si="6"/>
        <v>-4278.3999999999942</v>
      </c>
      <c r="W37" s="18">
        <f t="shared" si="7"/>
        <v>-2.3504721930744984E-2</v>
      </c>
    </row>
    <row r="38" spans="1:23" x14ac:dyDescent="0.3">
      <c r="A38" t="s">
        <v>3466</v>
      </c>
      <c r="B38" t="s">
        <v>1323</v>
      </c>
      <c r="C38" t="s">
        <v>50</v>
      </c>
      <c r="D38" t="s">
        <v>20</v>
      </c>
      <c r="E38">
        <v>55</v>
      </c>
      <c r="F38">
        <v>59.51</v>
      </c>
      <c r="G38">
        <v>59.8</v>
      </c>
      <c r="H38">
        <v>59.51</v>
      </c>
      <c r="I38">
        <v>1183</v>
      </c>
      <c r="J38">
        <v>21</v>
      </c>
      <c r="K38" s="17">
        <f t="shared" si="1"/>
        <v>828.09999999999991</v>
      </c>
      <c r="L38" t="str">
        <f t="shared" si="2"/>
        <v>High Risk</v>
      </c>
      <c r="P38" s="19">
        <f t="shared" si="3"/>
        <v>774</v>
      </c>
      <c r="R38" s="19">
        <f t="shared" si="0"/>
        <v>46060.74</v>
      </c>
      <c r="T38" s="19">
        <f t="shared" si="4"/>
        <v>70743.399999999994</v>
      </c>
      <c r="U38" s="19">
        <f t="shared" si="5"/>
        <v>70400.33</v>
      </c>
      <c r="V38" s="21">
        <f t="shared" si="6"/>
        <v>-343.06999999999243</v>
      </c>
      <c r="W38" s="18">
        <f t="shared" si="7"/>
        <v>-4.8494983277590905E-3</v>
      </c>
    </row>
    <row r="39" spans="1:23" x14ac:dyDescent="0.3">
      <c r="A39" t="s">
        <v>801</v>
      </c>
      <c r="B39" t="s">
        <v>1424</v>
      </c>
      <c r="C39" t="s">
        <v>37</v>
      </c>
      <c r="D39" t="s">
        <v>69</v>
      </c>
      <c r="E39">
        <v>56</v>
      </c>
      <c r="F39">
        <v>156.58000000000001</v>
      </c>
      <c r="G39">
        <v>144.36000000000001</v>
      </c>
      <c r="H39">
        <v>156.58000000000001</v>
      </c>
      <c r="I39">
        <v>1968</v>
      </c>
      <c r="J39">
        <v>31</v>
      </c>
      <c r="K39" s="17">
        <f t="shared" si="1"/>
        <v>2033.6</v>
      </c>
      <c r="L39" t="str">
        <f t="shared" si="2"/>
        <v>High Risk</v>
      </c>
      <c r="P39" s="19">
        <f t="shared" si="3"/>
        <v>1978</v>
      </c>
      <c r="R39" s="19">
        <f t="shared" si="0"/>
        <v>309715.24000000005</v>
      </c>
      <c r="T39" s="19">
        <f t="shared" si="4"/>
        <v>284100.48000000004</v>
      </c>
      <c r="U39" s="19">
        <f t="shared" si="5"/>
        <v>308149.44</v>
      </c>
      <c r="V39" s="21">
        <f t="shared" si="6"/>
        <v>24048.959999999963</v>
      </c>
      <c r="W39" s="18">
        <f t="shared" si="7"/>
        <v>8.4649487392629397E-2</v>
      </c>
    </row>
    <row r="40" spans="1:23" x14ac:dyDescent="0.3">
      <c r="A40" t="s">
        <v>1281</v>
      </c>
      <c r="B40" t="s">
        <v>1907</v>
      </c>
      <c r="C40" t="s">
        <v>23</v>
      </c>
      <c r="D40" t="s">
        <v>20</v>
      </c>
      <c r="E40">
        <v>57</v>
      </c>
      <c r="F40">
        <v>368.9</v>
      </c>
      <c r="G40">
        <v>330.01</v>
      </c>
      <c r="H40">
        <v>368.9</v>
      </c>
      <c r="I40">
        <v>1598</v>
      </c>
      <c r="J40">
        <v>64</v>
      </c>
      <c r="K40" s="17">
        <f t="shared" si="1"/>
        <v>3409.0666666666666</v>
      </c>
      <c r="L40" t="str">
        <f t="shared" si="2"/>
        <v>High Risk</v>
      </c>
      <c r="P40" s="19">
        <f t="shared" si="3"/>
        <v>3353</v>
      </c>
      <c r="R40" s="19">
        <f t="shared" si="0"/>
        <v>1236921.7</v>
      </c>
      <c r="T40" s="19">
        <f t="shared" si="4"/>
        <v>527355.98</v>
      </c>
      <c r="U40" s="19">
        <f t="shared" si="5"/>
        <v>589502.19999999995</v>
      </c>
      <c r="V40" s="21">
        <f t="shared" si="6"/>
        <v>62146.219999999972</v>
      </c>
      <c r="W40" s="18">
        <f t="shared" si="7"/>
        <v>0.11784491379049115</v>
      </c>
    </row>
    <row r="41" spans="1:23" x14ac:dyDescent="0.3">
      <c r="A41" t="s">
        <v>879</v>
      </c>
      <c r="B41" t="s">
        <v>2212</v>
      </c>
      <c r="C41" t="s">
        <v>50</v>
      </c>
      <c r="D41" t="s">
        <v>17</v>
      </c>
      <c r="E41">
        <v>58</v>
      </c>
      <c r="F41">
        <v>116.52</v>
      </c>
      <c r="G41">
        <v>110.3</v>
      </c>
      <c r="H41">
        <v>116.52</v>
      </c>
      <c r="I41">
        <v>1502</v>
      </c>
      <c r="J41">
        <v>14</v>
      </c>
      <c r="K41" s="17">
        <f t="shared" si="1"/>
        <v>700.93333333333339</v>
      </c>
      <c r="L41" t="str">
        <f t="shared" si="2"/>
        <v>High Risk</v>
      </c>
      <c r="P41" s="19">
        <f t="shared" si="3"/>
        <v>643</v>
      </c>
      <c r="R41" s="19">
        <f t="shared" si="0"/>
        <v>74922.36</v>
      </c>
      <c r="T41" s="19">
        <f t="shared" si="4"/>
        <v>165670.6</v>
      </c>
      <c r="U41" s="19">
        <f t="shared" si="5"/>
        <v>175013.04</v>
      </c>
      <c r="V41" s="21">
        <f t="shared" si="6"/>
        <v>9342.4400000000023</v>
      </c>
      <c r="W41" s="18">
        <f t="shared" si="7"/>
        <v>5.6391659111514066E-2</v>
      </c>
    </row>
    <row r="42" spans="1:23" x14ac:dyDescent="0.3">
      <c r="A42" t="s">
        <v>347</v>
      </c>
      <c r="B42" t="s">
        <v>348</v>
      </c>
      <c r="C42" t="s">
        <v>12</v>
      </c>
      <c r="D42" t="s">
        <v>17</v>
      </c>
      <c r="E42">
        <v>60</v>
      </c>
      <c r="F42">
        <v>280.92</v>
      </c>
      <c r="G42">
        <v>259.2</v>
      </c>
      <c r="H42">
        <v>280.92</v>
      </c>
      <c r="I42">
        <v>3099</v>
      </c>
      <c r="J42">
        <v>62</v>
      </c>
      <c r="K42" s="17">
        <f t="shared" si="1"/>
        <v>6404.5999999999995</v>
      </c>
      <c r="L42" t="str">
        <f t="shared" si="2"/>
        <v>High Risk</v>
      </c>
      <c r="P42" s="19">
        <f t="shared" si="3"/>
        <v>6345</v>
      </c>
      <c r="R42" s="19">
        <f t="shared" si="0"/>
        <v>1782437.4000000001</v>
      </c>
      <c r="T42" s="19">
        <f t="shared" si="4"/>
        <v>803260.79999999993</v>
      </c>
      <c r="U42" s="19">
        <f t="shared" si="5"/>
        <v>870571.08000000007</v>
      </c>
      <c r="V42" s="21">
        <f t="shared" si="6"/>
        <v>67310.280000000144</v>
      </c>
      <c r="W42" s="18">
        <f t="shared" si="7"/>
        <v>8.379629629629648E-2</v>
      </c>
    </row>
    <row r="43" spans="1:23" x14ac:dyDescent="0.3">
      <c r="A43" t="s">
        <v>222</v>
      </c>
      <c r="B43" t="s">
        <v>2575</v>
      </c>
      <c r="C43" t="s">
        <v>12</v>
      </c>
      <c r="D43" t="s">
        <v>20</v>
      </c>
      <c r="E43">
        <v>60</v>
      </c>
      <c r="F43">
        <v>275.18</v>
      </c>
      <c r="G43">
        <v>250.55</v>
      </c>
      <c r="H43">
        <v>275.18</v>
      </c>
      <c r="I43">
        <v>758</v>
      </c>
      <c r="J43">
        <v>50</v>
      </c>
      <c r="K43" s="17">
        <f t="shared" si="1"/>
        <v>1263.3333333333333</v>
      </c>
      <c r="L43" t="str">
        <f t="shared" si="2"/>
        <v>High Risk</v>
      </c>
      <c r="P43" s="19">
        <f t="shared" si="3"/>
        <v>1204</v>
      </c>
      <c r="R43" s="19">
        <f t="shared" si="0"/>
        <v>331316.72000000003</v>
      </c>
      <c r="T43" s="19">
        <f t="shared" si="4"/>
        <v>189916.9</v>
      </c>
      <c r="U43" s="19">
        <f t="shared" si="5"/>
        <v>208586.44</v>
      </c>
      <c r="V43" s="21">
        <f t="shared" si="6"/>
        <v>18669.540000000008</v>
      </c>
      <c r="W43" s="18">
        <f t="shared" si="7"/>
        <v>9.830373179006191E-2</v>
      </c>
    </row>
    <row r="44" spans="1:23" x14ac:dyDescent="0.3">
      <c r="A44" t="s">
        <v>487</v>
      </c>
      <c r="B44" t="s">
        <v>1028</v>
      </c>
      <c r="C44" t="s">
        <v>16</v>
      </c>
      <c r="D44" t="s">
        <v>26</v>
      </c>
      <c r="E44">
        <v>61</v>
      </c>
      <c r="F44">
        <v>192.79</v>
      </c>
      <c r="G44">
        <v>168.25</v>
      </c>
      <c r="H44">
        <v>192.79</v>
      </c>
      <c r="I44">
        <v>1114</v>
      </c>
      <c r="J44">
        <v>39</v>
      </c>
      <c r="K44" s="17">
        <f t="shared" si="1"/>
        <v>1448.2</v>
      </c>
      <c r="L44" t="str">
        <f t="shared" si="2"/>
        <v>High Risk</v>
      </c>
      <c r="P44" s="19">
        <f t="shared" si="3"/>
        <v>1388</v>
      </c>
      <c r="R44" s="19">
        <f t="shared" si="0"/>
        <v>267592.51999999996</v>
      </c>
      <c r="T44" s="19">
        <f t="shared" si="4"/>
        <v>187430.5</v>
      </c>
      <c r="U44" s="19">
        <f t="shared" si="5"/>
        <v>214768.06</v>
      </c>
      <c r="V44" s="21">
        <f t="shared" si="6"/>
        <v>27337.559999999998</v>
      </c>
      <c r="W44" s="18">
        <f t="shared" si="7"/>
        <v>0.14585438335809806</v>
      </c>
    </row>
    <row r="45" spans="1:23" x14ac:dyDescent="0.3">
      <c r="A45" t="s">
        <v>231</v>
      </c>
      <c r="B45" t="s">
        <v>1555</v>
      </c>
      <c r="C45" t="s">
        <v>23</v>
      </c>
      <c r="D45" t="s">
        <v>17</v>
      </c>
      <c r="E45">
        <v>62</v>
      </c>
      <c r="F45">
        <v>171.71</v>
      </c>
      <c r="G45">
        <v>167.58</v>
      </c>
      <c r="H45">
        <v>171.71</v>
      </c>
      <c r="I45">
        <v>3473</v>
      </c>
      <c r="J45">
        <v>18</v>
      </c>
      <c r="K45" s="17">
        <f t="shared" si="1"/>
        <v>2083.8000000000002</v>
      </c>
      <c r="L45" t="str">
        <f t="shared" si="2"/>
        <v>High Risk</v>
      </c>
      <c r="P45" s="19">
        <f t="shared" si="3"/>
        <v>2022</v>
      </c>
      <c r="R45" s="19">
        <f t="shared" si="0"/>
        <v>347197.62</v>
      </c>
      <c r="T45" s="19">
        <f t="shared" si="4"/>
        <v>582005.34000000008</v>
      </c>
      <c r="U45" s="19">
        <f t="shared" si="5"/>
        <v>596348.83000000007</v>
      </c>
      <c r="V45" s="21">
        <f t="shared" si="6"/>
        <v>14343.489999999991</v>
      </c>
      <c r="W45" s="18">
        <f t="shared" si="7"/>
        <v>2.4644945697577258E-2</v>
      </c>
    </row>
    <row r="46" spans="1:23" x14ac:dyDescent="0.3">
      <c r="A46" t="s">
        <v>1211</v>
      </c>
      <c r="B46" t="s">
        <v>1212</v>
      </c>
      <c r="C46" t="s">
        <v>37</v>
      </c>
      <c r="D46" t="s">
        <v>26</v>
      </c>
      <c r="E46">
        <v>63</v>
      </c>
      <c r="F46">
        <v>431.44</v>
      </c>
      <c r="G46">
        <v>464.83</v>
      </c>
      <c r="H46">
        <v>431.44</v>
      </c>
      <c r="I46">
        <v>1241</v>
      </c>
      <c r="J46">
        <v>15</v>
      </c>
      <c r="K46" s="17">
        <f t="shared" si="1"/>
        <v>620.5</v>
      </c>
      <c r="L46" t="str">
        <f t="shared" si="2"/>
        <v>High Risk</v>
      </c>
      <c r="P46" s="19">
        <f t="shared" si="3"/>
        <v>558</v>
      </c>
      <c r="R46" s="19">
        <f t="shared" si="0"/>
        <v>240743.52</v>
      </c>
      <c r="T46" s="19">
        <f t="shared" si="4"/>
        <v>576854.03</v>
      </c>
      <c r="U46" s="19">
        <f t="shared" si="5"/>
        <v>535417.04</v>
      </c>
      <c r="V46" s="21">
        <f t="shared" si="6"/>
        <v>-41436.989999999991</v>
      </c>
      <c r="W46" s="18">
        <f t="shared" si="7"/>
        <v>-7.1832713034872944E-2</v>
      </c>
    </row>
    <row r="47" spans="1:23" x14ac:dyDescent="0.3">
      <c r="A47" t="s">
        <v>199</v>
      </c>
      <c r="B47" t="s">
        <v>200</v>
      </c>
      <c r="C47" t="s">
        <v>37</v>
      </c>
      <c r="D47" t="s">
        <v>13</v>
      </c>
      <c r="E47">
        <v>68</v>
      </c>
      <c r="F47">
        <v>140.91</v>
      </c>
      <c r="G47">
        <v>137.52000000000001</v>
      </c>
      <c r="H47">
        <v>140.91</v>
      </c>
      <c r="I47">
        <v>1309</v>
      </c>
      <c r="J47">
        <v>86</v>
      </c>
      <c r="K47" s="17">
        <f t="shared" si="1"/>
        <v>3752.4666666666667</v>
      </c>
      <c r="L47" t="str">
        <f t="shared" si="2"/>
        <v>High Risk</v>
      </c>
      <c r="P47" s="19">
        <f t="shared" si="3"/>
        <v>3685</v>
      </c>
      <c r="R47" s="19">
        <f t="shared" si="0"/>
        <v>519253.35</v>
      </c>
      <c r="T47" s="19">
        <f t="shared" si="4"/>
        <v>180013.68000000002</v>
      </c>
      <c r="U47" s="19">
        <f t="shared" si="5"/>
        <v>184451.19</v>
      </c>
      <c r="V47" s="21">
        <f t="shared" si="6"/>
        <v>4437.5099999999802</v>
      </c>
      <c r="W47" s="18">
        <f t="shared" si="7"/>
        <v>2.465095986038383E-2</v>
      </c>
    </row>
    <row r="48" spans="1:23" x14ac:dyDescent="0.3">
      <c r="A48" t="s">
        <v>33</v>
      </c>
      <c r="B48" t="s">
        <v>2124</v>
      </c>
      <c r="C48" t="s">
        <v>50</v>
      </c>
      <c r="D48" t="s">
        <v>26</v>
      </c>
      <c r="E48">
        <v>69</v>
      </c>
      <c r="F48">
        <v>230.79</v>
      </c>
      <c r="G48">
        <v>220.3</v>
      </c>
      <c r="H48">
        <v>230.79</v>
      </c>
      <c r="I48">
        <v>324</v>
      </c>
      <c r="J48">
        <v>55</v>
      </c>
      <c r="K48" s="17">
        <f t="shared" si="1"/>
        <v>594</v>
      </c>
      <c r="L48" t="str">
        <f t="shared" si="2"/>
        <v>High Risk</v>
      </c>
      <c r="P48" s="19">
        <f t="shared" si="3"/>
        <v>525</v>
      </c>
      <c r="R48" s="19">
        <f t="shared" si="0"/>
        <v>121164.75</v>
      </c>
      <c r="T48" s="19">
        <f t="shared" si="4"/>
        <v>71377.2</v>
      </c>
      <c r="U48" s="19">
        <f t="shared" si="5"/>
        <v>74775.959999999992</v>
      </c>
      <c r="V48" s="21">
        <f t="shared" si="6"/>
        <v>3398.7599999999948</v>
      </c>
      <c r="W48" s="18">
        <f t="shared" si="7"/>
        <v>4.7616886064457485E-2</v>
      </c>
    </row>
    <row r="49" spans="1:23" x14ac:dyDescent="0.3">
      <c r="A49" t="s">
        <v>1060</v>
      </c>
      <c r="B49" t="s">
        <v>2719</v>
      </c>
      <c r="C49" t="s">
        <v>50</v>
      </c>
      <c r="D49" t="s">
        <v>17</v>
      </c>
      <c r="E49">
        <v>69</v>
      </c>
      <c r="F49">
        <v>84.12</v>
      </c>
      <c r="G49">
        <v>92.21</v>
      </c>
      <c r="H49">
        <v>84.12</v>
      </c>
      <c r="I49">
        <v>2952</v>
      </c>
      <c r="J49">
        <v>25</v>
      </c>
      <c r="K49" s="17">
        <f t="shared" si="1"/>
        <v>2460</v>
      </c>
      <c r="L49" t="str">
        <f t="shared" si="2"/>
        <v>High Risk</v>
      </c>
      <c r="P49" s="19">
        <f t="shared" si="3"/>
        <v>2391</v>
      </c>
      <c r="R49" s="19">
        <f t="shared" si="0"/>
        <v>201130.92</v>
      </c>
      <c r="T49" s="19">
        <f t="shared" si="4"/>
        <v>272203.92</v>
      </c>
      <c r="U49" s="19">
        <f t="shared" si="5"/>
        <v>248322.24000000002</v>
      </c>
      <c r="V49" s="21">
        <f t="shared" si="6"/>
        <v>-23881.679999999964</v>
      </c>
      <c r="W49" s="18">
        <f t="shared" si="7"/>
        <v>-8.7734519032642747E-2</v>
      </c>
    </row>
    <row r="50" spans="1:23" x14ac:dyDescent="0.3">
      <c r="A50" t="s">
        <v>438</v>
      </c>
      <c r="B50" t="s">
        <v>2836</v>
      </c>
      <c r="C50" t="s">
        <v>12</v>
      </c>
      <c r="D50" t="s">
        <v>13</v>
      </c>
      <c r="E50">
        <v>70</v>
      </c>
      <c r="F50">
        <v>45.73</v>
      </c>
      <c r="G50">
        <v>50.58</v>
      </c>
      <c r="H50">
        <v>45.73</v>
      </c>
      <c r="I50">
        <v>1252</v>
      </c>
      <c r="J50">
        <v>11</v>
      </c>
      <c r="K50" s="17">
        <f t="shared" si="1"/>
        <v>459.06666666666666</v>
      </c>
      <c r="L50" t="str">
        <f t="shared" si="2"/>
        <v>High Risk</v>
      </c>
      <c r="P50" s="19">
        <f t="shared" si="3"/>
        <v>390</v>
      </c>
      <c r="R50" s="19">
        <f t="shared" si="0"/>
        <v>17834.699999999997</v>
      </c>
      <c r="T50" s="19">
        <f t="shared" si="4"/>
        <v>63326.159999999996</v>
      </c>
      <c r="U50" s="19">
        <f t="shared" si="5"/>
        <v>57253.96</v>
      </c>
      <c r="V50" s="21">
        <f t="shared" si="6"/>
        <v>-6072.1999999999971</v>
      </c>
      <c r="W50" s="18">
        <f t="shared" si="7"/>
        <v>-9.588770264926845E-2</v>
      </c>
    </row>
    <row r="51" spans="1:23" x14ac:dyDescent="0.3">
      <c r="A51" t="s">
        <v>1002</v>
      </c>
      <c r="B51" t="s">
        <v>1845</v>
      </c>
      <c r="C51" t="s">
        <v>12</v>
      </c>
      <c r="D51" t="s">
        <v>17</v>
      </c>
      <c r="E51">
        <v>71</v>
      </c>
      <c r="F51">
        <v>151.97</v>
      </c>
      <c r="G51">
        <v>156.63</v>
      </c>
      <c r="H51">
        <v>151.97</v>
      </c>
      <c r="I51">
        <v>3805</v>
      </c>
      <c r="J51">
        <v>37</v>
      </c>
      <c r="K51" s="17">
        <f t="shared" si="1"/>
        <v>4692.833333333333</v>
      </c>
      <c r="L51" t="str">
        <f t="shared" si="2"/>
        <v>High Risk</v>
      </c>
      <c r="P51" s="19">
        <f t="shared" si="3"/>
        <v>4622</v>
      </c>
      <c r="R51" s="19">
        <f t="shared" si="0"/>
        <v>702405.34</v>
      </c>
      <c r="T51" s="19">
        <f t="shared" si="4"/>
        <v>595977.15</v>
      </c>
      <c r="U51" s="19">
        <f t="shared" si="5"/>
        <v>578245.85</v>
      </c>
      <c r="V51" s="21">
        <f t="shared" si="6"/>
        <v>-17731.300000000047</v>
      </c>
      <c r="W51" s="18">
        <f t="shared" si="7"/>
        <v>-2.975164400178773E-2</v>
      </c>
    </row>
    <row r="52" spans="1:23" x14ac:dyDescent="0.3">
      <c r="A52" t="s">
        <v>298</v>
      </c>
      <c r="B52" t="s">
        <v>947</v>
      </c>
      <c r="C52" t="s">
        <v>50</v>
      </c>
      <c r="D52" t="s">
        <v>13</v>
      </c>
      <c r="E52">
        <v>72</v>
      </c>
      <c r="F52">
        <v>213.55</v>
      </c>
      <c r="G52">
        <v>222.41</v>
      </c>
      <c r="H52">
        <v>213.55</v>
      </c>
      <c r="I52">
        <v>1659</v>
      </c>
      <c r="J52">
        <v>55</v>
      </c>
      <c r="K52" s="17">
        <f t="shared" si="1"/>
        <v>3041.5</v>
      </c>
      <c r="L52" t="str">
        <f t="shared" si="2"/>
        <v>High Risk</v>
      </c>
      <c r="P52" s="19">
        <f t="shared" si="3"/>
        <v>2970</v>
      </c>
      <c r="R52" s="19">
        <f t="shared" si="0"/>
        <v>634243.5</v>
      </c>
      <c r="T52" s="19">
        <f t="shared" si="4"/>
        <v>368978.19</v>
      </c>
      <c r="U52" s="19">
        <f t="shared" si="5"/>
        <v>354279.45</v>
      </c>
      <c r="V52" s="21">
        <f t="shared" si="6"/>
        <v>-14698.739999999991</v>
      </c>
      <c r="W52" s="18">
        <f t="shared" si="7"/>
        <v>-3.9836338294141425E-2</v>
      </c>
    </row>
    <row r="53" spans="1:23" x14ac:dyDescent="0.3">
      <c r="A53" t="s">
        <v>743</v>
      </c>
      <c r="B53" t="s">
        <v>2885</v>
      </c>
      <c r="C53" t="s">
        <v>50</v>
      </c>
      <c r="D53" t="s">
        <v>20</v>
      </c>
      <c r="E53">
        <v>73</v>
      </c>
      <c r="F53">
        <v>92.77</v>
      </c>
      <c r="G53">
        <v>96.15</v>
      </c>
      <c r="H53">
        <v>92.77</v>
      </c>
      <c r="I53">
        <v>517</v>
      </c>
      <c r="J53">
        <v>26</v>
      </c>
      <c r="K53" s="17">
        <f t="shared" si="1"/>
        <v>448.06666666666672</v>
      </c>
      <c r="L53" t="str">
        <f t="shared" si="2"/>
        <v>High Risk</v>
      </c>
      <c r="P53" s="19">
        <f t="shared" si="3"/>
        <v>376</v>
      </c>
      <c r="R53" s="19">
        <f t="shared" si="0"/>
        <v>34881.519999999997</v>
      </c>
      <c r="T53" s="19">
        <f t="shared" si="4"/>
        <v>49709.55</v>
      </c>
      <c r="U53" s="19">
        <f t="shared" si="5"/>
        <v>47962.09</v>
      </c>
      <c r="V53" s="21">
        <f t="shared" si="6"/>
        <v>-1747.4600000000064</v>
      </c>
      <c r="W53" s="18">
        <f t="shared" si="7"/>
        <v>-3.5153406136245575E-2</v>
      </c>
    </row>
    <row r="54" spans="1:23" x14ac:dyDescent="0.3">
      <c r="A54" t="s">
        <v>213</v>
      </c>
      <c r="B54" t="s">
        <v>214</v>
      </c>
      <c r="C54" t="s">
        <v>50</v>
      </c>
      <c r="D54" t="s">
        <v>26</v>
      </c>
      <c r="E54">
        <v>74</v>
      </c>
      <c r="F54">
        <v>314.27999999999997</v>
      </c>
      <c r="G54">
        <v>318.25</v>
      </c>
      <c r="H54">
        <v>314.27999999999997</v>
      </c>
      <c r="I54">
        <v>324</v>
      </c>
      <c r="J54">
        <v>14</v>
      </c>
      <c r="K54" s="17">
        <f t="shared" si="1"/>
        <v>151.20000000000002</v>
      </c>
      <c r="L54" t="str">
        <f t="shared" si="2"/>
        <v>High Risk</v>
      </c>
      <c r="P54" s="19">
        <f t="shared" si="3"/>
        <v>78</v>
      </c>
      <c r="R54" s="19">
        <f t="shared" si="0"/>
        <v>24513.839999999997</v>
      </c>
      <c r="T54" s="19">
        <f t="shared" si="4"/>
        <v>103113</v>
      </c>
      <c r="U54" s="19">
        <f t="shared" si="5"/>
        <v>101826.71999999999</v>
      </c>
      <c r="V54" s="21">
        <f t="shared" si="6"/>
        <v>-1286.2800000000134</v>
      </c>
      <c r="W54" s="18">
        <f t="shared" si="7"/>
        <v>-1.2474469756480883E-2</v>
      </c>
    </row>
    <row r="55" spans="1:23" x14ac:dyDescent="0.3">
      <c r="A55" t="s">
        <v>573</v>
      </c>
      <c r="B55" t="s">
        <v>780</v>
      </c>
      <c r="C55" t="s">
        <v>12</v>
      </c>
      <c r="D55" t="s">
        <v>26</v>
      </c>
      <c r="E55">
        <v>79</v>
      </c>
      <c r="F55">
        <v>218.86</v>
      </c>
      <c r="G55">
        <v>195.65</v>
      </c>
      <c r="H55">
        <v>218.86</v>
      </c>
      <c r="I55">
        <v>2453</v>
      </c>
      <c r="J55">
        <v>62</v>
      </c>
      <c r="K55" s="17">
        <f t="shared" si="1"/>
        <v>5069.5333333333328</v>
      </c>
      <c r="L55" t="str">
        <f t="shared" si="2"/>
        <v>High Risk</v>
      </c>
      <c r="P55" s="19">
        <f t="shared" si="3"/>
        <v>4991</v>
      </c>
      <c r="R55" s="19">
        <f t="shared" si="0"/>
        <v>1092330.26</v>
      </c>
      <c r="T55" s="19">
        <f t="shared" si="4"/>
        <v>479929.45</v>
      </c>
      <c r="U55" s="19">
        <f t="shared" si="5"/>
        <v>536863.58000000007</v>
      </c>
      <c r="V55" s="21">
        <f t="shared" si="6"/>
        <v>56934.130000000063</v>
      </c>
      <c r="W55" s="18">
        <f t="shared" si="7"/>
        <v>0.11863020700230015</v>
      </c>
    </row>
    <row r="56" spans="1:23" x14ac:dyDescent="0.3">
      <c r="A56" t="s">
        <v>10</v>
      </c>
      <c r="B56" t="s">
        <v>3210</v>
      </c>
      <c r="C56" t="s">
        <v>37</v>
      </c>
      <c r="D56" t="s">
        <v>69</v>
      </c>
      <c r="E56">
        <v>82</v>
      </c>
      <c r="F56">
        <v>98.43</v>
      </c>
      <c r="G56">
        <v>102.18</v>
      </c>
      <c r="H56">
        <v>98.43</v>
      </c>
      <c r="I56">
        <v>792</v>
      </c>
      <c r="J56">
        <v>61</v>
      </c>
      <c r="K56" s="17">
        <f t="shared" si="1"/>
        <v>1610.3999999999999</v>
      </c>
      <c r="L56" t="str">
        <f t="shared" si="2"/>
        <v>High Risk</v>
      </c>
      <c r="P56" s="19">
        <f t="shared" si="3"/>
        <v>1529</v>
      </c>
      <c r="R56" s="19">
        <f t="shared" si="0"/>
        <v>150499.47</v>
      </c>
      <c r="T56" s="19">
        <f t="shared" si="4"/>
        <v>80926.560000000012</v>
      </c>
      <c r="U56" s="19">
        <f t="shared" si="5"/>
        <v>77956.560000000012</v>
      </c>
      <c r="V56" s="21">
        <f t="shared" si="6"/>
        <v>-2970</v>
      </c>
      <c r="W56" s="18">
        <f t="shared" si="7"/>
        <v>-3.6699941280093948E-2</v>
      </c>
    </row>
    <row r="57" spans="1:23" x14ac:dyDescent="0.3">
      <c r="A57" t="s">
        <v>340</v>
      </c>
      <c r="B57" t="s">
        <v>1623</v>
      </c>
      <c r="C57" t="s">
        <v>23</v>
      </c>
      <c r="D57" t="s">
        <v>20</v>
      </c>
      <c r="E57">
        <v>90</v>
      </c>
      <c r="F57">
        <v>483.55</v>
      </c>
      <c r="G57">
        <v>454.49</v>
      </c>
      <c r="H57">
        <v>483.55</v>
      </c>
      <c r="I57">
        <v>3107</v>
      </c>
      <c r="J57">
        <v>18</v>
      </c>
      <c r="K57" s="17">
        <f t="shared" si="1"/>
        <v>1864.1999999999998</v>
      </c>
      <c r="L57" t="str">
        <f t="shared" si="2"/>
        <v>High Risk</v>
      </c>
      <c r="P57" s="19">
        <f t="shared" si="3"/>
        <v>1775</v>
      </c>
      <c r="R57" s="19">
        <f t="shared" si="0"/>
        <v>858301.25</v>
      </c>
      <c r="T57" s="19">
        <f t="shared" si="4"/>
        <v>1412100.43</v>
      </c>
      <c r="U57" s="19">
        <f t="shared" si="5"/>
        <v>1502389.85</v>
      </c>
      <c r="V57" s="21">
        <f t="shared" si="6"/>
        <v>90289.420000000158</v>
      </c>
      <c r="W57" s="18">
        <f t="shared" si="7"/>
        <v>6.3939800655680112E-2</v>
      </c>
    </row>
    <row r="58" spans="1:23" x14ac:dyDescent="0.3">
      <c r="A58" t="s">
        <v>1067</v>
      </c>
      <c r="B58" t="s">
        <v>2815</v>
      </c>
      <c r="C58" t="s">
        <v>23</v>
      </c>
      <c r="D58" t="s">
        <v>13</v>
      </c>
      <c r="E58">
        <v>91</v>
      </c>
      <c r="F58">
        <v>73.94</v>
      </c>
      <c r="G58">
        <v>65.78</v>
      </c>
      <c r="H58">
        <v>73.94</v>
      </c>
      <c r="I58">
        <v>739</v>
      </c>
      <c r="J58">
        <v>76</v>
      </c>
      <c r="K58" s="17">
        <f t="shared" si="1"/>
        <v>1872.1333333333332</v>
      </c>
      <c r="L58" t="str">
        <f t="shared" si="2"/>
        <v>High Risk</v>
      </c>
      <c r="P58" s="19">
        <f t="shared" si="3"/>
        <v>1782</v>
      </c>
      <c r="R58" s="19">
        <f t="shared" si="0"/>
        <v>131761.07999999999</v>
      </c>
      <c r="T58" s="19">
        <f t="shared" si="4"/>
        <v>48611.42</v>
      </c>
      <c r="U58" s="19">
        <f t="shared" si="5"/>
        <v>54641.659999999996</v>
      </c>
      <c r="V58" s="21">
        <f t="shared" si="6"/>
        <v>6030.239999999998</v>
      </c>
      <c r="W58" s="18">
        <f t="shared" si="7"/>
        <v>0.12404986318029793</v>
      </c>
    </row>
    <row r="59" spans="1:23" x14ac:dyDescent="0.3">
      <c r="A59" t="s">
        <v>76</v>
      </c>
      <c r="B59" t="s">
        <v>1705</v>
      </c>
      <c r="C59" t="s">
        <v>16</v>
      </c>
      <c r="D59" t="s">
        <v>17</v>
      </c>
      <c r="E59">
        <v>94</v>
      </c>
      <c r="F59">
        <v>69.55</v>
      </c>
      <c r="G59">
        <v>61.94</v>
      </c>
      <c r="H59">
        <v>69.55</v>
      </c>
      <c r="I59">
        <v>3158</v>
      </c>
      <c r="J59">
        <v>73</v>
      </c>
      <c r="K59" s="17">
        <f t="shared" si="1"/>
        <v>7684.4666666666662</v>
      </c>
      <c r="L59" t="str">
        <f t="shared" si="2"/>
        <v>High Risk</v>
      </c>
      <c r="P59" s="19">
        <f t="shared" si="3"/>
        <v>7591</v>
      </c>
      <c r="R59" s="19">
        <f t="shared" si="0"/>
        <v>527954.04999999993</v>
      </c>
      <c r="T59" s="19">
        <f t="shared" si="4"/>
        <v>195606.52</v>
      </c>
      <c r="U59" s="19">
        <f t="shared" si="5"/>
        <v>219638.9</v>
      </c>
      <c r="V59" s="21">
        <f t="shared" si="6"/>
        <v>24032.380000000005</v>
      </c>
      <c r="W59" s="18">
        <f t="shared" si="7"/>
        <v>0.12286083306425576</v>
      </c>
    </row>
    <row r="60" spans="1:23" x14ac:dyDescent="0.3">
      <c r="A60" t="s">
        <v>1467</v>
      </c>
      <c r="B60" t="s">
        <v>1468</v>
      </c>
      <c r="C60" t="s">
        <v>12</v>
      </c>
      <c r="D60" t="s">
        <v>26</v>
      </c>
      <c r="E60">
        <v>95</v>
      </c>
      <c r="F60">
        <v>13.42</v>
      </c>
      <c r="G60">
        <v>14.58</v>
      </c>
      <c r="H60">
        <v>13.42</v>
      </c>
      <c r="I60">
        <v>1638</v>
      </c>
      <c r="J60">
        <v>24</v>
      </c>
      <c r="K60" s="17">
        <f t="shared" si="1"/>
        <v>1310.4000000000001</v>
      </c>
      <c r="L60" t="str">
        <f t="shared" si="2"/>
        <v>High Risk</v>
      </c>
      <c r="P60" s="19">
        <f t="shared" si="3"/>
        <v>1216</v>
      </c>
      <c r="R60" s="19">
        <f t="shared" si="0"/>
        <v>16318.72</v>
      </c>
      <c r="T60" s="19">
        <f t="shared" si="4"/>
        <v>23882.04</v>
      </c>
      <c r="U60" s="19">
        <f t="shared" si="5"/>
        <v>21981.96</v>
      </c>
      <c r="V60" s="21">
        <f t="shared" si="6"/>
        <v>-1900.0800000000017</v>
      </c>
      <c r="W60" s="18">
        <f t="shared" si="7"/>
        <v>-7.956104252400556E-2</v>
      </c>
    </row>
    <row r="61" spans="1:23" x14ac:dyDescent="0.3">
      <c r="A61" t="s">
        <v>389</v>
      </c>
      <c r="B61" t="s">
        <v>1788</v>
      </c>
      <c r="C61" t="s">
        <v>37</v>
      </c>
      <c r="D61" t="s">
        <v>69</v>
      </c>
      <c r="E61">
        <v>96</v>
      </c>
      <c r="F61">
        <v>502.28</v>
      </c>
      <c r="G61">
        <v>423.57</v>
      </c>
      <c r="H61">
        <v>502.28</v>
      </c>
      <c r="I61">
        <v>1202</v>
      </c>
      <c r="J61">
        <v>83</v>
      </c>
      <c r="K61" s="17">
        <f t="shared" si="1"/>
        <v>3325.5333333333338</v>
      </c>
      <c r="L61" t="str">
        <f t="shared" si="2"/>
        <v>High Risk</v>
      </c>
      <c r="P61" s="19">
        <f t="shared" si="3"/>
        <v>3230</v>
      </c>
      <c r="R61" s="19">
        <f t="shared" si="0"/>
        <v>1622364.4</v>
      </c>
      <c r="T61" s="19">
        <f t="shared" si="4"/>
        <v>509131.14</v>
      </c>
      <c r="U61" s="19">
        <f t="shared" si="5"/>
        <v>603740.55999999994</v>
      </c>
      <c r="V61" s="21">
        <f t="shared" si="6"/>
        <v>94609.419999999925</v>
      </c>
      <c r="W61" s="18">
        <f t="shared" si="7"/>
        <v>0.1858252473026889</v>
      </c>
    </row>
    <row r="62" spans="1:23" x14ac:dyDescent="0.3">
      <c r="A62" t="s">
        <v>256</v>
      </c>
      <c r="B62" t="s">
        <v>1168</v>
      </c>
      <c r="C62" t="s">
        <v>50</v>
      </c>
      <c r="D62" t="s">
        <v>13</v>
      </c>
      <c r="E62">
        <v>100</v>
      </c>
      <c r="F62">
        <v>315.56</v>
      </c>
      <c r="G62">
        <v>345.4</v>
      </c>
      <c r="H62">
        <v>315.56</v>
      </c>
      <c r="I62">
        <v>3730</v>
      </c>
      <c r="J62">
        <v>89</v>
      </c>
      <c r="K62" s="17">
        <f t="shared" si="1"/>
        <v>11065.666666666666</v>
      </c>
      <c r="L62" t="str">
        <f t="shared" si="2"/>
        <v>High Risk</v>
      </c>
      <c r="P62" s="19">
        <f t="shared" si="3"/>
        <v>10966</v>
      </c>
      <c r="R62" s="19">
        <f t="shared" si="0"/>
        <v>3460430.96</v>
      </c>
      <c r="T62" s="19">
        <f t="shared" si="4"/>
        <v>1288342</v>
      </c>
      <c r="U62" s="19">
        <f t="shared" si="5"/>
        <v>1177038.8</v>
      </c>
      <c r="V62" s="21">
        <f t="shared" si="6"/>
        <v>-111303.19999999995</v>
      </c>
      <c r="W62" s="18">
        <f t="shared" si="7"/>
        <v>-8.6392588303416298E-2</v>
      </c>
    </row>
    <row r="63" spans="1:23" x14ac:dyDescent="0.3">
      <c r="A63" t="s">
        <v>349</v>
      </c>
      <c r="B63" t="s">
        <v>2629</v>
      </c>
      <c r="C63" t="s">
        <v>16</v>
      </c>
      <c r="D63" t="s">
        <v>69</v>
      </c>
      <c r="E63">
        <v>100</v>
      </c>
      <c r="F63">
        <v>142.69999999999999</v>
      </c>
      <c r="G63">
        <v>151.83000000000001</v>
      </c>
      <c r="H63">
        <v>142.69999999999999</v>
      </c>
      <c r="I63">
        <v>1308</v>
      </c>
      <c r="J63">
        <v>63</v>
      </c>
      <c r="K63" s="17">
        <f t="shared" si="1"/>
        <v>2746.8</v>
      </c>
      <c r="L63" t="str">
        <f t="shared" si="2"/>
        <v>High Risk</v>
      </c>
      <c r="P63" s="19">
        <f t="shared" si="3"/>
        <v>2647</v>
      </c>
      <c r="R63" s="19">
        <f t="shared" si="0"/>
        <v>377726.89999999997</v>
      </c>
      <c r="T63" s="19">
        <f t="shared" si="4"/>
        <v>198593.64</v>
      </c>
      <c r="U63" s="19">
        <f t="shared" si="5"/>
        <v>186651.59999999998</v>
      </c>
      <c r="V63" s="21">
        <f t="shared" si="6"/>
        <v>-11942.040000000037</v>
      </c>
      <c r="W63" s="18">
        <f t="shared" si="7"/>
        <v>-6.0133043535533344E-2</v>
      </c>
    </row>
    <row r="64" spans="1:23" x14ac:dyDescent="0.3">
      <c r="A64" t="s">
        <v>759</v>
      </c>
      <c r="B64" t="s">
        <v>3341</v>
      </c>
      <c r="C64" t="s">
        <v>12</v>
      </c>
      <c r="D64" t="s">
        <v>69</v>
      </c>
      <c r="E64">
        <v>101</v>
      </c>
      <c r="F64">
        <v>193.95</v>
      </c>
      <c r="G64">
        <v>190.46</v>
      </c>
      <c r="H64">
        <v>193.95</v>
      </c>
      <c r="I64">
        <v>2474</v>
      </c>
      <c r="J64">
        <v>15</v>
      </c>
      <c r="K64" s="17">
        <f t="shared" si="1"/>
        <v>1237</v>
      </c>
      <c r="L64" t="str">
        <f t="shared" si="2"/>
        <v>High Risk</v>
      </c>
      <c r="P64" s="19">
        <f t="shared" si="3"/>
        <v>1136</v>
      </c>
      <c r="R64" s="19">
        <f t="shared" si="0"/>
        <v>220327.19999999998</v>
      </c>
      <c r="T64" s="19">
        <f t="shared" si="4"/>
        <v>471198.04000000004</v>
      </c>
      <c r="U64" s="19">
        <f t="shared" si="5"/>
        <v>479832.3</v>
      </c>
      <c r="V64" s="21">
        <f t="shared" si="6"/>
        <v>8634.2599999999511</v>
      </c>
      <c r="W64" s="18">
        <f t="shared" si="7"/>
        <v>1.832405754489121E-2</v>
      </c>
    </row>
    <row r="65" spans="1:23" x14ac:dyDescent="0.3">
      <c r="A65" t="s">
        <v>1597</v>
      </c>
      <c r="B65" t="s">
        <v>1598</v>
      </c>
      <c r="C65" t="s">
        <v>23</v>
      </c>
      <c r="D65" t="s">
        <v>17</v>
      </c>
      <c r="E65">
        <v>101</v>
      </c>
      <c r="F65">
        <v>64.510000000000005</v>
      </c>
      <c r="G65">
        <v>64.14</v>
      </c>
      <c r="H65">
        <v>64.510000000000005</v>
      </c>
      <c r="I65">
        <v>3946</v>
      </c>
      <c r="J65">
        <v>66</v>
      </c>
      <c r="K65" s="17">
        <f t="shared" si="1"/>
        <v>8681.2000000000007</v>
      </c>
      <c r="L65" t="str">
        <f t="shared" si="2"/>
        <v>High Risk</v>
      </c>
      <c r="P65" s="19">
        <f t="shared" si="3"/>
        <v>8581</v>
      </c>
      <c r="R65" s="19">
        <f t="shared" si="0"/>
        <v>553560.31000000006</v>
      </c>
      <c r="T65" s="19">
        <f t="shared" si="4"/>
        <v>253096.44</v>
      </c>
      <c r="U65" s="19">
        <f t="shared" si="5"/>
        <v>254556.46000000002</v>
      </c>
      <c r="V65" s="21">
        <f t="shared" si="6"/>
        <v>1460.0200000000186</v>
      </c>
      <c r="W65" s="18">
        <f t="shared" si="7"/>
        <v>5.7686311194263288E-3</v>
      </c>
    </row>
    <row r="66" spans="1:23" x14ac:dyDescent="0.3">
      <c r="A66" t="s">
        <v>251</v>
      </c>
      <c r="B66" t="s">
        <v>1332</v>
      </c>
      <c r="C66" t="s">
        <v>37</v>
      </c>
      <c r="D66" t="s">
        <v>13</v>
      </c>
      <c r="E66">
        <v>101</v>
      </c>
      <c r="F66">
        <v>324.95</v>
      </c>
      <c r="G66">
        <v>320.42</v>
      </c>
      <c r="H66">
        <v>324.95</v>
      </c>
      <c r="I66">
        <v>1040</v>
      </c>
      <c r="J66">
        <v>38</v>
      </c>
      <c r="K66" s="17">
        <f t="shared" si="1"/>
        <v>1317.3333333333333</v>
      </c>
      <c r="L66" t="str">
        <f t="shared" si="2"/>
        <v>High Risk</v>
      </c>
      <c r="P66" s="19">
        <f t="shared" si="3"/>
        <v>1217</v>
      </c>
      <c r="R66" s="19">
        <f t="shared" ref="R66:R129" si="8">P66*H66</f>
        <v>395464.14999999997</v>
      </c>
      <c r="T66" s="19">
        <f t="shared" si="4"/>
        <v>333236.8</v>
      </c>
      <c r="U66" s="19">
        <f t="shared" si="5"/>
        <v>337948</v>
      </c>
      <c r="V66" s="21">
        <f t="shared" si="6"/>
        <v>4711.2000000000116</v>
      </c>
      <c r="W66" s="18">
        <f t="shared" si="7"/>
        <v>1.4137694276262441E-2</v>
      </c>
    </row>
    <row r="67" spans="1:23" x14ac:dyDescent="0.3">
      <c r="A67" t="s">
        <v>1113</v>
      </c>
      <c r="B67" t="s">
        <v>2125</v>
      </c>
      <c r="C67" t="s">
        <v>23</v>
      </c>
      <c r="D67" t="s">
        <v>26</v>
      </c>
      <c r="E67">
        <v>102</v>
      </c>
      <c r="F67">
        <v>85.67</v>
      </c>
      <c r="G67">
        <v>81.83</v>
      </c>
      <c r="H67">
        <v>85.67</v>
      </c>
      <c r="I67">
        <v>945</v>
      </c>
      <c r="J67">
        <v>77</v>
      </c>
      <c r="K67" s="17">
        <f t="shared" ref="K67:K130" si="9">(I67/30)*J67</f>
        <v>2425.5</v>
      </c>
      <c r="L67" t="str">
        <f t="shared" ref="L67:L130" si="10">IF(E67&lt;K67,"High Risk","Sufficuent Stock")</f>
        <v>High Risk</v>
      </c>
      <c r="P67" s="19">
        <f t="shared" ref="P67:P130" si="11">ROUNDUP(MAX(0,K67-E67),0)</f>
        <v>2324</v>
      </c>
      <c r="R67" s="19">
        <f t="shared" si="8"/>
        <v>199097.08000000002</v>
      </c>
      <c r="T67" s="19">
        <f t="shared" ref="T67:T130" si="12">I67*G67</f>
        <v>77329.349999999991</v>
      </c>
      <c r="U67" s="19">
        <f t="shared" ref="U67:U130" si="13">I67*H67</f>
        <v>80958.150000000009</v>
      </c>
      <c r="V67" s="21">
        <f t="shared" ref="V67:V130" si="14">U67-T67</f>
        <v>3628.8000000000175</v>
      </c>
      <c r="W67" s="18">
        <f t="shared" ref="W67:W130" si="15">IFERROR(V67/T67,0)</f>
        <v>4.6926555053159222E-2</v>
      </c>
    </row>
    <row r="68" spans="1:23" x14ac:dyDescent="0.3">
      <c r="A68" t="s">
        <v>163</v>
      </c>
      <c r="B68" t="s">
        <v>2086</v>
      </c>
      <c r="C68" t="s">
        <v>16</v>
      </c>
      <c r="D68" t="s">
        <v>13</v>
      </c>
      <c r="E68">
        <v>105</v>
      </c>
      <c r="F68">
        <v>73.92</v>
      </c>
      <c r="G68">
        <v>77.459999999999994</v>
      </c>
      <c r="H68">
        <v>73.92</v>
      </c>
      <c r="I68">
        <v>1992</v>
      </c>
      <c r="J68">
        <v>63</v>
      </c>
      <c r="K68" s="17">
        <f t="shared" si="9"/>
        <v>4183.2000000000007</v>
      </c>
      <c r="L68" t="str">
        <f t="shared" si="10"/>
        <v>High Risk</v>
      </c>
      <c r="P68" s="19">
        <f t="shared" si="11"/>
        <v>4079</v>
      </c>
      <c r="R68" s="19">
        <f t="shared" si="8"/>
        <v>301519.68</v>
      </c>
      <c r="T68" s="19">
        <f t="shared" si="12"/>
        <v>154300.31999999998</v>
      </c>
      <c r="U68" s="19">
        <f t="shared" si="13"/>
        <v>147248.64000000001</v>
      </c>
      <c r="V68" s="21">
        <f t="shared" si="14"/>
        <v>-7051.6799999999639</v>
      </c>
      <c r="W68" s="18">
        <f t="shared" si="15"/>
        <v>-4.5701006971339816E-2</v>
      </c>
    </row>
    <row r="69" spans="1:23" x14ac:dyDescent="0.3">
      <c r="A69" t="s">
        <v>320</v>
      </c>
      <c r="B69" t="s">
        <v>321</v>
      </c>
      <c r="C69" t="s">
        <v>23</v>
      </c>
      <c r="D69" t="s">
        <v>17</v>
      </c>
      <c r="E69">
        <v>107</v>
      </c>
      <c r="F69">
        <v>521.29</v>
      </c>
      <c r="G69">
        <v>448.22</v>
      </c>
      <c r="H69">
        <v>521.29</v>
      </c>
      <c r="I69">
        <v>3184</v>
      </c>
      <c r="J69">
        <v>33</v>
      </c>
      <c r="K69" s="17">
        <f t="shared" si="9"/>
        <v>3502.4</v>
      </c>
      <c r="L69" t="str">
        <f t="shared" si="10"/>
        <v>High Risk</v>
      </c>
      <c r="P69" s="19">
        <f t="shared" si="11"/>
        <v>3396</v>
      </c>
      <c r="R69" s="19">
        <f t="shared" si="8"/>
        <v>1770300.8399999999</v>
      </c>
      <c r="T69" s="19">
        <f t="shared" si="12"/>
        <v>1427132.48</v>
      </c>
      <c r="U69" s="19">
        <f t="shared" si="13"/>
        <v>1659787.3599999999</v>
      </c>
      <c r="V69" s="21">
        <f t="shared" si="14"/>
        <v>232654.87999999989</v>
      </c>
      <c r="W69" s="18">
        <f t="shared" si="15"/>
        <v>0.16302262281915122</v>
      </c>
    </row>
    <row r="70" spans="1:23" x14ac:dyDescent="0.3">
      <c r="A70" t="s">
        <v>2050</v>
      </c>
      <c r="B70" t="s">
        <v>3245</v>
      </c>
      <c r="C70" t="s">
        <v>37</v>
      </c>
      <c r="D70" t="s">
        <v>20</v>
      </c>
      <c r="E70">
        <v>109</v>
      </c>
      <c r="F70">
        <v>340.26</v>
      </c>
      <c r="G70">
        <v>285.72000000000003</v>
      </c>
      <c r="H70">
        <v>340.26</v>
      </c>
      <c r="I70">
        <v>3373</v>
      </c>
      <c r="J70">
        <v>73</v>
      </c>
      <c r="K70" s="17">
        <f t="shared" si="9"/>
        <v>8207.6333333333332</v>
      </c>
      <c r="L70" t="str">
        <f t="shared" si="10"/>
        <v>High Risk</v>
      </c>
      <c r="P70" s="19">
        <f t="shared" si="11"/>
        <v>8099</v>
      </c>
      <c r="R70" s="19">
        <f t="shared" si="8"/>
        <v>2755765.7399999998</v>
      </c>
      <c r="T70" s="19">
        <f t="shared" si="12"/>
        <v>963733.56</v>
      </c>
      <c r="U70" s="19">
        <f t="shared" si="13"/>
        <v>1147696.98</v>
      </c>
      <c r="V70" s="21">
        <f t="shared" si="14"/>
        <v>183963.41999999993</v>
      </c>
      <c r="W70" s="18">
        <f t="shared" si="15"/>
        <v>0.19088618227635437</v>
      </c>
    </row>
    <row r="71" spans="1:23" x14ac:dyDescent="0.3">
      <c r="A71" t="s">
        <v>833</v>
      </c>
      <c r="B71" t="s">
        <v>1078</v>
      </c>
      <c r="C71" t="s">
        <v>23</v>
      </c>
      <c r="D71" t="s">
        <v>69</v>
      </c>
      <c r="E71">
        <v>109</v>
      </c>
      <c r="F71">
        <v>247.28</v>
      </c>
      <c r="G71">
        <v>247.34</v>
      </c>
      <c r="H71">
        <v>247.28</v>
      </c>
      <c r="I71">
        <v>1090</v>
      </c>
      <c r="J71">
        <v>22</v>
      </c>
      <c r="K71" s="17">
        <f t="shared" si="9"/>
        <v>799.33333333333337</v>
      </c>
      <c r="L71" t="str">
        <f t="shared" si="10"/>
        <v>High Risk</v>
      </c>
      <c r="P71" s="19">
        <f t="shared" si="11"/>
        <v>691</v>
      </c>
      <c r="R71" s="19">
        <f t="shared" si="8"/>
        <v>170870.48</v>
      </c>
      <c r="T71" s="19">
        <f t="shared" si="12"/>
        <v>269600.59999999998</v>
      </c>
      <c r="U71" s="19">
        <f t="shared" si="13"/>
        <v>269535.2</v>
      </c>
      <c r="V71" s="21">
        <f t="shared" si="14"/>
        <v>-65.399999999965075</v>
      </c>
      <c r="W71" s="18">
        <f t="shared" si="15"/>
        <v>-2.4258106250492424E-4</v>
      </c>
    </row>
    <row r="72" spans="1:23" x14ac:dyDescent="0.3">
      <c r="A72" t="s">
        <v>1067</v>
      </c>
      <c r="B72" t="s">
        <v>1068</v>
      </c>
      <c r="C72" t="s">
        <v>23</v>
      </c>
      <c r="D72" t="s">
        <v>26</v>
      </c>
      <c r="E72">
        <v>110</v>
      </c>
      <c r="F72">
        <v>127.71</v>
      </c>
      <c r="G72">
        <v>118.42</v>
      </c>
      <c r="H72">
        <v>127.71</v>
      </c>
      <c r="I72">
        <v>1576</v>
      </c>
      <c r="J72">
        <v>58</v>
      </c>
      <c r="K72" s="17">
        <f t="shared" si="9"/>
        <v>3046.9333333333334</v>
      </c>
      <c r="L72" t="str">
        <f t="shared" si="10"/>
        <v>High Risk</v>
      </c>
      <c r="P72" s="19">
        <f t="shared" si="11"/>
        <v>2937</v>
      </c>
      <c r="R72" s="19">
        <f t="shared" si="8"/>
        <v>375084.26999999996</v>
      </c>
      <c r="T72" s="19">
        <f t="shared" si="12"/>
        <v>186629.92</v>
      </c>
      <c r="U72" s="19">
        <f t="shared" si="13"/>
        <v>201270.96</v>
      </c>
      <c r="V72" s="21">
        <f t="shared" si="14"/>
        <v>14641.039999999979</v>
      </c>
      <c r="W72" s="18">
        <f t="shared" si="15"/>
        <v>7.8449586218544046E-2</v>
      </c>
    </row>
    <row r="73" spans="1:23" x14ac:dyDescent="0.3">
      <c r="A73" t="s">
        <v>1489</v>
      </c>
      <c r="B73" t="s">
        <v>2970</v>
      </c>
      <c r="C73" t="s">
        <v>12</v>
      </c>
      <c r="D73" t="s">
        <v>17</v>
      </c>
      <c r="E73">
        <v>111</v>
      </c>
      <c r="F73">
        <v>202.62</v>
      </c>
      <c r="G73">
        <v>213.13</v>
      </c>
      <c r="H73">
        <v>202.62</v>
      </c>
      <c r="I73">
        <v>3013</v>
      </c>
      <c r="J73">
        <v>6</v>
      </c>
      <c r="K73" s="17">
        <f t="shared" si="9"/>
        <v>602.6</v>
      </c>
      <c r="L73" t="str">
        <f t="shared" si="10"/>
        <v>High Risk</v>
      </c>
      <c r="P73" s="19">
        <f t="shared" si="11"/>
        <v>492</v>
      </c>
      <c r="R73" s="19">
        <f t="shared" si="8"/>
        <v>99689.040000000008</v>
      </c>
      <c r="T73" s="19">
        <f t="shared" si="12"/>
        <v>642160.68999999994</v>
      </c>
      <c r="U73" s="19">
        <f t="shared" si="13"/>
        <v>610494.06000000006</v>
      </c>
      <c r="V73" s="21">
        <f t="shared" si="14"/>
        <v>-31666.629999999888</v>
      </c>
      <c r="W73" s="18">
        <f t="shared" si="15"/>
        <v>-4.9312626096748295E-2</v>
      </c>
    </row>
    <row r="74" spans="1:23" x14ac:dyDescent="0.3">
      <c r="A74" t="s">
        <v>2050</v>
      </c>
      <c r="B74" t="s">
        <v>3238</v>
      </c>
      <c r="C74" t="s">
        <v>37</v>
      </c>
      <c r="D74" t="s">
        <v>69</v>
      </c>
      <c r="E74">
        <v>114</v>
      </c>
      <c r="F74">
        <v>240.81</v>
      </c>
      <c r="G74">
        <v>204.5</v>
      </c>
      <c r="H74">
        <v>240.81</v>
      </c>
      <c r="I74">
        <v>2272</v>
      </c>
      <c r="J74">
        <v>68</v>
      </c>
      <c r="K74" s="17">
        <f t="shared" si="9"/>
        <v>5149.8666666666668</v>
      </c>
      <c r="L74" t="str">
        <f t="shared" si="10"/>
        <v>High Risk</v>
      </c>
      <c r="P74" s="19">
        <f t="shared" si="11"/>
        <v>5036</v>
      </c>
      <c r="R74" s="19">
        <f t="shared" si="8"/>
        <v>1212719.1599999999</v>
      </c>
      <c r="T74" s="19">
        <f t="shared" si="12"/>
        <v>464624</v>
      </c>
      <c r="U74" s="19">
        <f t="shared" si="13"/>
        <v>547120.31999999995</v>
      </c>
      <c r="V74" s="21">
        <f t="shared" si="14"/>
        <v>82496.319999999949</v>
      </c>
      <c r="W74" s="18">
        <f t="shared" si="15"/>
        <v>0.17755501222493877</v>
      </c>
    </row>
    <row r="75" spans="1:23" x14ac:dyDescent="0.3">
      <c r="A75" t="s">
        <v>511</v>
      </c>
      <c r="B75" t="s">
        <v>1811</v>
      </c>
      <c r="C75" t="s">
        <v>50</v>
      </c>
      <c r="D75" t="s">
        <v>69</v>
      </c>
      <c r="E75">
        <v>117</v>
      </c>
      <c r="F75">
        <v>46.59</v>
      </c>
      <c r="G75">
        <v>45.28</v>
      </c>
      <c r="H75">
        <v>46.59</v>
      </c>
      <c r="I75">
        <v>1499</v>
      </c>
      <c r="J75">
        <v>66</v>
      </c>
      <c r="K75" s="17">
        <f t="shared" si="9"/>
        <v>3297.8</v>
      </c>
      <c r="L75" t="str">
        <f t="shared" si="10"/>
        <v>High Risk</v>
      </c>
      <c r="P75" s="19">
        <f t="shared" si="11"/>
        <v>3181</v>
      </c>
      <c r="R75" s="19">
        <f t="shared" si="8"/>
        <v>148202.79</v>
      </c>
      <c r="T75" s="19">
        <f t="shared" si="12"/>
        <v>67874.720000000001</v>
      </c>
      <c r="U75" s="19">
        <f t="shared" si="13"/>
        <v>69838.41</v>
      </c>
      <c r="V75" s="21">
        <f t="shared" si="14"/>
        <v>1963.6900000000023</v>
      </c>
      <c r="W75" s="18">
        <f t="shared" si="15"/>
        <v>2.8931095406360456E-2</v>
      </c>
    </row>
    <row r="76" spans="1:23" x14ac:dyDescent="0.3">
      <c r="A76" t="s">
        <v>363</v>
      </c>
      <c r="B76" t="s">
        <v>364</v>
      </c>
      <c r="C76" t="s">
        <v>37</v>
      </c>
      <c r="D76" t="s">
        <v>13</v>
      </c>
      <c r="E76">
        <v>118</v>
      </c>
      <c r="F76">
        <v>150.83000000000001</v>
      </c>
      <c r="G76">
        <v>127.43</v>
      </c>
      <c r="H76">
        <v>150.83000000000001</v>
      </c>
      <c r="I76">
        <v>3046</v>
      </c>
      <c r="J76">
        <v>26</v>
      </c>
      <c r="K76" s="17">
        <f t="shared" si="9"/>
        <v>2639.8666666666668</v>
      </c>
      <c r="L76" t="str">
        <f t="shared" si="10"/>
        <v>High Risk</v>
      </c>
      <c r="P76" s="19">
        <f t="shared" si="11"/>
        <v>2522</v>
      </c>
      <c r="R76" s="19">
        <f t="shared" si="8"/>
        <v>380393.26</v>
      </c>
      <c r="T76" s="19">
        <f t="shared" si="12"/>
        <v>388151.78</v>
      </c>
      <c r="U76" s="19">
        <f t="shared" si="13"/>
        <v>459428.18000000005</v>
      </c>
      <c r="V76" s="21">
        <f t="shared" si="14"/>
        <v>71276.400000000023</v>
      </c>
      <c r="W76" s="18">
        <f t="shared" si="15"/>
        <v>0.18363022836066864</v>
      </c>
    </row>
    <row r="77" spans="1:23" x14ac:dyDescent="0.3">
      <c r="A77" t="s">
        <v>444</v>
      </c>
      <c r="B77" t="s">
        <v>2404</v>
      </c>
      <c r="C77" t="s">
        <v>37</v>
      </c>
      <c r="D77" t="s">
        <v>17</v>
      </c>
      <c r="E77">
        <v>118</v>
      </c>
      <c r="F77">
        <v>127.03</v>
      </c>
      <c r="G77">
        <v>113.3</v>
      </c>
      <c r="H77">
        <v>127.03</v>
      </c>
      <c r="I77">
        <v>888</v>
      </c>
      <c r="J77">
        <v>17</v>
      </c>
      <c r="K77" s="17">
        <f t="shared" si="9"/>
        <v>503.20000000000005</v>
      </c>
      <c r="L77" t="str">
        <f t="shared" si="10"/>
        <v>High Risk</v>
      </c>
      <c r="P77" s="19">
        <f t="shared" si="11"/>
        <v>386</v>
      </c>
      <c r="R77" s="19">
        <f t="shared" si="8"/>
        <v>49033.58</v>
      </c>
      <c r="T77" s="19">
        <f t="shared" si="12"/>
        <v>100610.4</v>
      </c>
      <c r="U77" s="19">
        <f t="shared" si="13"/>
        <v>112802.64</v>
      </c>
      <c r="V77" s="21">
        <f t="shared" si="14"/>
        <v>12192.240000000005</v>
      </c>
      <c r="W77" s="18">
        <f t="shared" si="15"/>
        <v>0.12118270079435134</v>
      </c>
    </row>
    <row r="78" spans="1:23" x14ac:dyDescent="0.3">
      <c r="A78" t="s">
        <v>333</v>
      </c>
      <c r="B78" t="s">
        <v>334</v>
      </c>
      <c r="C78" t="s">
        <v>23</v>
      </c>
      <c r="D78" t="s">
        <v>26</v>
      </c>
      <c r="E78">
        <v>118</v>
      </c>
      <c r="F78">
        <v>71.41</v>
      </c>
      <c r="G78">
        <v>65.180000000000007</v>
      </c>
      <c r="H78">
        <v>71.41</v>
      </c>
      <c r="I78">
        <v>3512</v>
      </c>
      <c r="J78">
        <v>73</v>
      </c>
      <c r="K78" s="17">
        <f t="shared" si="9"/>
        <v>8545.8666666666668</v>
      </c>
      <c r="L78" t="str">
        <f t="shared" si="10"/>
        <v>High Risk</v>
      </c>
      <c r="P78" s="19">
        <f t="shared" si="11"/>
        <v>8428</v>
      </c>
      <c r="R78" s="19">
        <f t="shared" si="8"/>
        <v>601843.48</v>
      </c>
      <c r="T78" s="19">
        <f t="shared" si="12"/>
        <v>228912.16000000003</v>
      </c>
      <c r="U78" s="19">
        <f t="shared" si="13"/>
        <v>250791.91999999998</v>
      </c>
      <c r="V78" s="21">
        <f t="shared" si="14"/>
        <v>21879.759999999951</v>
      </c>
      <c r="W78" s="18">
        <f t="shared" si="15"/>
        <v>9.5581466707578791E-2</v>
      </c>
    </row>
    <row r="79" spans="1:23" x14ac:dyDescent="0.3">
      <c r="A79" t="s">
        <v>253</v>
      </c>
      <c r="B79" t="s">
        <v>1505</v>
      </c>
      <c r="C79" t="s">
        <v>23</v>
      </c>
      <c r="D79" t="s">
        <v>13</v>
      </c>
      <c r="E79">
        <v>119</v>
      </c>
      <c r="F79">
        <v>254.69</v>
      </c>
      <c r="G79">
        <v>224.86</v>
      </c>
      <c r="H79">
        <v>254.69</v>
      </c>
      <c r="I79">
        <v>2737</v>
      </c>
      <c r="J79">
        <v>85</v>
      </c>
      <c r="K79" s="17">
        <f t="shared" si="9"/>
        <v>7754.833333333333</v>
      </c>
      <c r="L79" t="str">
        <f t="shared" si="10"/>
        <v>High Risk</v>
      </c>
      <c r="P79" s="19">
        <f t="shared" si="11"/>
        <v>7636</v>
      </c>
      <c r="R79" s="19">
        <f t="shared" si="8"/>
        <v>1944812.84</v>
      </c>
      <c r="T79" s="19">
        <f t="shared" si="12"/>
        <v>615441.82000000007</v>
      </c>
      <c r="U79" s="19">
        <f t="shared" si="13"/>
        <v>697086.53</v>
      </c>
      <c r="V79" s="21">
        <f t="shared" si="14"/>
        <v>81644.709999999963</v>
      </c>
      <c r="W79" s="18">
        <f t="shared" si="15"/>
        <v>0.13266032197811964</v>
      </c>
    </row>
    <row r="80" spans="1:23" x14ac:dyDescent="0.3">
      <c r="A80" t="s">
        <v>1500</v>
      </c>
      <c r="B80" t="s">
        <v>1841</v>
      </c>
      <c r="C80" t="s">
        <v>50</v>
      </c>
      <c r="D80" t="s">
        <v>13</v>
      </c>
      <c r="E80">
        <v>121</v>
      </c>
      <c r="F80">
        <v>447.02</v>
      </c>
      <c r="G80">
        <v>480.94</v>
      </c>
      <c r="H80">
        <v>447.02</v>
      </c>
      <c r="I80">
        <v>1354</v>
      </c>
      <c r="J80">
        <v>55</v>
      </c>
      <c r="K80" s="17">
        <f t="shared" si="9"/>
        <v>2482.3333333333335</v>
      </c>
      <c r="L80" t="str">
        <f t="shared" si="10"/>
        <v>High Risk</v>
      </c>
      <c r="P80" s="19">
        <f t="shared" si="11"/>
        <v>2362</v>
      </c>
      <c r="R80" s="19">
        <f t="shared" si="8"/>
        <v>1055861.24</v>
      </c>
      <c r="T80" s="19">
        <f t="shared" si="12"/>
        <v>651192.76</v>
      </c>
      <c r="U80" s="19">
        <f t="shared" si="13"/>
        <v>605265.07999999996</v>
      </c>
      <c r="V80" s="21">
        <f t="shared" si="14"/>
        <v>-45927.680000000051</v>
      </c>
      <c r="W80" s="18">
        <f t="shared" si="15"/>
        <v>-7.052854825965825E-2</v>
      </c>
    </row>
    <row r="81" spans="1:23" x14ac:dyDescent="0.3">
      <c r="A81" t="s">
        <v>1673</v>
      </c>
      <c r="B81" t="s">
        <v>2441</v>
      </c>
      <c r="C81" t="s">
        <v>37</v>
      </c>
      <c r="D81" t="s">
        <v>69</v>
      </c>
      <c r="E81">
        <v>126</v>
      </c>
      <c r="F81">
        <v>214.49</v>
      </c>
      <c r="G81">
        <v>223.57</v>
      </c>
      <c r="H81">
        <v>214.49</v>
      </c>
      <c r="I81">
        <v>844</v>
      </c>
      <c r="J81">
        <v>89</v>
      </c>
      <c r="K81" s="17">
        <f t="shared" si="9"/>
        <v>2503.8666666666668</v>
      </c>
      <c r="L81" t="str">
        <f t="shared" si="10"/>
        <v>High Risk</v>
      </c>
      <c r="P81" s="19">
        <f t="shared" si="11"/>
        <v>2378</v>
      </c>
      <c r="R81" s="19">
        <f t="shared" si="8"/>
        <v>510057.22000000003</v>
      </c>
      <c r="T81" s="19">
        <f t="shared" si="12"/>
        <v>188693.08</v>
      </c>
      <c r="U81" s="19">
        <f t="shared" si="13"/>
        <v>181029.56</v>
      </c>
      <c r="V81" s="21">
        <f t="shared" si="14"/>
        <v>-7663.5199999999895</v>
      </c>
      <c r="W81" s="18">
        <f t="shared" si="15"/>
        <v>-4.0613678042671145E-2</v>
      </c>
    </row>
    <row r="82" spans="1:23" x14ac:dyDescent="0.3">
      <c r="A82" t="s">
        <v>438</v>
      </c>
      <c r="B82" t="s">
        <v>1118</v>
      </c>
      <c r="C82" t="s">
        <v>50</v>
      </c>
      <c r="D82" t="s">
        <v>69</v>
      </c>
      <c r="E82">
        <v>126</v>
      </c>
      <c r="F82">
        <v>266.95</v>
      </c>
      <c r="G82">
        <v>226.38</v>
      </c>
      <c r="H82">
        <v>266.95</v>
      </c>
      <c r="I82">
        <v>3241</v>
      </c>
      <c r="J82">
        <v>8</v>
      </c>
      <c r="K82" s="17">
        <f t="shared" si="9"/>
        <v>864.26666666666665</v>
      </c>
      <c r="L82" t="str">
        <f t="shared" si="10"/>
        <v>High Risk</v>
      </c>
      <c r="P82" s="19">
        <f t="shared" si="11"/>
        <v>739</v>
      </c>
      <c r="R82" s="19">
        <f t="shared" si="8"/>
        <v>197276.05</v>
      </c>
      <c r="T82" s="19">
        <f t="shared" si="12"/>
        <v>733697.58</v>
      </c>
      <c r="U82" s="19">
        <f t="shared" si="13"/>
        <v>865184.95</v>
      </c>
      <c r="V82" s="21">
        <f t="shared" si="14"/>
        <v>131487.37</v>
      </c>
      <c r="W82" s="18">
        <f t="shared" si="15"/>
        <v>0.17921194451806696</v>
      </c>
    </row>
    <row r="83" spans="1:23" x14ac:dyDescent="0.3">
      <c r="A83" t="s">
        <v>107</v>
      </c>
      <c r="B83" t="s">
        <v>1215</v>
      </c>
      <c r="C83" t="s">
        <v>23</v>
      </c>
      <c r="D83" t="s">
        <v>17</v>
      </c>
      <c r="E83">
        <v>126</v>
      </c>
      <c r="F83">
        <v>62.3</v>
      </c>
      <c r="G83">
        <v>59.83</v>
      </c>
      <c r="H83">
        <v>62.3</v>
      </c>
      <c r="I83">
        <v>2232</v>
      </c>
      <c r="J83">
        <v>53</v>
      </c>
      <c r="K83" s="17">
        <f t="shared" si="9"/>
        <v>3943.2000000000003</v>
      </c>
      <c r="L83" t="str">
        <f t="shared" si="10"/>
        <v>High Risk</v>
      </c>
      <c r="P83" s="19">
        <f t="shared" si="11"/>
        <v>3818</v>
      </c>
      <c r="R83" s="19">
        <f t="shared" si="8"/>
        <v>237861.4</v>
      </c>
      <c r="T83" s="19">
        <f t="shared" si="12"/>
        <v>133540.56</v>
      </c>
      <c r="U83" s="19">
        <f t="shared" si="13"/>
        <v>139053.6</v>
      </c>
      <c r="V83" s="21">
        <f t="shared" si="14"/>
        <v>5513.0400000000081</v>
      </c>
      <c r="W83" s="18">
        <f t="shared" si="15"/>
        <v>4.1283636971419083E-2</v>
      </c>
    </row>
    <row r="84" spans="1:23" x14ac:dyDescent="0.3">
      <c r="A84" t="s">
        <v>328</v>
      </c>
      <c r="B84" t="s">
        <v>684</v>
      </c>
      <c r="C84" t="s">
        <v>16</v>
      </c>
      <c r="D84" t="s">
        <v>17</v>
      </c>
      <c r="E84">
        <v>128</v>
      </c>
      <c r="F84">
        <v>349.6</v>
      </c>
      <c r="G84">
        <v>304.77</v>
      </c>
      <c r="H84">
        <v>349.6</v>
      </c>
      <c r="I84">
        <v>1806</v>
      </c>
      <c r="J84">
        <v>23</v>
      </c>
      <c r="K84" s="17">
        <f t="shared" si="9"/>
        <v>1384.6000000000001</v>
      </c>
      <c r="L84" t="str">
        <f t="shared" si="10"/>
        <v>High Risk</v>
      </c>
      <c r="P84" s="19">
        <f t="shared" si="11"/>
        <v>1257</v>
      </c>
      <c r="R84" s="19">
        <f t="shared" si="8"/>
        <v>439447.2</v>
      </c>
      <c r="T84" s="19">
        <f t="shared" si="12"/>
        <v>550414.62</v>
      </c>
      <c r="U84" s="19">
        <f t="shared" si="13"/>
        <v>631377.60000000009</v>
      </c>
      <c r="V84" s="21">
        <f t="shared" si="14"/>
        <v>80962.980000000098</v>
      </c>
      <c r="W84" s="18">
        <f t="shared" si="15"/>
        <v>0.14709453030153904</v>
      </c>
    </row>
    <row r="85" spans="1:23" x14ac:dyDescent="0.3">
      <c r="A85" t="s">
        <v>293</v>
      </c>
      <c r="B85" t="s">
        <v>1646</v>
      </c>
      <c r="C85" t="s">
        <v>23</v>
      </c>
      <c r="D85" t="s">
        <v>69</v>
      </c>
      <c r="E85">
        <v>128</v>
      </c>
      <c r="F85">
        <v>64.400000000000006</v>
      </c>
      <c r="G85">
        <v>64.73</v>
      </c>
      <c r="H85">
        <v>64.400000000000006</v>
      </c>
      <c r="I85">
        <v>3703</v>
      </c>
      <c r="J85">
        <v>67</v>
      </c>
      <c r="K85" s="17">
        <f t="shared" si="9"/>
        <v>8270.0333333333328</v>
      </c>
      <c r="L85" t="str">
        <f t="shared" si="10"/>
        <v>High Risk</v>
      </c>
      <c r="P85" s="19">
        <f t="shared" si="11"/>
        <v>8143</v>
      </c>
      <c r="R85" s="19">
        <f t="shared" si="8"/>
        <v>524409.20000000007</v>
      </c>
      <c r="T85" s="19">
        <f t="shared" si="12"/>
        <v>239695.19</v>
      </c>
      <c r="U85" s="19">
        <f t="shared" si="13"/>
        <v>238473.2</v>
      </c>
      <c r="V85" s="21">
        <f t="shared" si="14"/>
        <v>-1221.9899999999907</v>
      </c>
      <c r="W85" s="18">
        <f t="shared" si="15"/>
        <v>-5.0980997991657267E-3</v>
      </c>
    </row>
    <row r="86" spans="1:23" x14ac:dyDescent="0.3">
      <c r="A86" t="s">
        <v>688</v>
      </c>
      <c r="B86" t="s">
        <v>1727</v>
      </c>
      <c r="C86" t="s">
        <v>50</v>
      </c>
      <c r="D86" t="s">
        <v>69</v>
      </c>
      <c r="E86">
        <v>128</v>
      </c>
      <c r="F86">
        <v>136.44</v>
      </c>
      <c r="G86">
        <v>116.16</v>
      </c>
      <c r="H86">
        <v>136.44</v>
      </c>
      <c r="I86">
        <v>2933</v>
      </c>
      <c r="J86">
        <v>81</v>
      </c>
      <c r="K86" s="17">
        <f t="shared" si="9"/>
        <v>7919.1</v>
      </c>
      <c r="L86" t="str">
        <f t="shared" si="10"/>
        <v>High Risk</v>
      </c>
      <c r="P86" s="19">
        <f t="shared" si="11"/>
        <v>7792</v>
      </c>
      <c r="R86" s="19">
        <f t="shared" si="8"/>
        <v>1063140.48</v>
      </c>
      <c r="T86" s="19">
        <f t="shared" si="12"/>
        <v>340697.27999999997</v>
      </c>
      <c r="U86" s="19">
        <f t="shared" si="13"/>
        <v>400178.52</v>
      </c>
      <c r="V86" s="21">
        <f t="shared" si="14"/>
        <v>59481.240000000049</v>
      </c>
      <c r="W86" s="18">
        <f t="shared" si="15"/>
        <v>0.1745867768595043</v>
      </c>
    </row>
    <row r="87" spans="1:23" x14ac:dyDescent="0.3">
      <c r="A87" t="s">
        <v>748</v>
      </c>
      <c r="B87" t="s">
        <v>1257</v>
      </c>
      <c r="C87" t="s">
        <v>16</v>
      </c>
      <c r="D87" t="s">
        <v>17</v>
      </c>
      <c r="E87">
        <v>128</v>
      </c>
      <c r="F87">
        <v>589.91999999999996</v>
      </c>
      <c r="G87">
        <v>499.06</v>
      </c>
      <c r="H87">
        <v>589.91999999999996</v>
      </c>
      <c r="I87">
        <v>2970</v>
      </c>
      <c r="J87">
        <v>32</v>
      </c>
      <c r="K87" s="17">
        <f t="shared" si="9"/>
        <v>3168</v>
      </c>
      <c r="L87" t="str">
        <f t="shared" si="10"/>
        <v>High Risk</v>
      </c>
      <c r="P87" s="19">
        <f t="shared" si="11"/>
        <v>3040</v>
      </c>
      <c r="R87" s="19">
        <f t="shared" si="8"/>
        <v>1793356.7999999998</v>
      </c>
      <c r="T87" s="19">
        <f t="shared" si="12"/>
        <v>1482208.2</v>
      </c>
      <c r="U87" s="19">
        <f t="shared" si="13"/>
        <v>1752062.4</v>
      </c>
      <c r="V87" s="21">
        <f t="shared" si="14"/>
        <v>269854.19999999995</v>
      </c>
      <c r="W87" s="18">
        <f t="shared" si="15"/>
        <v>0.18206227708091208</v>
      </c>
    </row>
    <row r="88" spans="1:23" x14ac:dyDescent="0.3">
      <c r="A88" t="s">
        <v>293</v>
      </c>
      <c r="B88" t="s">
        <v>1418</v>
      </c>
      <c r="C88" t="s">
        <v>23</v>
      </c>
      <c r="D88" t="s">
        <v>17</v>
      </c>
      <c r="E88">
        <v>131</v>
      </c>
      <c r="F88">
        <v>92.19</v>
      </c>
      <c r="G88">
        <v>101.21</v>
      </c>
      <c r="H88">
        <v>92.19</v>
      </c>
      <c r="I88">
        <v>2644</v>
      </c>
      <c r="J88">
        <v>71</v>
      </c>
      <c r="K88" s="17">
        <f t="shared" si="9"/>
        <v>6257.4666666666672</v>
      </c>
      <c r="L88" t="str">
        <f t="shared" si="10"/>
        <v>High Risk</v>
      </c>
      <c r="P88" s="19">
        <f t="shared" si="11"/>
        <v>6127</v>
      </c>
      <c r="R88" s="19">
        <f t="shared" si="8"/>
        <v>564848.13</v>
      </c>
      <c r="T88" s="19">
        <f t="shared" si="12"/>
        <v>267599.24</v>
      </c>
      <c r="U88" s="19">
        <f t="shared" si="13"/>
        <v>243750.36</v>
      </c>
      <c r="V88" s="21">
        <f t="shared" si="14"/>
        <v>-23848.880000000005</v>
      </c>
      <c r="W88" s="18">
        <f t="shared" si="15"/>
        <v>-8.9121628297599079E-2</v>
      </c>
    </row>
    <row r="89" spans="1:23" x14ac:dyDescent="0.3">
      <c r="A89" t="s">
        <v>290</v>
      </c>
      <c r="B89" t="s">
        <v>3339</v>
      </c>
      <c r="C89" t="s">
        <v>23</v>
      </c>
      <c r="D89" t="s">
        <v>17</v>
      </c>
      <c r="E89">
        <v>132</v>
      </c>
      <c r="F89">
        <v>273.2</v>
      </c>
      <c r="G89">
        <v>241.36</v>
      </c>
      <c r="H89">
        <v>273.2</v>
      </c>
      <c r="I89">
        <v>2082</v>
      </c>
      <c r="J89">
        <v>46</v>
      </c>
      <c r="K89" s="17">
        <f t="shared" si="9"/>
        <v>3192.4</v>
      </c>
      <c r="L89" t="str">
        <f t="shared" si="10"/>
        <v>High Risk</v>
      </c>
      <c r="P89" s="19">
        <f t="shared" si="11"/>
        <v>3061</v>
      </c>
      <c r="R89" s="19">
        <f t="shared" si="8"/>
        <v>836265.2</v>
      </c>
      <c r="T89" s="19">
        <f t="shared" si="12"/>
        <v>502511.52</v>
      </c>
      <c r="U89" s="19">
        <f t="shared" si="13"/>
        <v>568802.4</v>
      </c>
      <c r="V89" s="21">
        <f t="shared" si="14"/>
        <v>66290.880000000005</v>
      </c>
      <c r="W89" s="18">
        <f t="shared" si="15"/>
        <v>0.13191912495856811</v>
      </c>
    </row>
    <row r="90" spans="1:23" x14ac:dyDescent="0.3">
      <c r="A90" t="s">
        <v>74</v>
      </c>
      <c r="B90" t="s">
        <v>2840</v>
      </c>
      <c r="C90" t="s">
        <v>16</v>
      </c>
      <c r="D90" t="s">
        <v>13</v>
      </c>
      <c r="E90">
        <v>132</v>
      </c>
      <c r="F90">
        <v>130.47</v>
      </c>
      <c r="G90">
        <v>137.62</v>
      </c>
      <c r="H90">
        <v>130.47</v>
      </c>
      <c r="I90">
        <v>2421</v>
      </c>
      <c r="J90">
        <v>28</v>
      </c>
      <c r="K90" s="17">
        <f t="shared" si="9"/>
        <v>2259.6</v>
      </c>
      <c r="L90" t="str">
        <f t="shared" si="10"/>
        <v>High Risk</v>
      </c>
      <c r="P90" s="19">
        <f t="shared" si="11"/>
        <v>2128</v>
      </c>
      <c r="R90" s="19">
        <f t="shared" si="8"/>
        <v>277640.15999999997</v>
      </c>
      <c r="T90" s="19">
        <f t="shared" si="12"/>
        <v>333178.02</v>
      </c>
      <c r="U90" s="19">
        <f t="shared" si="13"/>
        <v>315867.87</v>
      </c>
      <c r="V90" s="21">
        <f t="shared" si="14"/>
        <v>-17310.150000000023</v>
      </c>
      <c r="W90" s="18">
        <f t="shared" si="15"/>
        <v>-5.1954657753233609E-2</v>
      </c>
    </row>
    <row r="91" spans="1:23" x14ac:dyDescent="0.3">
      <c r="A91" t="s">
        <v>979</v>
      </c>
      <c r="B91" t="s">
        <v>2451</v>
      </c>
      <c r="C91" t="s">
        <v>50</v>
      </c>
      <c r="D91" t="s">
        <v>26</v>
      </c>
      <c r="E91">
        <v>135</v>
      </c>
      <c r="F91">
        <v>196.53</v>
      </c>
      <c r="G91">
        <v>164.52</v>
      </c>
      <c r="H91">
        <v>196.53</v>
      </c>
      <c r="I91">
        <v>2696</v>
      </c>
      <c r="J91">
        <v>79</v>
      </c>
      <c r="K91" s="17">
        <f t="shared" si="9"/>
        <v>7099.4666666666662</v>
      </c>
      <c r="L91" t="str">
        <f t="shared" si="10"/>
        <v>High Risk</v>
      </c>
      <c r="P91" s="19">
        <f t="shared" si="11"/>
        <v>6965</v>
      </c>
      <c r="R91" s="19">
        <f t="shared" si="8"/>
        <v>1368831.45</v>
      </c>
      <c r="T91" s="19">
        <f t="shared" si="12"/>
        <v>443545.92000000004</v>
      </c>
      <c r="U91" s="19">
        <f t="shared" si="13"/>
        <v>529844.88</v>
      </c>
      <c r="V91" s="21">
        <f t="shared" si="14"/>
        <v>86298.959999999963</v>
      </c>
      <c r="W91" s="18">
        <f t="shared" si="15"/>
        <v>0.19456601021152434</v>
      </c>
    </row>
    <row r="92" spans="1:23" x14ac:dyDescent="0.3">
      <c r="A92" t="s">
        <v>940</v>
      </c>
      <c r="B92" t="s">
        <v>1558</v>
      </c>
      <c r="C92" t="s">
        <v>37</v>
      </c>
      <c r="D92" t="s">
        <v>17</v>
      </c>
      <c r="E92">
        <v>136</v>
      </c>
      <c r="F92">
        <v>202.37</v>
      </c>
      <c r="G92">
        <v>179.16</v>
      </c>
      <c r="H92">
        <v>202.37</v>
      </c>
      <c r="I92">
        <v>1400</v>
      </c>
      <c r="J92">
        <v>5</v>
      </c>
      <c r="K92" s="17">
        <f t="shared" si="9"/>
        <v>233.33333333333331</v>
      </c>
      <c r="L92" t="str">
        <f t="shared" si="10"/>
        <v>High Risk</v>
      </c>
      <c r="P92" s="19">
        <f t="shared" si="11"/>
        <v>98</v>
      </c>
      <c r="R92" s="19">
        <f t="shared" si="8"/>
        <v>19832.260000000002</v>
      </c>
      <c r="T92" s="19">
        <f t="shared" si="12"/>
        <v>250824</v>
      </c>
      <c r="U92" s="19">
        <f t="shared" si="13"/>
        <v>283318</v>
      </c>
      <c r="V92" s="21">
        <f t="shared" si="14"/>
        <v>32494</v>
      </c>
      <c r="W92" s="18">
        <f t="shared" si="15"/>
        <v>0.12954900647465953</v>
      </c>
    </row>
    <row r="93" spans="1:23" x14ac:dyDescent="0.3">
      <c r="A93" t="s">
        <v>976</v>
      </c>
      <c r="B93" t="s">
        <v>1818</v>
      </c>
      <c r="C93" t="s">
        <v>37</v>
      </c>
      <c r="D93" t="s">
        <v>13</v>
      </c>
      <c r="E93">
        <v>136</v>
      </c>
      <c r="F93">
        <v>214.81</v>
      </c>
      <c r="G93">
        <v>212.4</v>
      </c>
      <c r="H93">
        <v>214.81</v>
      </c>
      <c r="I93">
        <v>234</v>
      </c>
      <c r="J93">
        <v>10</v>
      </c>
      <c r="K93" s="17">
        <f t="shared" si="9"/>
        <v>78</v>
      </c>
      <c r="L93" t="str">
        <f t="shared" si="10"/>
        <v>Sufficuent Stock</v>
      </c>
      <c r="P93" s="19">
        <f t="shared" si="11"/>
        <v>0</v>
      </c>
      <c r="R93" s="19">
        <f t="shared" si="8"/>
        <v>0</v>
      </c>
      <c r="T93" s="19">
        <f t="shared" si="12"/>
        <v>49701.599999999999</v>
      </c>
      <c r="U93" s="19">
        <f t="shared" si="13"/>
        <v>50265.54</v>
      </c>
      <c r="V93" s="21">
        <f t="shared" si="14"/>
        <v>563.94000000000233</v>
      </c>
      <c r="W93" s="18">
        <f t="shared" si="15"/>
        <v>1.1346516007533005E-2</v>
      </c>
    </row>
    <row r="94" spans="1:23" x14ac:dyDescent="0.3">
      <c r="A94" t="s">
        <v>387</v>
      </c>
      <c r="B94" t="s">
        <v>3135</v>
      </c>
      <c r="C94" t="s">
        <v>37</v>
      </c>
      <c r="D94" t="s">
        <v>26</v>
      </c>
      <c r="E94">
        <v>136</v>
      </c>
      <c r="F94">
        <v>311.97000000000003</v>
      </c>
      <c r="G94">
        <v>310.07</v>
      </c>
      <c r="H94">
        <v>311.97000000000003</v>
      </c>
      <c r="I94">
        <v>485</v>
      </c>
      <c r="J94">
        <v>12</v>
      </c>
      <c r="K94" s="17">
        <f t="shared" si="9"/>
        <v>194</v>
      </c>
      <c r="L94" t="str">
        <f t="shared" si="10"/>
        <v>High Risk</v>
      </c>
      <c r="P94" s="19">
        <f t="shared" si="11"/>
        <v>58</v>
      </c>
      <c r="R94" s="19">
        <f t="shared" si="8"/>
        <v>18094.260000000002</v>
      </c>
      <c r="T94" s="19">
        <f t="shared" si="12"/>
        <v>150383.94999999998</v>
      </c>
      <c r="U94" s="19">
        <f t="shared" si="13"/>
        <v>151305.45000000001</v>
      </c>
      <c r="V94" s="21">
        <f t="shared" si="14"/>
        <v>921.5000000000291</v>
      </c>
      <c r="W94" s="18">
        <f t="shared" si="15"/>
        <v>6.1276485954786346E-3</v>
      </c>
    </row>
    <row r="95" spans="1:23" x14ac:dyDescent="0.3">
      <c r="A95" t="s">
        <v>525</v>
      </c>
      <c r="B95" t="s">
        <v>2810</v>
      </c>
      <c r="C95" t="s">
        <v>37</v>
      </c>
      <c r="D95" t="s">
        <v>26</v>
      </c>
      <c r="E95">
        <v>137</v>
      </c>
      <c r="F95">
        <v>161.72</v>
      </c>
      <c r="G95">
        <v>168.11</v>
      </c>
      <c r="H95">
        <v>161.72</v>
      </c>
      <c r="I95">
        <v>1430</v>
      </c>
      <c r="J95">
        <v>87</v>
      </c>
      <c r="K95" s="17">
        <f t="shared" si="9"/>
        <v>4147</v>
      </c>
      <c r="L95" t="str">
        <f t="shared" si="10"/>
        <v>High Risk</v>
      </c>
      <c r="P95" s="19">
        <f t="shared" si="11"/>
        <v>4010</v>
      </c>
      <c r="R95" s="19">
        <f t="shared" si="8"/>
        <v>648497.19999999995</v>
      </c>
      <c r="T95" s="19">
        <f t="shared" si="12"/>
        <v>240397.30000000002</v>
      </c>
      <c r="U95" s="19">
        <f t="shared" si="13"/>
        <v>231259.6</v>
      </c>
      <c r="V95" s="21">
        <f t="shared" si="14"/>
        <v>-9137.7000000000116</v>
      </c>
      <c r="W95" s="18">
        <f t="shared" si="15"/>
        <v>-3.8010826244720762E-2</v>
      </c>
    </row>
    <row r="96" spans="1:23" x14ac:dyDescent="0.3">
      <c r="A96" t="s">
        <v>1445</v>
      </c>
      <c r="B96" t="s">
        <v>2169</v>
      </c>
      <c r="C96" t="s">
        <v>16</v>
      </c>
      <c r="D96" t="s">
        <v>20</v>
      </c>
      <c r="E96">
        <v>139</v>
      </c>
      <c r="F96">
        <v>142.46</v>
      </c>
      <c r="G96">
        <v>153.69</v>
      </c>
      <c r="H96">
        <v>142.46</v>
      </c>
      <c r="I96">
        <v>2714</v>
      </c>
      <c r="J96">
        <v>25</v>
      </c>
      <c r="K96" s="17">
        <f t="shared" si="9"/>
        <v>2261.6666666666665</v>
      </c>
      <c r="L96" t="str">
        <f t="shared" si="10"/>
        <v>High Risk</v>
      </c>
      <c r="P96" s="19">
        <f t="shared" si="11"/>
        <v>2123</v>
      </c>
      <c r="R96" s="19">
        <f t="shared" si="8"/>
        <v>302442.58</v>
      </c>
      <c r="T96" s="19">
        <f t="shared" si="12"/>
        <v>417114.66</v>
      </c>
      <c r="U96" s="19">
        <f t="shared" si="13"/>
        <v>386636.44</v>
      </c>
      <c r="V96" s="21">
        <f t="shared" si="14"/>
        <v>-30478.219999999972</v>
      </c>
      <c r="W96" s="18">
        <f t="shared" si="15"/>
        <v>-7.3069165202680655E-2</v>
      </c>
    </row>
    <row r="97" spans="1:23" x14ac:dyDescent="0.3">
      <c r="A97" t="s">
        <v>347</v>
      </c>
      <c r="B97" t="s">
        <v>3155</v>
      </c>
      <c r="C97" t="s">
        <v>50</v>
      </c>
      <c r="D97" t="s">
        <v>13</v>
      </c>
      <c r="E97">
        <v>139</v>
      </c>
      <c r="F97">
        <v>134.18</v>
      </c>
      <c r="G97">
        <v>148.1</v>
      </c>
      <c r="H97">
        <v>134.18</v>
      </c>
      <c r="I97">
        <v>1527</v>
      </c>
      <c r="J97">
        <v>41</v>
      </c>
      <c r="K97" s="17">
        <f t="shared" si="9"/>
        <v>2086.9</v>
      </c>
      <c r="L97" t="str">
        <f t="shared" si="10"/>
        <v>High Risk</v>
      </c>
      <c r="P97" s="19">
        <f t="shared" si="11"/>
        <v>1948</v>
      </c>
      <c r="R97" s="19">
        <f t="shared" si="8"/>
        <v>261382.64</v>
      </c>
      <c r="T97" s="19">
        <f t="shared" si="12"/>
        <v>226148.69999999998</v>
      </c>
      <c r="U97" s="19">
        <f t="shared" si="13"/>
        <v>204892.86000000002</v>
      </c>
      <c r="V97" s="21">
        <f t="shared" si="14"/>
        <v>-21255.839999999967</v>
      </c>
      <c r="W97" s="18">
        <f t="shared" si="15"/>
        <v>-9.3990546927751384E-2</v>
      </c>
    </row>
    <row r="98" spans="1:23" x14ac:dyDescent="0.3">
      <c r="A98" t="s">
        <v>387</v>
      </c>
      <c r="B98" t="s">
        <v>641</v>
      </c>
      <c r="C98" t="s">
        <v>50</v>
      </c>
      <c r="D98" t="s">
        <v>26</v>
      </c>
      <c r="E98">
        <v>140</v>
      </c>
      <c r="F98">
        <v>308.67</v>
      </c>
      <c r="G98">
        <v>274.35000000000002</v>
      </c>
      <c r="H98">
        <v>308.67</v>
      </c>
      <c r="I98">
        <v>2430</v>
      </c>
      <c r="J98">
        <v>8</v>
      </c>
      <c r="K98" s="17">
        <f t="shared" si="9"/>
        <v>648</v>
      </c>
      <c r="L98" t="str">
        <f t="shared" si="10"/>
        <v>High Risk</v>
      </c>
      <c r="P98" s="19">
        <f t="shared" si="11"/>
        <v>508</v>
      </c>
      <c r="R98" s="19">
        <f t="shared" si="8"/>
        <v>156804.36000000002</v>
      </c>
      <c r="T98" s="19">
        <f t="shared" si="12"/>
        <v>666670.5</v>
      </c>
      <c r="U98" s="19">
        <f t="shared" si="13"/>
        <v>750068.10000000009</v>
      </c>
      <c r="V98" s="21">
        <f t="shared" si="14"/>
        <v>83397.600000000093</v>
      </c>
      <c r="W98" s="18">
        <f t="shared" si="15"/>
        <v>0.12509568069983612</v>
      </c>
    </row>
    <row r="99" spans="1:23" x14ac:dyDescent="0.3">
      <c r="A99" t="s">
        <v>147</v>
      </c>
      <c r="B99" t="s">
        <v>2805</v>
      </c>
      <c r="C99" t="s">
        <v>23</v>
      </c>
      <c r="D99" t="s">
        <v>13</v>
      </c>
      <c r="E99">
        <v>140</v>
      </c>
      <c r="F99">
        <v>355.26</v>
      </c>
      <c r="G99">
        <v>325.54000000000002</v>
      </c>
      <c r="H99">
        <v>355.26</v>
      </c>
      <c r="I99">
        <v>3374</v>
      </c>
      <c r="J99">
        <v>77</v>
      </c>
      <c r="K99" s="17">
        <f t="shared" si="9"/>
        <v>8659.9333333333343</v>
      </c>
      <c r="L99" t="str">
        <f t="shared" si="10"/>
        <v>High Risk</v>
      </c>
      <c r="P99" s="19">
        <f t="shared" si="11"/>
        <v>8520</v>
      </c>
      <c r="R99" s="19">
        <f t="shared" si="8"/>
        <v>3026815.1999999997</v>
      </c>
      <c r="T99" s="19">
        <f t="shared" si="12"/>
        <v>1098371.96</v>
      </c>
      <c r="U99" s="19">
        <f t="shared" si="13"/>
        <v>1198647.24</v>
      </c>
      <c r="V99" s="21">
        <f t="shared" si="14"/>
        <v>100275.28000000003</v>
      </c>
      <c r="W99" s="18">
        <f t="shared" si="15"/>
        <v>9.1294464581925444E-2</v>
      </c>
    </row>
    <row r="100" spans="1:23" x14ac:dyDescent="0.3">
      <c r="A100" t="s">
        <v>193</v>
      </c>
      <c r="B100" t="s">
        <v>194</v>
      </c>
      <c r="C100" t="s">
        <v>16</v>
      </c>
      <c r="D100" t="s">
        <v>17</v>
      </c>
      <c r="E100">
        <v>145</v>
      </c>
      <c r="F100">
        <v>409.36</v>
      </c>
      <c r="G100">
        <v>382.21</v>
      </c>
      <c r="H100">
        <v>409.36</v>
      </c>
      <c r="I100">
        <v>3787</v>
      </c>
      <c r="J100">
        <v>8</v>
      </c>
      <c r="K100" s="17">
        <f t="shared" si="9"/>
        <v>1009.8666666666667</v>
      </c>
      <c r="L100" t="str">
        <f t="shared" si="10"/>
        <v>High Risk</v>
      </c>
      <c r="P100" s="19">
        <f t="shared" si="11"/>
        <v>865</v>
      </c>
      <c r="R100" s="19">
        <f t="shared" si="8"/>
        <v>354096.4</v>
      </c>
      <c r="T100" s="19">
        <f t="shared" si="12"/>
        <v>1447429.27</v>
      </c>
      <c r="U100" s="19">
        <f t="shared" si="13"/>
        <v>1550246.32</v>
      </c>
      <c r="V100" s="21">
        <f t="shared" si="14"/>
        <v>102817.05000000005</v>
      </c>
      <c r="W100" s="18">
        <f t="shared" si="15"/>
        <v>7.1034248188168836E-2</v>
      </c>
    </row>
    <row r="101" spans="1:23" x14ac:dyDescent="0.3">
      <c r="A101" t="s">
        <v>76</v>
      </c>
      <c r="B101" t="s">
        <v>507</v>
      </c>
      <c r="C101" t="s">
        <v>12</v>
      </c>
      <c r="D101" t="s">
        <v>13</v>
      </c>
      <c r="E101">
        <v>146</v>
      </c>
      <c r="F101">
        <v>421.82</v>
      </c>
      <c r="G101">
        <v>467.06</v>
      </c>
      <c r="H101">
        <v>421.82</v>
      </c>
      <c r="I101">
        <v>1911</v>
      </c>
      <c r="J101">
        <v>37</v>
      </c>
      <c r="K101" s="17">
        <f t="shared" si="9"/>
        <v>2356.9</v>
      </c>
      <c r="L101" t="str">
        <f t="shared" si="10"/>
        <v>High Risk</v>
      </c>
      <c r="P101" s="19">
        <f t="shared" si="11"/>
        <v>2211</v>
      </c>
      <c r="R101" s="19">
        <f t="shared" si="8"/>
        <v>932644.02</v>
      </c>
      <c r="T101" s="19">
        <f t="shared" si="12"/>
        <v>892551.66</v>
      </c>
      <c r="U101" s="19">
        <f t="shared" si="13"/>
        <v>806098.02</v>
      </c>
      <c r="V101" s="21">
        <f t="shared" si="14"/>
        <v>-86453.640000000014</v>
      </c>
      <c r="W101" s="18">
        <f t="shared" si="15"/>
        <v>-9.6861216974264558E-2</v>
      </c>
    </row>
    <row r="102" spans="1:23" x14ac:dyDescent="0.3">
      <c r="A102" t="s">
        <v>451</v>
      </c>
      <c r="B102" t="s">
        <v>452</v>
      </c>
      <c r="C102" t="s">
        <v>50</v>
      </c>
      <c r="D102" t="s">
        <v>26</v>
      </c>
      <c r="E102">
        <v>148</v>
      </c>
      <c r="F102">
        <v>47.04</v>
      </c>
      <c r="G102">
        <v>40.96</v>
      </c>
      <c r="H102">
        <v>47.04</v>
      </c>
      <c r="I102">
        <v>2320</v>
      </c>
      <c r="J102">
        <v>37</v>
      </c>
      <c r="K102" s="17">
        <f t="shared" si="9"/>
        <v>2861.333333333333</v>
      </c>
      <c r="L102" t="str">
        <f t="shared" si="10"/>
        <v>High Risk</v>
      </c>
      <c r="P102" s="19">
        <f t="shared" si="11"/>
        <v>2714</v>
      </c>
      <c r="R102" s="19">
        <f t="shared" si="8"/>
        <v>127666.56</v>
      </c>
      <c r="T102" s="19">
        <f t="shared" si="12"/>
        <v>95027.199999999997</v>
      </c>
      <c r="U102" s="19">
        <f t="shared" si="13"/>
        <v>109132.8</v>
      </c>
      <c r="V102" s="21">
        <f t="shared" si="14"/>
        <v>14105.600000000006</v>
      </c>
      <c r="W102" s="18">
        <f t="shared" si="15"/>
        <v>0.14843750000000006</v>
      </c>
    </row>
    <row r="103" spans="1:23" x14ac:dyDescent="0.3">
      <c r="A103" t="s">
        <v>1866</v>
      </c>
      <c r="B103" t="s">
        <v>1867</v>
      </c>
      <c r="C103" t="s">
        <v>37</v>
      </c>
      <c r="D103" t="s">
        <v>20</v>
      </c>
      <c r="E103">
        <v>153</v>
      </c>
      <c r="F103">
        <v>17.86</v>
      </c>
      <c r="G103">
        <v>17.95</v>
      </c>
      <c r="H103">
        <v>17.86</v>
      </c>
      <c r="I103">
        <v>2120</v>
      </c>
      <c r="J103">
        <v>73</v>
      </c>
      <c r="K103" s="17">
        <f t="shared" si="9"/>
        <v>5158.666666666667</v>
      </c>
      <c r="L103" t="str">
        <f t="shared" si="10"/>
        <v>High Risk</v>
      </c>
      <c r="P103" s="19">
        <f t="shared" si="11"/>
        <v>5006</v>
      </c>
      <c r="R103" s="19">
        <f t="shared" si="8"/>
        <v>89407.16</v>
      </c>
      <c r="T103" s="19">
        <f t="shared" si="12"/>
        <v>38054</v>
      </c>
      <c r="U103" s="19">
        <f t="shared" si="13"/>
        <v>37863.199999999997</v>
      </c>
      <c r="V103" s="21">
        <f t="shared" si="14"/>
        <v>-190.80000000000291</v>
      </c>
      <c r="W103" s="18">
        <f t="shared" si="15"/>
        <v>-5.0139275766017477E-3</v>
      </c>
    </row>
    <row r="104" spans="1:23" x14ac:dyDescent="0.3">
      <c r="A104" t="s">
        <v>782</v>
      </c>
      <c r="B104" t="s">
        <v>2168</v>
      </c>
      <c r="C104" t="s">
        <v>37</v>
      </c>
      <c r="D104" t="s">
        <v>26</v>
      </c>
      <c r="E104">
        <v>159</v>
      </c>
      <c r="F104">
        <v>134.27000000000001</v>
      </c>
      <c r="G104">
        <v>135.1</v>
      </c>
      <c r="H104">
        <v>134.27000000000001</v>
      </c>
      <c r="I104">
        <v>1542</v>
      </c>
      <c r="J104">
        <v>65</v>
      </c>
      <c r="K104" s="17">
        <f t="shared" si="9"/>
        <v>3341</v>
      </c>
      <c r="L104" t="str">
        <f t="shared" si="10"/>
        <v>High Risk</v>
      </c>
      <c r="P104" s="19">
        <f t="shared" si="11"/>
        <v>3182</v>
      </c>
      <c r="R104" s="19">
        <f t="shared" si="8"/>
        <v>427247.14</v>
      </c>
      <c r="T104" s="19">
        <f t="shared" si="12"/>
        <v>208324.19999999998</v>
      </c>
      <c r="U104" s="19">
        <f t="shared" si="13"/>
        <v>207044.34000000003</v>
      </c>
      <c r="V104" s="21">
        <f t="shared" si="14"/>
        <v>-1279.8599999999569</v>
      </c>
      <c r="W104" s="18">
        <f t="shared" si="15"/>
        <v>-6.1435973353069738E-3</v>
      </c>
    </row>
    <row r="105" spans="1:23" x14ac:dyDescent="0.3">
      <c r="A105" t="s">
        <v>216</v>
      </c>
      <c r="B105" t="s">
        <v>2638</v>
      </c>
      <c r="C105" t="s">
        <v>50</v>
      </c>
      <c r="D105" t="s">
        <v>20</v>
      </c>
      <c r="E105">
        <v>159</v>
      </c>
      <c r="F105">
        <v>111.84</v>
      </c>
      <c r="G105">
        <v>105.5</v>
      </c>
      <c r="H105">
        <v>111.84</v>
      </c>
      <c r="I105">
        <v>2704</v>
      </c>
      <c r="J105">
        <v>42</v>
      </c>
      <c r="K105" s="17">
        <f t="shared" si="9"/>
        <v>3785.6000000000004</v>
      </c>
      <c r="L105" t="str">
        <f t="shared" si="10"/>
        <v>High Risk</v>
      </c>
      <c r="P105" s="19">
        <f t="shared" si="11"/>
        <v>3627</v>
      </c>
      <c r="R105" s="19">
        <f t="shared" si="8"/>
        <v>405643.68</v>
      </c>
      <c r="T105" s="19">
        <f t="shared" si="12"/>
        <v>285272</v>
      </c>
      <c r="U105" s="19">
        <f t="shared" si="13"/>
        <v>302415.35999999999</v>
      </c>
      <c r="V105" s="21">
        <f t="shared" si="14"/>
        <v>17143.359999999986</v>
      </c>
      <c r="W105" s="18">
        <f t="shared" si="15"/>
        <v>6.0094786729857769E-2</v>
      </c>
    </row>
    <row r="106" spans="1:23" x14ac:dyDescent="0.3">
      <c r="A106" t="s">
        <v>286</v>
      </c>
      <c r="B106" t="s">
        <v>2847</v>
      </c>
      <c r="C106" t="s">
        <v>23</v>
      </c>
      <c r="D106" t="s">
        <v>26</v>
      </c>
      <c r="E106">
        <v>160</v>
      </c>
      <c r="F106">
        <v>419.7</v>
      </c>
      <c r="G106">
        <v>374.85</v>
      </c>
      <c r="H106">
        <v>419.7</v>
      </c>
      <c r="I106">
        <v>2065</v>
      </c>
      <c r="J106">
        <v>55</v>
      </c>
      <c r="K106" s="17">
        <f t="shared" si="9"/>
        <v>3785.833333333333</v>
      </c>
      <c r="L106" t="str">
        <f t="shared" si="10"/>
        <v>High Risk</v>
      </c>
      <c r="P106" s="19">
        <f t="shared" si="11"/>
        <v>3626</v>
      </c>
      <c r="R106" s="19">
        <f t="shared" si="8"/>
        <v>1521832.2</v>
      </c>
      <c r="T106" s="19">
        <f t="shared" si="12"/>
        <v>774065.25</v>
      </c>
      <c r="U106" s="19">
        <f t="shared" si="13"/>
        <v>866680.5</v>
      </c>
      <c r="V106" s="21">
        <f t="shared" si="14"/>
        <v>92615.25</v>
      </c>
      <c r="W106" s="18">
        <f t="shared" si="15"/>
        <v>0.11964785914365746</v>
      </c>
    </row>
    <row r="107" spans="1:23" x14ac:dyDescent="0.3">
      <c r="A107" t="s">
        <v>696</v>
      </c>
      <c r="B107" t="s">
        <v>3279</v>
      </c>
      <c r="C107" t="s">
        <v>37</v>
      </c>
      <c r="D107" t="s">
        <v>26</v>
      </c>
      <c r="E107">
        <v>162</v>
      </c>
      <c r="F107">
        <v>403.61</v>
      </c>
      <c r="G107">
        <v>351.31</v>
      </c>
      <c r="H107">
        <v>403.61</v>
      </c>
      <c r="I107">
        <v>1987</v>
      </c>
      <c r="J107">
        <v>9</v>
      </c>
      <c r="K107" s="17">
        <f t="shared" si="9"/>
        <v>596.1</v>
      </c>
      <c r="L107" t="str">
        <f t="shared" si="10"/>
        <v>High Risk</v>
      </c>
      <c r="P107" s="19">
        <f t="shared" si="11"/>
        <v>435</v>
      </c>
      <c r="R107" s="19">
        <f t="shared" si="8"/>
        <v>175570.35</v>
      </c>
      <c r="T107" s="19">
        <f t="shared" si="12"/>
        <v>698052.97</v>
      </c>
      <c r="U107" s="19">
        <f t="shared" si="13"/>
        <v>801973.07000000007</v>
      </c>
      <c r="V107" s="21">
        <f t="shared" si="14"/>
        <v>103920.10000000009</v>
      </c>
      <c r="W107" s="18">
        <f t="shared" si="15"/>
        <v>0.14887136716859767</v>
      </c>
    </row>
    <row r="108" spans="1:23" x14ac:dyDescent="0.3">
      <c r="A108" t="s">
        <v>594</v>
      </c>
      <c r="B108" t="s">
        <v>595</v>
      </c>
      <c r="C108" t="s">
        <v>16</v>
      </c>
      <c r="D108" t="s">
        <v>26</v>
      </c>
      <c r="E108">
        <v>162</v>
      </c>
      <c r="F108">
        <v>502.74</v>
      </c>
      <c r="G108">
        <v>459.9</v>
      </c>
      <c r="H108">
        <v>502.74</v>
      </c>
      <c r="I108">
        <v>3053</v>
      </c>
      <c r="J108">
        <v>53</v>
      </c>
      <c r="K108" s="17">
        <f t="shared" si="9"/>
        <v>5393.6333333333332</v>
      </c>
      <c r="L108" t="str">
        <f t="shared" si="10"/>
        <v>High Risk</v>
      </c>
      <c r="P108" s="19">
        <f t="shared" si="11"/>
        <v>5232</v>
      </c>
      <c r="R108" s="19">
        <f t="shared" si="8"/>
        <v>2630335.6800000002</v>
      </c>
      <c r="T108" s="19">
        <f t="shared" si="12"/>
        <v>1404074.7</v>
      </c>
      <c r="U108" s="19">
        <f t="shared" si="13"/>
        <v>1534865.22</v>
      </c>
      <c r="V108" s="21">
        <f t="shared" si="14"/>
        <v>130790.52000000002</v>
      </c>
      <c r="W108" s="18">
        <f t="shared" si="15"/>
        <v>9.3150684931506869E-2</v>
      </c>
    </row>
    <row r="109" spans="1:23" x14ac:dyDescent="0.3">
      <c r="A109" t="s">
        <v>105</v>
      </c>
      <c r="B109" t="s">
        <v>1806</v>
      </c>
      <c r="C109" t="s">
        <v>16</v>
      </c>
      <c r="D109" t="s">
        <v>20</v>
      </c>
      <c r="E109">
        <v>163</v>
      </c>
      <c r="F109">
        <v>388.11</v>
      </c>
      <c r="G109">
        <v>381.77</v>
      </c>
      <c r="H109">
        <v>388.11</v>
      </c>
      <c r="I109">
        <v>2862</v>
      </c>
      <c r="J109">
        <v>62</v>
      </c>
      <c r="K109" s="17">
        <f t="shared" si="9"/>
        <v>5914.8</v>
      </c>
      <c r="L109" t="str">
        <f t="shared" si="10"/>
        <v>High Risk</v>
      </c>
      <c r="P109" s="19">
        <f t="shared" si="11"/>
        <v>5752</v>
      </c>
      <c r="R109" s="19">
        <f t="shared" si="8"/>
        <v>2232408.7200000002</v>
      </c>
      <c r="T109" s="19">
        <f t="shared" si="12"/>
        <v>1092625.74</v>
      </c>
      <c r="U109" s="19">
        <f t="shared" si="13"/>
        <v>1110770.82</v>
      </c>
      <c r="V109" s="21">
        <f t="shared" si="14"/>
        <v>18145.080000000075</v>
      </c>
      <c r="W109" s="18">
        <f t="shared" si="15"/>
        <v>1.6606857532021967E-2</v>
      </c>
    </row>
    <row r="110" spans="1:23" x14ac:dyDescent="0.3">
      <c r="A110" t="s">
        <v>136</v>
      </c>
      <c r="B110" t="s">
        <v>2152</v>
      </c>
      <c r="C110" t="s">
        <v>12</v>
      </c>
      <c r="D110" t="s">
        <v>26</v>
      </c>
      <c r="E110">
        <v>165</v>
      </c>
      <c r="F110">
        <v>121.26</v>
      </c>
      <c r="G110">
        <v>104.44</v>
      </c>
      <c r="H110">
        <v>121.26</v>
      </c>
      <c r="I110">
        <v>247</v>
      </c>
      <c r="J110">
        <v>6</v>
      </c>
      <c r="K110" s="17">
        <f t="shared" si="9"/>
        <v>49.399999999999991</v>
      </c>
      <c r="L110" t="str">
        <f t="shared" si="10"/>
        <v>Sufficuent Stock</v>
      </c>
      <c r="P110" s="19">
        <f t="shared" si="11"/>
        <v>0</v>
      </c>
      <c r="R110" s="19">
        <f t="shared" si="8"/>
        <v>0</v>
      </c>
      <c r="T110" s="19">
        <f t="shared" si="12"/>
        <v>25796.68</v>
      </c>
      <c r="U110" s="19">
        <f t="shared" si="13"/>
        <v>29951.22</v>
      </c>
      <c r="V110" s="21">
        <f t="shared" si="14"/>
        <v>4154.5400000000009</v>
      </c>
      <c r="W110" s="18">
        <f t="shared" si="15"/>
        <v>0.16104940635771739</v>
      </c>
    </row>
    <row r="111" spans="1:23" x14ac:dyDescent="0.3">
      <c r="A111" t="s">
        <v>1273</v>
      </c>
      <c r="B111" t="s">
        <v>1274</v>
      </c>
      <c r="C111" t="s">
        <v>50</v>
      </c>
      <c r="D111" t="s">
        <v>13</v>
      </c>
      <c r="E111">
        <v>167</v>
      </c>
      <c r="F111">
        <v>330.58</v>
      </c>
      <c r="G111">
        <v>364.84</v>
      </c>
      <c r="H111">
        <v>330.58</v>
      </c>
      <c r="I111">
        <v>459</v>
      </c>
      <c r="J111">
        <v>31</v>
      </c>
      <c r="K111" s="17">
        <f t="shared" si="9"/>
        <v>474.3</v>
      </c>
      <c r="L111" t="str">
        <f t="shared" si="10"/>
        <v>High Risk</v>
      </c>
      <c r="P111" s="19">
        <f t="shared" si="11"/>
        <v>308</v>
      </c>
      <c r="R111" s="19">
        <f t="shared" si="8"/>
        <v>101818.64</v>
      </c>
      <c r="T111" s="19">
        <f t="shared" si="12"/>
        <v>167461.56</v>
      </c>
      <c r="U111" s="19">
        <f t="shared" si="13"/>
        <v>151736.22</v>
      </c>
      <c r="V111" s="21">
        <f t="shared" si="14"/>
        <v>-15725.339999999997</v>
      </c>
      <c r="W111" s="18">
        <f t="shared" si="15"/>
        <v>-9.3904177173555509E-2</v>
      </c>
    </row>
    <row r="112" spans="1:23" x14ac:dyDescent="0.3">
      <c r="A112" t="s">
        <v>155</v>
      </c>
      <c r="B112" t="s">
        <v>1080</v>
      </c>
      <c r="C112" t="s">
        <v>12</v>
      </c>
      <c r="D112" t="s">
        <v>69</v>
      </c>
      <c r="E112">
        <v>170</v>
      </c>
      <c r="F112">
        <v>325.89999999999998</v>
      </c>
      <c r="G112">
        <v>284.33999999999997</v>
      </c>
      <c r="H112">
        <v>325.89999999999998</v>
      </c>
      <c r="I112">
        <v>208</v>
      </c>
      <c r="J112">
        <v>6</v>
      </c>
      <c r="K112" s="17">
        <f t="shared" si="9"/>
        <v>41.6</v>
      </c>
      <c r="L112" t="str">
        <f t="shared" si="10"/>
        <v>Sufficuent Stock</v>
      </c>
      <c r="P112" s="19">
        <f t="shared" si="11"/>
        <v>0</v>
      </c>
      <c r="R112" s="19">
        <f t="shared" si="8"/>
        <v>0</v>
      </c>
      <c r="T112" s="19">
        <f t="shared" si="12"/>
        <v>59142.719999999994</v>
      </c>
      <c r="U112" s="19">
        <f t="shared" si="13"/>
        <v>67787.199999999997</v>
      </c>
      <c r="V112" s="21">
        <f t="shared" si="14"/>
        <v>8644.4800000000032</v>
      </c>
      <c r="W112" s="18">
        <f t="shared" si="15"/>
        <v>0.14616304424280799</v>
      </c>
    </row>
    <row r="113" spans="1:23" x14ac:dyDescent="0.3">
      <c r="A113" t="s">
        <v>666</v>
      </c>
      <c r="B113" t="s">
        <v>2917</v>
      </c>
      <c r="C113" t="s">
        <v>16</v>
      </c>
      <c r="D113" t="s">
        <v>13</v>
      </c>
      <c r="E113">
        <v>171</v>
      </c>
      <c r="F113">
        <v>523.36</v>
      </c>
      <c r="G113">
        <v>452.09</v>
      </c>
      <c r="H113">
        <v>523.36</v>
      </c>
      <c r="I113">
        <v>3939</v>
      </c>
      <c r="J113">
        <v>59</v>
      </c>
      <c r="K113" s="17">
        <f t="shared" si="9"/>
        <v>7746.7000000000007</v>
      </c>
      <c r="L113" t="str">
        <f t="shared" si="10"/>
        <v>High Risk</v>
      </c>
      <c r="P113" s="19">
        <f t="shared" si="11"/>
        <v>7576</v>
      </c>
      <c r="R113" s="19">
        <f t="shared" si="8"/>
        <v>3964975.3600000003</v>
      </c>
      <c r="T113" s="19">
        <f t="shared" si="12"/>
        <v>1780782.51</v>
      </c>
      <c r="U113" s="19">
        <f t="shared" si="13"/>
        <v>2061515.04</v>
      </c>
      <c r="V113" s="21">
        <f t="shared" si="14"/>
        <v>280732.53000000003</v>
      </c>
      <c r="W113" s="18">
        <f t="shared" si="15"/>
        <v>0.15764560153951648</v>
      </c>
    </row>
    <row r="114" spans="1:23" x14ac:dyDescent="0.3">
      <c r="A114" t="s">
        <v>535</v>
      </c>
      <c r="B114" t="s">
        <v>1822</v>
      </c>
      <c r="C114" t="s">
        <v>37</v>
      </c>
      <c r="D114" t="s">
        <v>69</v>
      </c>
      <c r="E114">
        <v>173</v>
      </c>
      <c r="F114">
        <v>378.55</v>
      </c>
      <c r="G114">
        <v>326.33</v>
      </c>
      <c r="H114">
        <v>378.55</v>
      </c>
      <c r="I114">
        <v>3136</v>
      </c>
      <c r="J114">
        <v>41</v>
      </c>
      <c r="K114" s="17">
        <f t="shared" si="9"/>
        <v>4285.8666666666668</v>
      </c>
      <c r="L114" t="str">
        <f t="shared" si="10"/>
        <v>High Risk</v>
      </c>
      <c r="P114" s="19">
        <f t="shared" si="11"/>
        <v>4113</v>
      </c>
      <c r="R114" s="19">
        <f t="shared" si="8"/>
        <v>1556976.1500000001</v>
      </c>
      <c r="T114" s="19">
        <f t="shared" si="12"/>
        <v>1023370.88</v>
      </c>
      <c r="U114" s="19">
        <f t="shared" si="13"/>
        <v>1187132.8</v>
      </c>
      <c r="V114" s="21">
        <f t="shared" si="14"/>
        <v>163761.92000000004</v>
      </c>
      <c r="W114" s="18">
        <f t="shared" si="15"/>
        <v>0.16002206355529683</v>
      </c>
    </row>
    <row r="115" spans="1:23" x14ac:dyDescent="0.3">
      <c r="A115" t="s">
        <v>1170</v>
      </c>
      <c r="B115" t="s">
        <v>2198</v>
      </c>
      <c r="C115" t="s">
        <v>37</v>
      </c>
      <c r="D115" t="s">
        <v>13</v>
      </c>
      <c r="E115">
        <v>174</v>
      </c>
      <c r="F115">
        <v>78.569999999999993</v>
      </c>
      <c r="G115">
        <v>72.239999999999995</v>
      </c>
      <c r="H115">
        <v>78.569999999999993</v>
      </c>
      <c r="I115">
        <v>721</v>
      </c>
      <c r="J115">
        <v>61</v>
      </c>
      <c r="K115" s="17">
        <f t="shared" si="9"/>
        <v>1466.0333333333335</v>
      </c>
      <c r="L115" t="str">
        <f t="shared" si="10"/>
        <v>High Risk</v>
      </c>
      <c r="P115" s="19">
        <f t="shared" si="11"/>
        <v>1293</v>
      </c>
      <c r="R115" s="19">
        <f t="shared" si="8"/>
        <v>101591.01</v>
      </c>
      <c r="T115" s="19">
        <f t="shared" si="12"/>
        <v>52085.039999999994</v>
      </c>
      <c r="U115" s="19">
        <f t="shared" si="13"/>
        <v>56648.969999999994</v>
      </c>
      <c r="V115" s="21">
        <f t="shared" si="14"/>
        <v>4563.93</v>
      </c>
      <c r="W115" s="18">
        <f t="shared" si="15"/>
        <v>8.7624584717607992E-2</v>
      </c>
    </row>
    <row r="116" spans="1:23" x14ac:dyDescent="0.3">
      <c r="A116" t="s">
        <v>470</v>
      </c>
      <c r="B116" t="s">
        <v>779</v>
      </c>
      <c r="C116" t="s">
        <v>50</v>
      </c>
      <c r="D116" t="s">
        <v>17</v>
      </c>
      <c r="E116">
        <v>175</v>
      </c>
      <c r="F116">
        <v>77.83</v>
      </c>
      <c r="G116">
        <v>73.739999999999995</v>
      </c>
      <c r="H116">
        <v>77.83</v>
      </c>
      <c r="I116">
        <v>1133</v>
      </c>
      <c r="J116">
        <v>63</v>
      </c>
      <c r="K116" s="17">
        <f t="shared" si="9"/>
        <v>2379.2999999999997</v>
      </c>
      <c r="L116" t="str">
        <f t="shared" si="10"/>
        <v>High Risk</v>
      </c>
      <c r="P116" s="19">
        <f t="shared" si="11"/>
        <v>2205</v>
      </c>
      <c r="R116" s="19">
        <f t="shared" si="8"/>
        <v>171615.15</v>
      </c>
      <c r="T116" s="19">
        <f t="shared" si="12"/>
        <v>83547.42</v>
      </c>
      <c r="U116" s="19">
        <f t="shared" si="13"/>
        <v>88181.39</v>
      </c>
      <c r="V116" s="21">
        <f t="shared" si="14"/>
        <v>4633.9700000000012</v>
      </c>
      <c r="W116" s="18">
        <f t="shared" si="15"/>
        <v>5.5465147816653119E-2</v>
      </c>
    </row>
    <row r="117" spans="1:23" x14ac:dyDescent="0.3">
      <c r="A117" t="s">
        <v>90</v>
      </c>
      <c r="B117" t="s">
        <v>2458</v>
      </c>
      <c r="C117" t="s">
        <v>16</v>
      </c>
      <c r="D117" t="s">
        <v>20</v>
      </c>
      <c r="E117">
        <v>175</v>
      </c>
      <c r="F117">
        <v>67.81</v>
      </c>
      <c r="G117">
        <v>57.76</v>
      </c>
      <c r="H117">
        <v>67.81</v>
      </c>
      <c r="I117">
        <v>1471</v>
      </c>
      <c r="J117">
        <v>79</v>
      </c>
      <c r="K117" s="17">
        <f t="shared" si="9"/>
        <v>3873.6333333333332</v>
      </c>
      <c r="L117" t="str">
        <f t="shared" si="10"/>
        <v>High Risk</v>
      </c>
      <c r="P117" s="19">
        <f t="shared" si="11"/>
        <v>3699</v>
      </c>
      <c r="R117" s="19">
        <f t="shared" si="8"/>
        <v>250829.19</v>
      </c>
      <c r="T117" s="19">
        <f t="shared" si="12"/>
        <v>84964.959999999992</v>
      </c>
      <c r="U117" s="19">
        <f t="shared" si="13"/>
        <v>99748.510000000009</v>
      </c>
      <c r="V117" s="21">
        <f t="shared" si="14"/>
        <v>14783.550000000017</v>
      </c>
      <c r="W117" s="18">
        <f t="shared" si="15"/>
        <v>0.17399584487534647</v>
      </c>
    </row>
    <row r="118" spans="1:23" x14ac:dyDescent="0.3">
      <c r="A118" t="s">
        <v>651</v>
      </c>
      <c r="B118" t="s">
        <v>3131</v>
      </c>
      <c r="C118" t="s">
        <v>12</v>
      </c>
      <c r="D118" t="s">
        <v>17</v>
      </c>
      <c r="E118">
        <v>175</v>
      </c>
      <c r="F118">
        <v>267.73</v>
      </c>
      <c r="G118">
        <v>270.91000000000003</v>
      </c>
      <c r="H118">
        <v>267.73</v>
      </c>
      <c r="I118">
        <v>1839</v>
      </c>
      <c r="J118">
        <v>86</v>
      </c>
      <c r="K118" s="17">
        <f t="shared" si="9"/>
        <v>5271.8</v>
      </c>
      <c r="L118" t="str">
        <f t="shared" si="10"/>
        <v>High Risk</v>
      </c>
      <c r="P118" s="19">
        <f t="shared" si="11"/>
        <v>5097</v>
      </c>
      <c r="R118" s="19">
        <f t="shared" si="8"/>
        <v>1364619.81</v>
      </c>
      <c r="T118" s="19">
        <f t="shared" si="12"/>
        <v>498203.49000000005</v>
      </c>
      <c r="U118" s="19">
        <f t="shared" si="13"/>
        <v>492355.47000000003</v>
      </c>
      <c r="V118" s="21">
        <f t="shared" si="14"/>
        <v>-5848.0200000000186</v>
      </c>
      <c r="W118" s="18">
        <f t="shared" si="15"/>
        <v>-1.1738215643571703E-2</v>
      </c>
    </row>
    <row r="119" spans="1:23" x14ac:dyDescent="0.3">
      <c r="A119" t="s">
        <v>303</v>
      </c>
      <c r="B119" t="s">
        <v>304</v>
      </c>
      <c r="C119" t="s">
        <v>37</v>
      </c>
      <c r="D119" t="s">
        <v>69</v>
      </c>
      <c r="E119">
        <v>182</v>
      </c>
      <c r="F119">
        <v>397.05</v>
      </c>
      <c r="G119">
        <v>332.58</v>
      </c>
      <c r="H119">
        <v>397.05</v>
      </c>
      <c r="I119">
        <v>2749</v>
      </c>
      <c r="J119">
        <v>7</v>
      </c>
      <c r="K119" s="17">
        <f t="shared" si="9"/>
        <v>641.43333333333339</v>
      </c>
      <c r="L119" t="str">
        <f t="shared" si="10"/>
        <v>High Risk</v>
      </c>
      <c r="P119" s="19">
        <f t="shared" si="11"/>
        <v>460</v>
      </c>
      <c r="R119" s="19">
        <f t="shared" si="8"/>
        <v>182643</v>
      </c>
      <c r="T119" s="19">
        <f t="shared" si="12"/>
        <v>914262.41999999993</v>
      </c>
      <c r="U119" s="19">
        <f t="shared" si="13"/>
        <v>1091490.45</v>
      </c>
      <c r="V119" s="21">
        <f t="shared" si="14"/>
        <v>177228.03000000003</v>
      </c>
      <c r="W119" s="18">
        <f t="shared" si="15"/>
        <v>0.19384809669853875</v>
      </c>
    </row>
    <row r="120" spans="1:23" x14ac:dyDescent="0.3">
      <c r="A120" t="s">
        <v>44</v>
      </c>
      <c r="B120" t="s">
        <v>2773</v>
      </c>
      <c r="C120" t="s">
        <v>23</v>
      </c>
      <c r="D120" t="s">
        <v>13</v>
      </c>
      <c r="E120">
        <v>182</v>
      </c>
      <c r="F120">
        <v>80.08</v>
      </c>
      <c r="G120">
        <v>74.2</v>
      </c>
      <c r="H120">
        <v>80.08</v>
      </c>
      <c r="I120">
        <v>3706</v>
      </c>
      <c r="J120">
        <v>41</v>
      </c>
      <c r="K120" s="17">
        <f t="shared" si="9"/>
        <v>5064.8666666666668</v>
      </c>
      <c r="L120" t="str">
        <f t="shared" si="10"/>
        <v>High Risk</v>
      </c>
      <c r="P120" s="19">
        <f t="shared" si="11"/>
        <v>4883</v>
      </c>
      <c r="R120" s="19">
        <f t="shared" si="8"/>
        <v>391030.64</v>
      </c>
      <c r="T120" s="19">
        <f t="shared" si="12"/>
        <v>274985.2</v>
      </c>
      <c r="U120" s="19">
        <f t="shared" si="13"/>
        <v>296776.48</v>
      </c>
      <c r="V120" s="21">
        <f t="shared" si="14"/>
        <v>21791.27999999997</v>
      </c>
      <c r="W120" s="18">
        <f t="shared" si="15"/>
        <v>7.924528301886781E-2</v>
      </c>
    </row>
    <row r="121" spans="1:23" x14ac:dyDescent="0.3">
      <c r="A121" t="s">
        <v>374</v>
      </c>
      <c r="B121" t="s">
        <v>2463</v>
      </c>
      <c r="C121" t="s">
        <v>50</v>
      </c>
      <c r="D121" t="s">
        <v>69</v>
      </c>
      <c r="E121">
        <v>184</v>
      </c>
      <c r="F121">
        <v>418.58</v>
      </c>
      <c r="G121">
        <v>452.87</v>
      </c>
      <c r="H121">
        <v>418.58</v>
      </c>
      <c r="I121">
        <v>1157</v>
      </c>
      <c r="J121">
        <v>40</v>
      </c>
      <c r="K121" s="17">
        <f t="shared" si="9"/>
        <v>1542.6666666666667</v>
      </c>
      <c r="L121" t="str">
        <f t="shared" si="10"/>
        <v>High Risk</v>
      </c>
      <c r="P121" s="19">
        <f t="shared" si="11"/>
        <v>1359</v>
      </c>
      <c r="R121" s="19">
        <f t="shared" si="8"/>
        <v>568850.22</v>
      </c>
      <c r="T121" s="19">
        <f t="shared" si="12"/>
        <v>523970.59</v>
      </c>
      <c r="U121" s="19">
        <f t="shared" si="13"/>
        <v>484297.06</v>
      </c>
      <c r="V121" s="21">
        <f t="shared" si="14"/>
        <v>-39673.530000000028</v>
      </c>
      <c r="W121" s="18">
        <f t="shared" si="15"/>
        <v>-7.5717093205555724E-2</v>
      </c>
    </row>
    <row r="122" spans="1:23" x14ac:dyDescent="0.3">
      <c r="A122" t="s">
        <v>1559</v>
      </c>
      <c r="B122" t="s">
        <v>2192</v>
      </c>
      <c r="C122" t="s">
        <v>50</v>
      </c>
      <c r="D122" t="s">
        <v>13</v>
      </c>
      <c r="E122">
        <v>187</v>
      </c>
      <c r="F122">
        <v>305.26</v>
      </c>
      <c r="G122">
        <v>295.33</v>
      </c>
      <c r="H122">
        <v>305.26</v>
      </c>
      <c r="I122">
        <v>806</v>
      </c>
      <c r="J122">
        <v>6</v>
      </c>
      <c r="K122" s="17">
        <f t="shared" si="9"/>
        <v>161.19999999999999</v>
      </c>
      <c r="L122" t="str">
        <f t="shared" si="10"/>
        <v>Sufficuent Stock</v>
      </c>
      <c r="P122" s="19">
        <f t="shared" si="11"/>
        <v>0</v>
      </c>
      <c r="R122" s="19">
        <f t="shared" si="8"/>
        <v>0</v>
      </c>
      <c r="T122" s="19">
        <f t="shared" si="12"/>
        <v>238035.97999999998</v>
      </c>
      <c r="U122" s="19">
        <f t="shared" si="13"/>
        <v>246039.56</v>
      </c>
      <c r="V122" s="21">
        <f t="shared" si="14"/>
        <v>8003.5800000000163</v>
      </c>
      <c r="W122" s="18">
        <f t="shared" si="15"/>
        <v>3.3623404327362681E-2</v>
      </c>
    </row>
    <row r="123" spans="1:23" x14ac:dyDescent="0.3">
      <c r="A123" t="s">
        <v>462</v>
      </c>
      <c r="B123" t="s">
        <v>2354</v>
      </c>
      <c r="C123" t="s">
        <v>12</v>
      </c>
      <c r="D123" t="s">
        <v>69</v>
      </c>
      <c r="E123">
        <v>189</v>
      </c>
      <c r="F123">
        <v>474.59</v>
      </c>
      <c r="G123">
        <v>441.31</v>
      </c>
      <c r="H123">
        <v>474.59</v>
      </c>
      <c r="I123">
        <v>1247</v>
      </c>
      <c r="J123">
        <v>77</v>
      </c>
      <c r="K123" s="17">
        <f t="shared" si="9"/>
        <v>3200.6333333333337</v>
      </c>
      <c r="L123" t="str">
        <f t="shared" si="10"/>
        <v>High Risk</v>
      </c>
      <c r="P123" s="19">
        <f t="shared" si="11"/>
        <v>3012</v>
      </c>
      <c r="R123" s="19">
        <f t="shared" si="8"/>
        <v>1429465.0799999998</v>
      </c>
      <c r="T123" s="19">
        <f t="shared" si="12"/>
        <v>550313.56999999995</v>
      </c>
      <c r="U123" s="19">
        <f t="shared" si="13"/>
        <v>591813.73</v>
      </c>
      <c r="V123" s="21">
        <f t="shared" si="14"/>
        <v>41500.160000000033</v>
      </c>
      <c r="W123" s="18">
        <f t="shared" si="15"/>
        <v>7.5411842015816619E-2</v>
      </c>
    </row>
    <row r="124" spans="1:23" x14ac:dyDescent="0.3">
      <c r="A124" t="s">
        <v>631</v>
      </c>
      <c r="B124" t="s">
        <v>1769</v>
      </c>
      <c r="C124" t="s">
        <v>50</v>
      </c>
      <c r="D124" t="s">
        <v>20</v>
      </c>
      <c r="E124">
        <v>190</v>
      </c>
      <c r="F124">
        <v>208.72</v>
      </c>
      <c r="G124">
        <v>198.08</v>
      </c>
      <c r="H124">
        <v>208.72</v>
      </c>
      <c r="I124">
        <v>881</v>
      </c>
      <c r="J124">
        <v>72</v>
      </c>
      <c r="K124" s="17">
        <f t="shared" si="9"/>
        <v>2114.4</v>
      </c>
      <c r="L124" t="str">
        <f t="shared" si="10"/>
        <v>High Risk</v>
      </c>
      <c r="P124" s="19">
        <f t="shared" si="11"/>
        <v>1925</v>
      </c>
      <c r="R124" s="19">
        <f t="shared" si="8"/>
        <v>401786</v>
      </c>
      <c r="T124" s="19">
        <f t="shared" si="12"/>
        <v>174508.48</v>
      </c>
      <c r="U124" s="19">
        <f t="shared" si="13"/>
        <v>183882.32</v>
      </c>
      <c r="V124" s="21">
        <f t="shared" si="14"/>
        <v>9373.8399999999965</v>
      </c>
      <c r="W124" s="18">
        <f t="shared" si="15"/>
        <v>5.3715670436187378E-2</v>
      </c>
    </row>
    <row r="125" spans="1:23" x14ac:dyDescent="0.3">
      <c r="A125" t="s">
        <v>218</v>
      </c>
      <c r="B125" t="s">
        <v>219</v>
      </c>
      <c r="C125" t="s">
        <v>16</v>
      </c>
      <c r="D125" t="s">
        <v>26</v>
      </c>
      <c r="E125">
        <v>192</v>
      </c>
      <c r="F125">
        <v>18.18</v>
      </c>
      <c r="G125">
        <v>17.68</v>
      </c>
      <c r="H125">
        <v>18.18</v>
      </c>
      <c r="I125">
        <v>2241</v>
      </c>
      <c r="J125">
        <v>73</v>
      </c>
      <c r="K125" s="17">
        <f t="shared" si="9"/>
        <v>5453.1</v>
      </c>
      <c r="L125" t="str">
        <f t="shared" si="10"/>
        <v>High Risk</v>
      </c>
      <c r="P125" s="19">
        <f t="shared" si="11"/>
        <v>5262</v>
      </c>
      <c r="R125" s="19">
        <f t="shared" si="8"/>
        <v>95663.16</v>
      </c>
      <c r="T125" s="19">
        <f t="shared" si="12"/>
        <v>39620.879999999997</v>
      </c>
      <c r="U125" s="19">
        <f t="shared" si="13"/>
        <v>40741.379999999997</v>
      </c>
      <c r="V125" s="21">
        <f t="shared" si="14"/>
        <v>1120.5</v>
      </c>
      <c r="W125" s="18">
        <f t="shared" si="15"/>
        <v>2.828054298642534E-2</v>
      </c>
    </row>
    <row r="126" spans="1:23" x14ac:dyDescent="0.3">
      <c r="A126" t="s">
        <v>238</v>
      </c>
      <c r="B126" t="s">
        <v>2613</v>
      </c>
      <c r="C126" t="s">
        <v>37</v>
      </c>
      <c r="D126" t="s">
        <v>69</v>
      </c>
      <c r="E126">
        <v>195</v>
      </c>
      <c r="F126">
        <v>88.55</v>
      </c>
      <c r="G126">
        <v>80.97</v>
      </c>
      <c r="H126">
        <v>88.55</v>
      </c>
      <c r="I126">
        <v>3203</v>
      </c>
      <c r="J126">
        <v>61</v>
      </c>
      <c r="K126" s="17">
        <f t="shared" si="9"/>
        <v>6512.7666666666664</v>
      </c>
      <c r="L126" t="str">
        <f t="shared" si="10"/>
        <v>High Risk</v>
      </c>
      <c r="P126" s="19">
        <f t="shared" si="11"/>
        <v>6318</v>
      </c>
      <c r="R126" s="19">
        <f t="shared" si="8"/>
        <v>559458.9</v>
      </c>
      <c r="T126" s="19">
        <f t="shared" si="12"/>
        <v>259346.91</v>
      </c>
      <c r="U126" s="19">
        <f t="shared" si="13"/>
        <v>283625.64999999997</v>
      </c>
      <c r="V126" s="21">
        <f t="shared" si="14"/>
        <v>24278.739999999962</v>
      </c>
      <c r="W126" s="18">
        <f t="shared" si="15"/>
        <v>9.3614919105841521E-2</v>
      </c>
    </row>
    <row r="127" spans="1:23" x14ac:dyDescent="0.3">
      <c r="A127" t="s">
        <v>266</v>
      </c>
      <c r="B127" t="s">
        <v>351</v>
      </c>
      <c r="C127" t="s">
        <v>37</v>
      </c>
      <c r="D127" t="s">
        <v>17</v>
      </c>
      <c r="E127">
        <v>195</v>
      </c>
      <c r="F127">
        <v>566.66999999999996</v>
      </c>
      <c r="G127">
        <v>498.87</v>
      </c>
      <c r="H127">
        <v>566.66999999999996</v>
      </c>
      <c r="I127">
        <v>1735</v>
      </c>
      <c r="J127">
        <v>44</v>
      </c>
      <c r="K127" s="17">
        <f t="shared" si="9"/>
        <v>2544.666666666667</v>
      </c>
      <c r="L127" t="str">
        <f t="shared" si="10"/>
        <v>High Risk</v>
      </c>
      <c r="P127" s="19">
        <f t="shared" si="11"/>
        <v>2350</v>
      </c>
      <c r="R127" s="19">
        <f t="shared" si="8"/>
        <v>1331674.5</v>
      </c>
      <c r="T127" s="19">
        <f t="shared" si="12"/>
        <v>865539.45</v>
      </c>
      <c r="U127" s="19">
        <f t="shared" si="13"/>
        <v>983172.45</v>
      </c>
      <c r="V127" s="21">
        <f t="shared" si="14"/>
        <v>117633</v>
      </c>
      <c r="W127" s="18">
        <f t="shared" si="15"/>
        <v>0.13590715015936017</v>
      </c>
    </row>
    <row r="128" spans="1:23" x14ac:dyDescent="0.3">
      <c r="A128" t="s">
        <v>293</v>
      </c>
      <c r="B128" t="s">
        <v>1435</v>
      </c>
      <c r="C128" t="s">
        <v>50</v>
      </c>
      <c r="D128" t="s">
        <v>20</v>
      </c>
      <c r="E128">
        <v>197</v>
      </c>
      <c r="F128">
        <v>435.32</v>
      </c>
      <c r="G128">
        <v>390.48</v>
      </c>
      <c r="H128">
        <v>435.32</v>
      </c>
      <c r="I128">
        <v>1775</v>
      </c>
      <c r="J128">
        <v>43</v>
      </c>
      <c r="K128" s="17">
        <f t="shared" si="9"/>
        <v>2544.1666666666665</v>
      </c>
      <c r="L128" t="str">
        <f t="shared" si="10"/>
        <v>High Risk</v>
      </c>
      <c r="P128" s="19">
        <f t="shared" si="11"/>
        <v>2348</v>
      </c>
      <c r="R128" s="19">
        <f t="shared" si="8"/>
        <v>1022131.36</v>
      </c>
      <c r="T128" s="19">
        <f t="shared" si="12"/>
        <v>693102</v>
      </c>
      <c r="U128" s="19">
        <f t="shared" si="13"/>
        <v>772693</v>
      </c>
      <c r="V128" s="21">
        <f t="shared" si="14"/>
        <v>79591</v>
      </c>
      <c r="W128" s="18">
        <f t="shared" si="15"/>
        <v>0.11483302601925835</v>
      </c>
    </row>
    <row r="129" spans="1:23" x14ac:dyDescent="0.3">
      <c r="A129" t="s">
        <v>470</v>
      </c>
      <c r="B129" t="s">
        <v>985</v>
      </c>
      <c r="C129" t="s">
        <v>50</v>
      </c>
      <c r="D129" t="s">
        <v>20</v>
      </c>
      <c r="E129">
        <v>200</v>
      </c>
      <c r="F129">
        <v>208.44</v>
      </c>
      <c r="G129">
        <v>177.22</v>
      </c>
      <c r="H129">
        <v>208.44</v>
      </c>
      <c r="I129">
        <v>2960</v>
      </c>
      <c r="J129">
        <v>77</v>
      </c>
      <c r="K129" s="17">
        <f t="shared" si="9"/>
        <v>7597.3333333333339</v>
      </c>
      <c r="L129" t="str">
        <f t="shared" si="10"/>
        <v>High Risk</v>
      </c>
      <c r="P129" s="19">
        <f t="shared" si="11"/>
        <v>7398</v>
      </c>
      <c r="R129" s="19">
        <f t="shared" si="8"/>
        <v>1542039.1199999999</v>
      </c>
      <c r="T129" s="19">
        <f t="shared" si="12"/>
        <v>524571.19999999995</v>
      </c>
      <c r="U129" s="19">
        <f t="shared" si="13"/>
        <v>616982.4</v>
      </c>
      <c r="V129" s="21">
        <f t="shared" si="14"/>
        <v>92411.20000000007</v>
      </c>
      <c r="W129" s="18">
        <f t="shared" si="15"/>
        <v>0.17616521837264432</v>
      </c>
    </row>
    <row r="130" spans="1:23" x14ac:dyDescent="0.3">
      <c r="A130" t="s">
        <v>1333</v>
      </c>
      <c r="B130" t="s">
        <v>3123</v>
      </c>
      <c r="C130" t="s">
        <v>12</v>
      </c>
      <c r="D130" t="s">
        <v>20</v>
      </c>
      <c r="E130">
        <v>200</v>
      </c>
      <c r="F130">
        <v>162.4</v>
      </c>
      <c r="G130">
        <v>176.97</v>
      </c>
      <c r="H130">
        <v>162.4</v>
      </c>
      <c r="I130">
        <v>3645</v>
      </c>
      <c r="J130">
        <v>80</v>
      </c>
      <c r="K130" s="17">
        <f t="shared" si="9"/>
        <v>9720</v>
      </c>
      <c r="L130" t="str">
        <f t="shared" si="10"/>
        <v>High Risk</v>
      </c>
      <c r="P130" s="19">
        <f t="shared" si="11"/>
        <v>9520</v>
      </c>
      <c r="R130" s="19">
        <f t="shared" ref="R130:R193" si="16">P130*H130</f>
        <v>1546048</v>
      </c>
      <c r="T130" s="19">
        <f t="shared" si="12"/>
        <v>645055.65</v>
      </c>
      <c r="U130" s="19">
        <f t="shared" si="13"/>
        <v>591948</v>
      </c>
      <c r="V130" s="21">
        <f t="shared" si="14"/>
        <v>-53107.650000000023</v>
      </c>
      <c r="W130" s="18">
        <f t="shared" si="15"/>
        <v>-8.2330338475447851E-2</v>
      </c>
    </row>
    <row r="131" spans="1:23" x14ac:dyDescent="0.3">
      <c r="A131" t="s">
        <v>38</v>
      </c>
      <c r="B131" t="s">
        <v>1139</v>
      </c>
      <c r="C131" t="s">
        <v>23</v>
      </c>
      <c r="D131" t="s">
        <v>26</v>
      </c>
      <c r="E131">
        <v>200</v>
      </c>
      <c r="F131">
        <v>522.96</v>
      </c>
      <c r="G131">
        <v>451.38</v>
      </c>
      <c r="H131">
        <v>522.96</v>
      </c>
      <c r="I131">
        <v>2945</v>
      </c>
      <c r="J131">
        <v>33</v>
      </c>
      <c r="K131" s="17">
        <f t="shared" ref="K131:K194" si="17">(I131/30)*J131</f>
        <v>3239.5</v>
      </c>
      <c r="L131" t="str">
        <f t="shared" ref="L131:L194" si="18">IF(E131&lt;K131,"High Risk","Sufficuent Stock")</f>
        <v>High Risk</v>
      </c>
      <c r="P131" s="19">
        <f t="shared" ref="P131:P194" si="19">ROUNDUP(MAX(0,K131-E131),0)</f>
        <v>3040</v>
      </c>
      <c r="R131" s="19">
        <f t="shared" si="16"/>
        <v>1589798.4000000001</v>
      </c>
      <c r="T131" s="19">
        <f t="shared" ref="T131:T194" si="20">I131*G131</f>
        <v>1329314.1000000001</v>
      </c>
      <c r="U131" s="19">
        <f t="shared" ref="U131:U194" si="21">I131*H131</f>
        <v>1540117.2000000002</v>
      </c>
      <c r="V131" s="21">
        <f t="shared" ref="V131:V194" si="22">U131-T131</f>
        <v>210803.10000000009</v>
      </c>
      <c r="W131" s="18">
        <f t="shared" ref="W131:W194" si="23">IFERROR(V131/T131,0)</f>
        <v>0.15858035358234754</v>
      </c>
    </row>
    <row r="132" spans="1:23" x14ac:dyDescent="0.3">
      <c r="A132" t="s">
        <v>323</v>
      </c>
      <c r="B132" t="s">
        <v>578</v>
      </c>
      <c r="C132" t="s">
        <v>12</v>
      </c>
      <c r="D132" t="s">
        <v>17</v>
      </c>
      <c r="E132">
        <v>202</v>
      </c>
      <c r="F132">
        <v>85.73</v>
      </c>
      <c r="G132">
        <v>77.53</v>
      </c>
      <c r="H132">
        <v>85.73</v>
      </c>
      <c r="I132">
        <v>2218</v>
      </c>
      <c r="J132">
        <v>90</v>
      </c>
      <c r="K132" s="17">
        <f t="shared" si="17"/>
        <v>6654</v>
      </c>
      <c r="L132" t="str">
        <f t="shared" si="18"/>
        <v>High Risk</v>
      </c>
      <c r="P132" s="19">
        <f t="shared" si="19"/>
        <v>6452</v>
      </c>
      <c r="R132" s="19">
        <f t="shared" si="16"/>
        <v>553129.96000000008</v>
      </c>
      <c r="T132" s="19">
        <f t="shared" si="20"/>
        <v>171961.54</v>
      </c>
      <c r="U132" s="19">
        <f t="shared" si="21"/>
        <v>190149.14</v>
      </c>
      <c r="V132" s="21">
        <f t="shared" si="22"/>
        <v>18187.600000000006</v>
      </c>
      <c r="W132" s="18">
        <f t="shared" si="23"/>
        <v>0.10576551012511289</v>
      </c>
    </row>
    <row r="133" spans="1:23" x14ac:dyDescent="0.3">
      <c r="A133" t="s">
        <v>328</v>
      </c>
      <c r="B133" t="s">
        <v>1186</v>
      </c>
      <c r="C133" t="s">
        <v>12</v>
      </c>
      <c r="D133" t="s">
        <v>17</v>
      </c>
      <c r="E133">
        <v>203</v>
      </c>
      <c r="F133">
        <v>79.09</v>
      </c>
      <c r="G133">
        <v>71.180000000000007</v>
      </c>
      <c r="H133">
        <v>79.09</v>
      </c>
      <c r="I133">
        <v>2780</v>
      </c>
      <c r="J133">
        <v>41</v>
      </c>
      <c r="K133" s="17">
        <f t="shared" si="17"/>
        <v>3799.3333333333335</v>
      </c>
      <c r="L133" t="str">
        <f t="shared" si="18"/>
        <v>High Risk</v>
      </c>
      <c r="P133" s="19">
        <f t="shared" si="19"/>
        <v>3597</v>
      </c>
      <c r="R133" s="19">
        <f t="shared" si="16"/>
        <v>284486.73000000004</v>
      </c>
      <c r="T133" s="19">
        <f t="shared" si="20"/>
        <v>197880.40000000002</v>
      </c>
      <c r="U133" s="19">
        <f t="shared" si="21"/>
        <v>219870.2</v>
      </c>
      <c r="V133" s="21">
        <f t="shared" si="22"/>
        <v>21989.799999999988</v>
      </c>
      <c r="W133" s="18">
        <f t="shared" si="23"/>
        <v>0.11112672098904179</v>
      </c>
    </row>
    <row r="134" spans="1:23" x14ac:dyDescent="0.3">
      <c r="A134" t="s">
        <v>434</v>
      </c>
      <c r="B134" t="s">
        <v>2734</v>
      </c>
      <c r="C134" t="s">
        <v>37</v>
      </c>
      <c r="D134" t="s">
        <v>17</v>
      </c>
      <c r="E134">
        <v>206</v>
      </c>
      <c r="F134">
        <v>294.08999999999997</v>
      </c>
      <c r="G134">
        <v>324.95999999999998</v>
      </c>
      <c r="H134">
        <v>294.08999999999997</v>
      </c>
      <c r="I134">
        <v>755</v>
      </c>
      <c r="J134">
        <v>7</v>
      </c>
      <c r="K134" s="17">
        <f t="shared" si="17"/>
        <v>176.16666666666669</v>
      </c>
      <c r="L134" t="str">
        <f t="shared" si="18"/>
        <v>Sufficuent Stock</v>
      </c>
      <c r="P134" s="19">
        <f t="shared" si="19"/>
        <v>0</v>
      </c>
      <c r="R134" s="19">
        <f t="shared" si="16"/>
        <v>0</v>
      </c>
      <c r="T134" s="19">
        <f t="shared" si="20"/>
        <v>245344.8</v>
      </c>
      <c r="U134" s="19">
        <f t="shared" si="21"/>
        <v>222037.94999999998</v>
      </c>
      <c r="V134" s="21">
        <f t="shared" si="22"/>
        <v>-23306.850000000006</v>
      </c>
      <c r="W134" s="18">
        <f t="shared" si="23"/>
        <v>-9.499630723781391E-2</v>
      </c>
    </row>
    <row r="135" spans="1:23" x14ac:dyDescent="0.3">
      <c r="A135" t="s">
        <v>509</v>
      </c>
      <c r="B135" t="s">
        <v>2890</v>
      </c>
      <c r="C135" t="s">
        <v>50</v>
      </c>
      <c r="D135" t="s">
        <v>20</v>
      </c>
      <c r="E135">
        <v>206</v>
      </c>
      <c r="F135">
        <v>87.28</v>
      </c>
      <c r="G135">
        <v>91.86</v>
      </c>
      <c r="H135">
        <v>87.28</v>
      </c>
      <c r="I135">
        <v>1378</v>
      </c>
      <c r="J135">
        <v>72</v>
      </c>
      <c r="K135" s="17">
        <f t="shared" si="17"/>
        <v>3307.2</v>
      </c>
      <c r="L135" t="str">
        <f t="shared" si="18"/>
        <v>High Risk</v>
      </c>
      <c r="P135" s="19">
        <f t="shared" si="19"/>
        <v>3102</v>
      </c>
      <c r="R135" s="19">
        <f t="shared" si="16"/>
        <v>270742.56</v>
      </c>
      <c r="T135" s="19">
        <f t="shared" si="20"/>
        <v>126583.08</v>
      </c>
      <c r="U135" s="19">
        <f t="shared" si="21"/>
        <v>120271.84</v>
      </c>
      <c r="V135" s="21">
        <f t="shared" si="22"/>
        <v>-6311.2400000000052</v>
      </c>
      <c r="W135" s="18">
        <f t="shared" si="23"/>
        <v>-4.9858480296102806E-2</v>
      </c>
    </row>
    <row r="136" spans="1:23" x14ac:dyDescent="0.3">
      <c r="A136" t="s">
        <v>82</v>
      </c>
      <c r="B136" t="s">
        <v>2926</v>
      </c>
      <c r="C136" t="s">
        <v>12</v>
      </c>
      <c r="D136" t="s">
        <v>17</v>
      </c>
      <c r="E136">
        <v>207</v>
      </c>
      <c r="F136">
        <v>458.69</v>
      </c>
      <c r="G136">
        <v>461.13</v>
      </c>
      <c r="H136">
        <v>458.69</v>
      </c>
      <c r="I136">
        <v>2238</v>
      </c>
      <c r="J136">
        <v>83</v>
      </c>
      <c r="K136" s="17">
        <f t="shared" si="17"/>
        <v>6191.7999999999993</v>
      </c>
      <c r="L136" t="str">
        <f t="shared" si="18"/>
        <v>High Risk</v>
      </c>
      <c r="P136" s="19">
        <f t="shared" si="19"/>
        <v>5985</v>
      </c>
      <c r="R136" s="19">
        <f t="shared" si="16"/>
        <v>2745259.65</v>
      </c>
      <c r="T136" s="19">
        <f t="shared" si="20"/>
        <v>1032008.94</v>
      </c>
      <c r="U136" s="19">
        <f t="shared" si="21"/>
        <v>1026548.22</v>
      </c>
      <c r="V136" s="21">
        <f t="shared" si="22"/>
        <v>-5460.7199999999721</v>
      </c>
      <c r="W136" s="18">
        <f t="shared" si="23"/>
        <v>-5.291349510983861E-3</v>
      </c>
    </row>
    <row r="137" spans="1:23" x14ac:dyDescent="0.3">
      <c r="A137" t="s">
        <v>489</v>
      </c>
      <c r="B137" t="s">
        <v>1136</v>
      </c>
      <c r="C137" t="s">
        <v>23</v>
      </c>
      <c r="D137" t="s">
        <v>13</v>
      </c>
      <c r="E137">
        <v>208</v>
      </c>
      <c r="F137">
        <v>530.87</v>
      </c>
      <c r="G137">
        <v>455.71</v>
      </c>
      <c r="H137">
        <v>530.87</v>
      </c>
      <c r="I137">
        <v>3623</v>
      </c>
      <c r="J137">
        <v>43</v>
      </c>
      <c r="K137" s="17">
        <f t="shared" si="17"/>
        <v>5192.9666666666662</v>
      </c>
      <c r="L137" t="str">
        <f t="shared" si="18"/>
        <v>High Risk</v>
      </c>
      <c r="P137" s="19">
        <f t="shared" si="19"/>
        <v>4985</v>
      </c>
      <c r="R137" s="19">
        <f t="shared" si="16"/>
        <v>2646386.9500000002</v>
      </c>
      <c r="T137" s="19">
        <f t="shared" si="20"/>
        <v>1651037.3299999998</v>
      </c>
      <c r="U137" s="19">
        <f t="shared" si="21"/>
        <v>1923342.01</v>
      </c>
      <c r="V137" s="21">
        <f t="shared" si="22"/>
        <v>272304.68000000017</v>
      </c>
      <c r="W137" s="18">
        <f t="shared" si="23"/>
        <v>0.16492945074718582</v>
      </c>
    </row>
    <row r="138" spans="1:23" x14ac:dyDescent="0.3">
      <c r="A138" t="s">
        <v>562</v>
      </c>
      <c r="B138" t="s">
        <v>583</v>
      </c>
      <c r="C138" t="s">
        <v>16</v>
      </c>
      <c r="D138" t="s">
        <v>20</v>
      </c>
      <c r="E138">
        <v>208</v>
      </c>
      <c r="F138">
        <v>27.32</v>
      </c>
      <c r="G138">
        <v>29.88</v>
      </c>
      <c r="H138">
        <v>27.32</v>
      </c>
      <c r="I138">
        <v>184</v>
      </c>
      <c r="J138">
        <v>88</v>
      </c>
      <c r="K138" s="17">
        <f t="shared" si="17"/>
        <v>539.73333333333335</v>
      </c>
      <c r="L138" t="str">
        <f t="shared" si="18"/>
        <v>High Risk</v>
      </c>
      <c r="P138" s="19">
        <f t="shared" si="19"/>
        <v>332</v>
      </c>
      <c r="R138" s="19">
        <f t="shared" si="16"/>
        <v>9070.24</v>
      </c>
      <c r="T138" s="19">
        <f t="shared" si="20"/>
        <v>5497.92</v>
      </c>
      <c r="U138" s="19">
        <f t="shared" si="21"/>
        <v>5026.88</v>
      </c>
      <c r="V138" s="21">
        <f t="shared" si="22"/>
        <v>-471.03999999999996</v>
      </c>
      <c r="W138" s="18">
        <f t="shared" si="23"/>
        <v>-8.5676037483266396E-2</v>
      </c>
    </row>
    <row r="139" spans="1:23" x14ac:dyDescent="0.3">
      <c r="A139" t="s">
        <v>111</v>
      </c>
      <c r="B139" t="s">
        <v>1612</v>
      </c>
      <c r="C139" t="s">
        <v>50</v>
      </c>
      <c r="D139" t="s">
        <v>13</v>
      </c>
      <c r="E139">
        <v>209</v>
      </c>
      <c r="F139">
        <v>483.64</v>
      </c>
      <c r="G139">
        <v>464.04</v>
      </c>
      <c r="H139">
        <v>483.64</v>
      </c>
      <c r="I139">
        <v>2239</v>
      </c>
      <c r="J139">
        <v>77</v>
      </c>
      <c r="K139" s="17">
        <f t="shared" si="17"/>
        <v>5746.7666666666673</v>
      </c>
      <c r="L139" t="str">
        <f t="shared" si="18"/>
        <v>High Risk</v>
      </c>
      <c r="P139" s="19">
        <f t="shared" si="19"/>
        <v>5538</v>
      </c>
      <c r="R139" s="19">
        <f t="shared" si="16"/>
        <v>2678398.3199999998</v>
      </c>
      <c r="T139" s="19">
        <f t="shared" si="20"/>
        <v>1038985.56</v>
      </c>
      <c r="U139" s="19">
        <f t="shared" si="21"/>
        <v>1082869.96</v>
      </c>
      <c r="V139" s="21">
        <f t="shared" si="22"/>
        <v>43884.399999999907</v>
      </c>
      <c r="W139" s="18">
        <f t="shared" si="23"/>
        <v>4.2237738126023529E-2</v>
      </c>
    </row>
    <row r="140" spans="1:23" x14ac:dyDescent="0.3">
      <c r="A140" t="s">
        <v>477</v>
      </c>
      <c r="B140" t="s">
        <v>478</v>
      </c>
      <c r="C140" t="s">
        <v>12</v>
      </c>
      <c r="D140" t="s">
        <v>20</v>
      </c>
      <c r="E140">
        <v>209</v>
      </c>
      <c r="F140">
        <v>317.67</v>
      </c>
      <c r="G140">
        <v>279.89999999999998</v>
      </c>
      <c r="H140">
        <v>317.67</v>
      </c>
      <c r="I140">
        <v>2674</v>
      </c>
      <c r="J140">
        <v>5</v>
      </c>
      <c r="K140" s="17">
        <f t="shared" si="17"/>
        <v>445.66666666666669</v>
      </c>
      <c r="L140" t="str">
        <f t="shared" si="18"/>
        <v>High Risk</v>
      </c>
      <c r="P140" s="19">
        <f t="shared" si="19"/>
        <v>237</v>
      </c>
      <c r="R140" s="19">
        <f t="shared" si="16"/>
        <v>75287.790000000008</v>
      </c>
      <c r="T140" s="19">
        <f t="shared" si="20"/>
        <v>748452.6</v>
      </c>
      <c r="U140" s="19">
        <f t="shared" si="21"/>
        <v>849449.58000000007</v>
      </c>
      <c r="V140" s="21">
        <f t="shared" si="22"/>
        <v>100996.9800000001</v>
      </c>
      <c r="W140" s="18">
        <f t="shared" si="23"/>
        <v>0.13494105037513413</v>
      </c>
    </row>
    <row r="141" spans="1:23" x14ac:dyDescent="0.3">
      <c r="A141" t="s">
        <v>186</v>
      </c>
      <c r="B141" t="s">
        <v>859</v>
      </c>
      <c r="C141" t="s">
        <v>23</v>
      </c>
      <c r="D141" t="s">
        <v>13</v>
      </c>
      <c r="E141">
        <v>209</v>
      </c>
      <c r="F141">
        <v>348.78</v>
      </c>
      <c r="G141">
        <v>355.51</v>
      </c>
      <c r="H141">
        <v>348.78</v>
      </c>
      <c r="I141">
        <v>386</v>
      </c>
      <c r="J141">
        <v>85</v>
      </c>
      <c r="K141" s="17">
        <f t="shared" si="17"/>
        <v>1093.6666666666667</v>
      </c>
      <c r="L141" t="str">
        <f t="shared" si="18"/>
        <v>High Risk</v>
      </c>
      <c r="P141" s="19">
        <f t="shared" si="19"/>
        <v>885</v>
      </c>
      <c r="R141" s="19">
        <f t="shared" si="16"/>
        <v>308670.3</v>
      </c>
      <c r="T141" s="19">
        <f t="shared" si="20"/>
        <v>137226.85999999999</v>
      </c>
      <c r="U141" s="19">
        <f t="shared" si="21"/>
        <v>134629.07999999999</v>
      </c>
      <c r="V141" s="21">
        <f t="shared" si="22"/>
        <v>-2597.7799999999988</v>
      </c>
      <c r="W141" s="18">
        <f t="shared" si="23"/>
        <v>-1.8930550476779832E-2</v>
      </c>
    </row>
    <row r="142" spans="1:23" x14ac:dyDescent="0.3">
      <c r="A142" t="s">
        <v>1102</v>
      </c>
      <c r="B142" t="s">
        <v>1581</v>
      </c>
      <c r="C142" t="s">
        <v>12</v>
      </c>
      <c r="D142" t="s">
        <v>26</v>
      </c>
      <c r="E142">
        <v>210</v>
      </c>
      <c r="F142">
        <v>229.27</v>
      </c>
      <c r="G142">
        <v>242.36</v>
      </c>
      <c r="H142">
        <v>229.27</v>
      </c>
      <c r="I142">
        <v>3197</v>
      </c>
      <c r="J142">
        <v>59</v>
      </c>
      <c r="K142" s="17">
        <f t="shared" si="17"/>
        <v>6287.4333333333334</v>
      </c>
      <c r="L142" t="str">
        <f t="shared" si="18"/>
        <v>High Risk</v>
      </c>
      <c r="P142" s="19">
        <f t="shared" si="19"/>
        <v>6078</v>
      </c>
      <c r="R142" s="19">
        <f t="shared" si="16"/>
        <v>1393503.06</v>
      </c>
      <c r="T142" s="19">
        <f t="shared" si="20"/>
        <v>774824.92</v>
      </c>
      <c r="U142" s="19">
        <f t="shared" si="21"/>
        <v>732976.19000000006</v>
      </c>
      <c r="V142" s="21">
        <f t="shared" si="22"/>
        <v>-41848.729999999981</v>
      </c>
      <c r="W142" s="18">
        <f t="shared" si="23"/>
        <v>-5.4010562799141744E-2</v>
      </c>
    </row>
    <row r="143" spans="1:23" x14ac:dyDescent="0.3">
      <c r="A143" t="s">
        <v>231</v>
      </c>
      <c r="B143" t="s">
        <v>232</v>
      </c>
      <c r="C143" t="s">
        <v>23</v>
      </c>
      <c r="D143" t="s">
        <v>13</v>
      </c>
      <c r="E143">
        <v>212</v>
      </c>
      <c r="F143">
        <v>167.13</v>
      </c>
      <c r="G143">
        <v>183.72</v>
      </c>
      <c r="H143">
        <v>167.13</v>
      </c>
      <c r="I143">
        <v>496</v>
      </c>
      <c r="J143">
        <v>9</v>
      </c>
      <c r="K143" s="17">
        <f t="shared" si="17"/>
        <v>148.80000000000001</v>
      </c>
      <c r="L143" t="str">
        <f t="shared" si="18"/>
        <v>Sufficuent Stock</v>
      </c>
      <c r="P143" s="19">
        <f t="shared" si="19"/>
        <v>0</v>
      </c>
      <c r="R143" s="19">
        <f t="shared" si="16"/>
        <v>0</v>
      </c>
      <c r="T143" s="19">
        <f t="shared" si="20"/>
        <v>91125.119999999995</v>
      </c>
      <c r="U143" s="19">
        <f t="shared" si="21"/>
        <v>82896.479999999996</v>
      </c>
      <c r="V143" s="21">
        <f t="shared" si="22"/>
        <v>-8228.64</v>
      </c>
      <c r="W143" s="18">
        <f t="shared" si="23"/>
        <v>-9.0300457217504904E-2</v>
      </c>
    </row>
    <row r="144" spans="1:23" x14ac:dyDescent="0.3">
      <c r="A144" t="s">
        <v>1835</v>
      </c>
      <c r="B144" t="s">
        <v>2972</v>
      </c>
      <c r="C144" t="s">
        <v>12</v>
      </c>
      <c r="D144" t="s">
        <v>17</v>
      </c>
      <c r="E144">
        <v>218</v>
      </c>
      <c r="F144">
        <v>502.28</v>
      </c>
      <c r="G144">
        <v>420.85</v>
      </c>
      <c r="H144">
        <v>502.28</v>
      </c>
      <c r="I144">
        <v>3221</v>
      </c>
      <c r="J144">
        <v>89</v>
      </c>
      <c r="K144" s="17">
        <f t="shared" si="17"/>
        <v>9555.6333333333332</v>
      </c>
      <c r="L144" t="str">
        <f t="shared" si="18"/>
        <v>High Risk</v>
      </c>
      <c r="P144" s="19">
        <f t="shared" si="19"/>
        <v>9338</v>
      </c>
      <c r="R144" s="19">
        <f t="shared" si="16"/>
        <v>4690290.6399999997</v>
      </c>
      <c r="T144" s="19">
        <f t="shared" si="20"/>
        <v>1355557.85</v>
      </c>
      <c r="U144" s="19">
        <f t="shared" si="21"/>
        <v>1617843.88</v>
      </c>
      <c r="V144" s="21">
        <f t="shared" si="22"/>
        <v>262286.0299999998</v>
      </c>
      <c r="W144" s="18">
        <f t="shared" si="23"/>
        <v>0.193489366757752</v>
      </c>
    </row>
    <row r="145" spans="1:23" x14ac:dyDescent="0.3">
      <c r="A145" t="s">
        <v>566</v>
      </c>
      <c r="B145" t="s">
        <v>1018</v>
      </c>
      <c r="C145" t="s">
        <v>12</v>
      </c>
      <c r="D145" t="s">
        <v>26</v>
      </c>
      <c r="E145">
        <v>219</v>
      </c>
      <c r="F145">
        <v>365.74</v>
      </c>
      <c r="G145">
        <v>308.72000000000003</v>
      </c>
      <c r="H145">
        <v>365.74</v>
      </c>
      <c r="I145">
        <v>508</v>
      </c>
      <c r="J145">
        <v>85</v>
      </c>
      <c r="K145" s="17">
        <f t="shared" si="17"/>
        <v>1439.3333333333333</v>
      </c>
      <c r="L145" t="str">
        <f t="shared" si="18"/>
        <v>High Risk</v>
      </c>
      <c r="P145" s="19">
        <f t="shared" si="19"/>
        <v>1221</v>
      </c>
      <c r="R145" s="19">
        <f t="shared" si="16"/>
        <v>446568.54000000004</v>
      </c>
      <c r="T145" s="19">
        <f t="shared" si="20"/>
        <v>156829.76000000001</v>
      </c>
      <c r="U145" s="19">
        <f t="shared" si="21"/>
        <v>185795.92</v>
      </c>
      <c r="V145" s="21">
        <f t="shared" si="22"/>
        <v>28966.160000000003</v>
      </c>
      <c r="W145" s="18">
        <f t="shared" si="23"/>
        <v>0.18469810831821717</v>
      </c>
    </row>
    <row r="146" spans="1:23" x14ac:dyDescent="0.3">
      <c r="A146" t="s">
        <v>838</v>
      </c>
      <c r="B146" t="s">
        <v>1987</v>
      </c>
      <c r="C146" t="s">
        <v>37</v>
      </c>
      <c r="D146" t="s">
        <v>69</v>
      </c>
      <c r="E146">
        <v>224</v>
      </c>
      <c r="F146">
        <v>260.39999999999998</v>
      </c>
      <c r="G146">
        <v>228.48</v>
      </c>
      <c r="H146">
        <v>260.39999999999998</v>
      </c>
      <c r="I146">
        <v>57</v>
      </c>
      <c r="J146">
        <v>68</v>
      </c>
      <c r="K146" s="17">
        <f t="shared" si="17"/>
        <v>129.19999999999999</v>
      </c>
      <c r="L146" t="str">
        <f t="shared" si="18"/>
        <v>Sufficuent Stock</v>
      </c>
      <c r="P146" s="19">
        <f t="shared" si="19"/>
        <v>0</v>
      </c>
      <c r="R146" s="19">
        <f t="shared" si="16"/>
        <v>0</v>
      </c>
      <c r="T146" s="19">
        <f t="shared" si="20"/>
        <v>13023.359999999999</v>
      </c>
      <c r="U146" s="19">
        <f t="shared" si="21"/>
        <v>14842.8</v>
      </c>
      <c r="V146" s="21">
        <f t="shared" si="22"/>
        <v>1819.4400000000005</v>
      </c>
      <c r="W146" s="18">
        <f t="shared" si="23"/>
        <v>0.13970588235294124</v>
      </c>
    </row>
    <row r="147" spans="1:23" x14ac:dyDescent="0.3">
      <c r="A147" t="s">
        <v>585</v>
      </c>
      <c r="B147" t="s">
        <v>2298</v>
      </c>
      <c r="C147" t="s">
        <v>23</v>
      </c>
      <c r="D147" t="s">
        <v>20</v>
      </c>
      <c r="E147">
        <v>226</v>
      </c>
      <c r="F147">
        <v>488.45</v>
      </c>
      <c r="G147">
        <v>470.83</v>
      </c>
      <c r="H147">
        <v>488.45</v>
      </c>
      <c r="I147">
        <v>1919</v>
      </c>
      <c r="J147">
        <v>51</v>
      </c>
      <c r="K147" s="17">
        <f t="shared" si="17"/>
        <v>3262.3</v>
      </c>
      <c r="L147" t="str">
        <f t="shared" si="18"/>
        <v>High Risk</v>
      </c>
      <c r="P147" s="19">
        <f t="shared" si="19"/>
        <v>3037</v>
      </c>
      <c r="R147" s="19">
        <f t="shared" si="16"/>
        <v>1483422.65</v>
      </c>
      <c r="T147" s="19">
        <f t="shared" si="20"/>
        <v>903522.77</v>
      </c>
      <c r="U147" s="19">
        <f t="shared" si="21"/>
        <v>937335.54999999993</v>
      </c>
      <c r="V147" s="21">
        <f t="shared" si="22"/>
        <v>33812.779999999912</v>
      </c>
      <c r="W147" s="18">
        <f t="shared" si="23"/>
        <v>3.7423273793088699E-2</v>
      </c>
    </row>
    <row r="148" spans="1:23" x14ac:dyDescent="0.3">
      <c r="A148" t="s">
        <v>896</v>
      </c>
      <c r="B148" t="s">
        <v>1465</v>
      </c>
      <c r="C148" t="s">
        <v>50</v>
      </c>
      <c r="D148" t="s">
        <v>13</v>
      </c>
      <c r="E148">
        <v>227</v>
      </c>
      <c r="F148">
        <v>397.11</v>
      </c>
      <c r="G148">
        <v>408.19</v>
      </c>
      <c r="H148">
        <v>397.11</v>
      </c>
      <c r="I148">
        <v>581</v>
      </c>
      <c r="J148">
        <v>65</v>
      </c>
      <c r="K148" s="17">
        <f t="shared" si="17"/>
        <v>1258.8333333333333</v>
      </c>
      <c r="L148" t="str">
        <f t="shared" si="18"/>
        <v>High Risk</v>
      </c>
      <c r="P148" s="19">
        <f t="shared" si="19"/>
        <v>1032</v>
      </c>
      <c r="R148" s="19">
        <f t="shared" si="16"/>
        <v>409817.52</v>
      </c>
      <c r="T148" s="19">
        <f t="shared" si="20"/>
        <v>237158.38999999998</v>
      </c>
      <c r="U148" s="19">
        <f t="shared" si="21"/>
        <v>230720.91</v>
      </c>
      <c r="V148" s="21">
        <f t="shared" si="22"/>
        <v>-6437.4799999999814</v>
      </c>
      <c r="W148" s="18">
        <f t="shared" si="23"/>
        <v>-2.7144222053455423E-2</v>
      </c>
    </row>
    <row r="149" spans="1:23" x14ac:dyDescent="0.3">
      <c r="A149" t="s">
        <v>33</v>
      </c>
      <c r="B149" t="s">
        <v>969</v>
      </c>
      <c r="C149" t="s">
        <v>12</v>
      </c>
      <c r="D149" t="s">
        <v>13</v>
      </c>
      <c r="E149">
        <v>228</v>
      </c>
      <c r="F149">
        <v>265.10000000000002</v>
      </c>
      <c r="G149">
        <v>239.01</v>
      </c>
      <c r="H149">
        <v>265.10000000000002</v>
      </c>
      <c r="I149">
        <v>2351</v>
      </c>
      <c r="J149">
        <v>49</v>
      </c>
      <c r="K149" s="17">
        <f t="shared" si="17"/>
        <v>3839.9666666666662</v>
      </c>
      <c r="L149" t="str">
        <f t="shared" si="18"/>
        <v>High Risk</v>
      </c>
      <c r="P149" s="19">
        <f t="shared" si="19"/>
        <v>3612</v>
      </c>
      <c r="R149" s="19">
        <f t="shared" si="16"/>
        <v>957541.20000000007</v>
      </c>
      <c r="T149" s="19">
        <f t="shared" si="20"/>
        <v>561912.51</v>
      </c>
      <c r="U149" s="19">
        <f t="shared" si="21"/>
        <v>623250.10000000009</v>
      </c>
      <c r="V149" s="21">
        <f t="shared" si="22"/>
        <v>61337.590000000084</v>
      </c>
      <c r="W149" s="18">
        <f t="shared" si="23"/>
        <v>0.10915861261035117</v>
      </c>
    </row>
    <row r="150" spans="1:23" x14ac:dyDescent="0.3">
      <c r="A150" t="s">
        <v>38</v>
      </c>
      <c r="B150" t="s">
        <v>1721</v>
      </c>
      <c r="C150" t="s">
        <v>23</v>
      </c>
      <c r="D150" t="s">
        <v>26</v>
      </c>
      <c r="E150">
        <v>229</v>
      </c>
      <c r="F150">
        <v>49.89</v>
      </c>
      <c r="G150">
        <v>53.15</v>
      </c>
      <c r="H150">
        <v>49.89</v>
      </c>
      <c r="I150">
        <v>298</v>
      </c>
      <c r="J150">
        <v>51</v>
      </c>
      <c r="K150" s="17">
        <f t="shared" si="17"/>
        <v>506.6</v>
      </c>
      <c r="L150" t="str">
        <f t="shared" si="18"/>
        <v>High Risk</v>
      </c>
      <c r="P150" s="19">
        <f t="shared" si="19"/>
        <v>278</v>
      </c>
      <c r="R150" s="19">
        <f t="shared" si="16"/>
        <v>13869.42</v>
      </c>
      <c r="T150" s="19">
        <f t="shared" si="20"/>
        <v>15838.699999999999</v>
      </c>
      <c r="U150" s="19">
        <f t="shared" si="21"/>
        <v>14867.22</v>
      </c>
      <c r="V150" s="21">
        <f t="shared" si="22"/>
        <v>-971.47999999999956</v>
      </c>
      <c r="W150" s="18">
        <f t="shared" si="23"/>
        <v>-6.1335841956726221E-2</v>
      </c>
    </row>
    <row r="151" spans="1:23" x14ac:dyDescent="0.3">
      <c r="A151" t="s">
        <v>850</v>
      </c>
      <c r="B151" t="s">
        <v>2923</v>
      </c>
      <c r="C151" t="s">
        <v>23</v>
      </c>
      <c r="D151" t="s">
        <v>17</v>
      </c>
      <c r="E151">
        <v>233</v>
      </c>
      <c r="F151">
        <v>30.37</v>
      </c>
      <c r="G151">
        <v>30.08</v>
      </c>
      <c r="H151">
        <v>30.37</v>
      </c>
      <c r="I151">
        <v>3798</v>
      </c>
      <c r="J151">
        <v>59</v>
      </c>
      <c r="K151" s="17">
        <f t="shared" si="17"/>
        <v>7469.4</v>
      </c>
      <c r="L151" t="str">
        <f t="shared" si="18"/>
        <v>High Risk</v>
      </c>
      <c r="P151" s="19">
        <f t="shared" si="19"/>
        <v>7237</v>
      </c>
      <c r="R151" s="19">
        <f t="shared" si="16"/>
        <v>219787.69</v>
      </c>
      <c r="T151" s="19">
        <f t="shared" si="20"/>
        <v>114243.84</v>
      </c>
      <c r="U151" s="19">
        <f t="shared" si="21"/>
        <v>115345.26000000001</v>
      </c>
      <c r="V151" s="21">
        <f t="shared" si="22"/>
        <v>1101.4200000000128</v>
      </c>
      <c r="W151" s="18">
        <f t="shared" si="23"/>
        <v>9.6409574468086234E-3</v>
      </c>
    </row>
    <row r="152" spans="1:23" x14ac:dyDescent="0.3">
      <c r="A152" t="s">
        <v>295</v>
      </c>
      <c r="B152" t="s">
        <v>2685</v>
      </c>
      <c r="C152" t="s">
        <v>37</v>
      </c>
      <c r="D152" t="s">
        <v>13</v>
      </c>
      <c r="E152">
        <v>235</v>
      </c>
      <c r="F152">
        <v>453.1</v>
      </c>
      <c r="G152">
        <v>429.66</v>
      </c>
      <c r="H152">
        <v>453.1</v>
      </c>
      <c r="I152">
        <v>3250</v>
      </c>
      <c r="J152">
        <v>17</v>
      </c>
      <c r="K152" s="17">
        <f t="shared" si="17"/>
        <v>1841.6666666666665</v>
      </c>
      <c r="L152" t="str">
        <f t="shared" si="18"/>
        <v>High Risk</v>
      </c>
      <c r="P152" s="19">
        <f t="shared" si="19"/>
        <v>1607</v>
      </c>
      <c r="R152" s="19">
        <f t="shared" si="16"/>
        <v>728131.70000000007</v>
      </c>
      <c r="T152" s="19">
        <f t="shared" si="20"/>
        <v>1396395</v>
      </c>
      <c r="U152" s="19">
        <f t="shared" si="21"/>
        <v>1472575</v>
      </c>
      <c r="V152" s="21">
        <f t="shared" si="22"/>
        <v>76180</v>
      </c>
      <c r="W152" s="18">
        <f t="shared" si="23"/>
        <v>5.455476423218359E-2</v>
      </c>
    </row>
    <row r="153" spans="1:23" x14ac:dyDescent="0.3">
      <c r="A153" t="s">
        <v>393</v>
      </c>
      <c r="B153" t="s">
        <v>905</v>
      </c>
      <c r="C153" t="s">
        <v>16</v>
      </c>
      <c r="D153" t="s">
        <v>17</v>
      </c>
      <c r="E153">
        <v>236</v>
      </c>
      <c r="F153">
        <v>496.66</v>
      </c>
      <c r="G153">
        <v>489.84</v>
      </c>
      <c r="H153">
        <v>496.66</v>
      </c>
      <c r="I153">
        <v>2012</v>
      </c>
      <c r="J153">
        <v>30</v>
      </c>
      <c r="K153" s="17">
        <f t="shared" si="17"/>
        <v>2012</v>
      </c>
      <c r="L153" t="str">
        <f t="shared" si="18"/>
        <v>High Risk</v>
      </c>
      <c r="P153" s="19">
        <f t="shared" si="19"/>
        <v>1776</v>
      </c>
      <c r="R153" s="19">
        <f t="shared" si="16"/>
        <v>882068.16</v>
      </c>
      <c r="T153" s="19">
        <f t="shared" si="20"/>
        <v>985558.08</v>
      </c>
      <c r="U153" s="19">
        <f t="shared" si="21"/>
        <v>999279.92</v>
      </c>
      <c r="V153" s="21">
        <f t="shared" si="22"/>
        <v>13721.840000000084</v>
      </c>
      <c r="W153" s="18">
        <f t="shared" si="23"/>
        <v>1.3922913604442352E-2</v>
      </c>
    </row>
    <row r="154" spans="1:23" x14ac:dyDescent="0.3">
      <c r="A154" t="s">
        <v>872</v>
      </c>
      <c r="B154" t="s">
        <v>3077</v>
      </c>
      <c r="C154" t="s">
        <v>16</v>
      </c>
      <c r="D154" t="s">
        <v>69</v>
      </c>
      <c r="E154">
        <v>237</v>
      </c>
      <c r="F154">
        <v>68.37</v>
      </c>
      <c r="G154">
        <v>70.790000000000006</v>
      </c>
      <c r="H154">
        <v>68.37</v>
      </c>
      <c r="I154">
        <v>3076</v>
      </c>
      <c r="J154">
        <v>87</v>
      </c>
      <c r="K154" s="17">
        <f t="shared" si="17"/>
        <v>8920.4</v>
      </c>
      <c r="L154" t="str">
        <f t="shared" si="18"/>
        <v>High Risk</v>
      </c>
      <c r="P154" s="19">
        <f t="shared" si="19"/>
        <v>8684</v>
      </c>
      <c r="R154" s="19">
        <f t="shared" si="16"/>
        <v>593725.08000000007</v>
      </c>
      <c r="T154" s="19">
        <f t="shared" si="20"/>
        <v>217750.04</v>
      </c>
      <c r="U154" s="19">
        <f t="shared" si="21"/>
        <v>210306.12000000002</v>
      </c>
      <c r="V154" s="21">
        <f t="shared" si="22"/>
        <v>-7443.9199999999837</v>
      </c>
      <c r="W154" s="18">
        <f t="shared" si="23"/>
        <v>-3.4185619437773623E-2</v>
      </c>
    </row>
    <row r="155" spans="1:23" x14ac:dyDescent="0.3">
      <c r="A155" t="s">
        <v>1033</v>
      </c>
      <c r="B155" t="s">
        <v>1038</v>
      </c>
      <c r="C155" t="s">
        <v>16</v>
      </c>
      <c r="D155" t="s">
        <v>20</v>
      </c>
      <c r="E155">
        <v>237</v>
      </c>
      <c r="F155">
        <v>137.38</v>
      </c>
      <c r="G155">
        <v>124.79</v>
      </c>
      <c r="H155">
        <v>137.38</v>
      </c>
      <c r="I155">
        <v>2842</v>
      </c>
      <c r="J155">
        <v>53</v>
      </c>
      <c r="K155" s="17">
        <f t="shared" si="17"/>
        <v>5020.8666666666668</v>
      </c>
      <c r="L155" t="str">
        <f t="shared" si="18"/>
        <v>High Risk</v>
      </c>
      <c r="P155" s="19">
        <f t="shared" si="19"/>
        <v>4784</v>
      </c>
      <c r="R155" s="19">
        <f t="shared" si="16"/>
        <v>657225.91999999993</v>
      </c>
      <c r="T155" s="19">
        <f t="shared" si="20"/>
        <v>354653.18</v>
      </c>
      <c r="U155" s="19">
        <f t="shared" si="21"/>
        <v>390433.95999999996</v>
      </c>
      <c r="V155" s="21">
        <f t="shared" si="22"/>
        <v>35780.77999999997</v>
      </c>
      <c r="W155" s="18">
        <f t="shared" si="23"/>
        <v>0.10088949435050877</v>
      </c>
    </row>
    <row r="156" spans="1:23" x14ac:dyDescent="0.3">
      <c r="A156" t="s">
        <v>692</v>
      </c>
      <c r="B156" t="s">
        <v>2922</v>
      </c>
      <c r="C156" t="s">
        <v>16</v>
      </c>
      <c r="D156" t="s">
        <v>13</v>
      </c>
      <c r="E156">
        <v>237</v>
      </c>
      <c r="F156">
        <v>465.91</v>
      </c>
      <c r="G156">
        <v>472.12</v>
      </c>
      <c r="H156">
        <v>465.91</v>
      </c>
      <c r="I156">
        <v>200</v>
      </c>
      <c r="J156">
        <v>88</v>
      </c>
      <c r="K156" s="17">
        <f t="shared" si="17"/>
        <v>586.66666666666674</v>
      </c>
      <c r="L156" t="str">
        <f t="shared" si="18"/>
        <v>High Risk</v>
      </c>
      <c r="P156" s="19">
        <f t="shared" si="19"/>
        <v>350</v>
      </c>
      <c r="R156" s="19">
        <f t="shared" si="16"/>
        <v>163068.5</v>
      </c>
      <c r="T156" s="19">
        <f t="shared" si="20"/>
        <v>94424</v>
      </c>
      <c r="U156" s="19">
        <f t="shared" si="21"/>
        <v>93182</v>
      </c>
      <c r="V156" s="21">
        <f t="shared" si="22"/>
        <v>-1242</v>
      </c>
      <c r="W156" s="18">
        <f t="shared" si="23"/>
        <v>-1.315343556722867E-2</v>
      </c>
    </row>
    <row r="157" spans="1:23" x14ac:dyDescent="0.3">
      <c r="A157" t="s">
        <v>153</v>
      </c>
      <c r="B157" t="s">
        <v>3215</v>
      </c>
      <c r="C157" t="s">
        <v>37</v>
      </c>
      <c r="D157" t="s">
        <v>20</v>
      </c>
      <c r="E157">
        <v>240</v>
      </c>
      <c r="F157">
        <v>195.6</v>
      </c>
      <c r="G157">
        <v>168.36</v>
      </c>
      <c r="H157">
        <v>195.6</v>
      </c>
      <c r="I157">
        <v>2546</v>
      </c>
      <c r="J157">
        <v>47</v>
      </c>
      <c r="K157" s="17">
        <f t="shared" si="17"/>
        <v>3988.7333333333331</v>
      </c>
      <c r="L157" t="str">
        <f t="shared" si="18"/>
        <v>High Risk</v>
      </c>
      <c r="P157" s="19">
        <f t="shared" si="19"/>
        <v>3749</v>
      </c>
      <c r="R157" s="19">
        <f t="shared" si="16"/>
        <v>733304.4</v>
      </c>
      <c r="T157" s="19">
        <f t="shared" si="20"/>
        <v>428644.56000000006</v>
      </c>
      <c r="U157" s="19">
        <f t="shared" si="21"/>
        <v>497997.6</v>
      </c>
      <c r="V157" s="21">
        <f t="shared" si="22"/>
        <v>69353.039999999921</v>
      </c>
      <c r="W157" s="18">
        <f t="shared" si="23"/>
        <v>0.16179615110477527</v>
      </c>
    </row>
    <row r="158" spans="1:23" x14ac:dyDescent="0.3">
      <c r="A158" t="s">
        <v>696</v>
      </c>
      <c r="B158" t="s">
        <v>906</v>
      </c>
      <c r="C158" t="s">
        <v>23</v>
      </c>
      <c r="D158" t="s">
        <v>69</v>
      </c>
      <c r="E158">
        <v>241</v>
      </c>
      <c r="F158">
        <v>470.53</v>
      </c>
      <c r="G158">
        <v>427.3</v>
      </c>
      <c r="H158">
        <v>470.53</v>
      </c>
      <c r="I158">
        <v>3631</v>
      </c>
      <c r="J158">
        <v>33</v>
      </c>
      <c r="K158" s="17">
        <f t="shared" si="17"/>
        <v>3994.1</v>
      </c>
      <c r="L158" t="str">
        <f t="shared" si="18"/>
        <v>High Risk</v>
      </c>
      <c r="P158" s="19">
        <f t="shared" si="19"/>
        <v>3754</v>
      </c>
      <c r="R158" s="19">
        <f t="shared" si="16"/>
        <v>1766369.6199999999</v>
      </c>
      <c r="T158" s="19">
        <f t="shared" si="20"/>
        <v>1551526.3</v>
      </c>
      <c r="U158" s="19">
        <f t="shared" si="21"/>
        <v>1708494.43</v>
      </c>
      <c r="V158" s="21">
        <f t="shared" si="22"/>
        <v>156968.12999999989</v>
      </c>
      <c r="W158" s="18">
        <f t="shared" si="23"/>
        <v>0.10117013807629292</v>
      </c>
    </row>
    <row r="159" spans="1:23" x14ac:dyDescent="0.3">
      <c r="A159" t="s">
        <v>521</v>
      </c>
      <c r="B159" t="s">
        <v>2057</v>
      </c>
      <c r="C159" t="s">
        <v>23</v>
      </c>
      <c r="D159" t="s">
        <v>13</v>
      </c>
      <c r="E159">
        <v>242</v>
      </c>
      <c r="F159">
        <v>87.77</v>
      </c>
      <c r="G159">
        <v>77.91</v>
      </c>
      <c r="H159">
        <v>87.77</v>
      </c>
      <c r="I159">
        <v>1167</v>
      </c>
      <c r="J159">
        <v>50</v>
      </c>
      <c r="K159" s="17">
        <f t="shared" si="17"/>
        <v>1945</v>
      </c>
      <c r="L159" t="str">
        <f t="shared" si="18"/>
        <v>High Risk</v>
      </c>
      <c r="P159" s="19">
        <f t="shared" si="19"/>
        <v>1703</v>
      </c>
      <c r="R159" s="19">
        <f t="shared" si="16"/>
        <v>149472.31</v>
      </c>
      <c r="T159" s="19">
        <f t="shared" si="20"/>
        <v>90920.97</v>
      </c>
      <c r="U159" s="19">
        <f t="shared" si="21"/>
        <v>102427.59</v>
      </c>
      <c r="V159" s="21">
        <f t="shared" si="22"/>
        <v>11506.619999999995</v>
      </c>
      <c r="W159" s="18">
        <f t="shared" si="23"/>
        <v>0.12655628289051465</v>
      </c>
    </row>
    <row r="160" spans="1:23" x14ac:dyDescent="0.3">
      <c r="A160" t="s">
        <v>256</v>
      </c>
      <c r="B160" t="s">
        <v>1772</v>
      </c>
      <c r="C160" t="s">
        <v>12</v>
      </c>
      <c r="D160" t="s">
        <v>69</v>
      </c>
      <c r="E160">
        <v>245</v>
      </c>
      <c r="F160">
        <v>54.07</v>
      </c>
      <c r="G160">
        <v>48.35</v>
      </c>
      <c r="H160">
        <v>54.07</v>
      </c>
      <c r="I160">
        <v>89</v>
      </c>
      <c r="J160">
        <v>81</v>
      </c>
      <c r="K160" s="17">
        <f t="shared" si="17"/>
        <v>240.3</v>
      </c>
      <c r="L160" t="str">
        <f t="shared" si="18"/>
        <v>Sufficuent Stock</v>
      </c>
      <c r="P160" s="19">
        <f t="shared" si="19"/>
        <v>0</v>
      </c>
      <c r="R160" s="19">
        <f t="shared" si="16"/>
        <v>0</v>
      </c>
      <c r="T160" s="19">
        <f t="shared" si="20"/>
        <v>4303.1500000000005</v>
      </c>
      <c r="U160" s="19">
        <f t="shared" si="21"/>
        <v>4812.2300000000005</v>
      </c>
      <c r="V160" s="21">
        <f t="shared" si="22"/>
        <v>509.07999999999993</v>
      </c>
      <c r="W160" s="18">
        <f t="shared" si="23"/>
        <v>0.1183040330920372</v>
      </c>
    </row>
    <row r="161" spans="1:23" x14ac:dyDescent="0.3">
      <c r="A161" t="s">
        <v>155</v>
      </c>
      <c r="B161" t="s">
        <v>2094</v>
      </c>
      <c r="C161" t="s">
        <v>50</v>
      </c>
      <c r="D161" t="s">
        <v>17</v>
      </c>
      <c r="E161">
        <v>246</v>
      </c>
      <c r="F161">
        <v>413.66</v>
      </c>
      <c r="G161">
        <v>366.08</v>
      </c>
      <c r="H161">
        <v>413.66</v>
      </c>
      <c r="I161">
        <v>3934</v>
      </c>
      <c r="J161">
        <v>28</v>
      </c>
      <c r="K161" s="17">
        <f t="shared" si="17"/>
        <v>3671.7333333333331</v>
      </c>
      <c r="L161" t="str">
        <f t="shared" si="18"/>
        <v>High Risk</v>
      </c>
      <c r="P161" s="19">
        <f t="shared" si="19"/>
        <v>3426</v>
      </c>
      <c r="R161" s="19">
        <f t="shared" si="16"/>
        <v>1417199.1600000001</v>
      </c>
      <c r="T161" s="19">
        <f t="shared" si="20"/>
        <v>1440158.72</v>
      </c>
      <c r="U161" s="19">
        <f t="shared" si="21"/>
        <v>1627338.4400000002</v>
      </c>
      <c r="V161" s="21">
        <f t="shared" si="22"/>
        <v>187179.7200000002</v>
      </c>
      <c r="W161" s="18">
        <f t="shared" si="23"/>
        <v>0.12997159090909105</v>
      </c>
    </row>
    <row r="162" spans="1:23" x14ac:dyDescent="0.3">
      <c r="A162" t="s">
        <v>607</v>
      </c>
      <c r="B162" t="s">
        <v>1476</v>
      </c>
      <c r="C162" t="s">
        <v>12</v>
      </c>
      <c r="D162" t="s">
        <v>13</v>
      </c>
      <c r="E162">
        <v>247</v>
      </c>
      <c r="F162">
        <v>293.08999999999997</v>
      </c>
      <c r="G162">
        <v>265.35000000000002</v>
      </c>
      <c r="H162">
        <v>293.08999999999997</v>
      </c>
      <c r="I162">
        <v>1659</v>
      </c>
      <c r="J162">
        <v>84</v>
      </c>
      <c r="K162" s="17">
        <f t="shared" si="17"/>
        <v>4645.2</v>
      </c>
      <c r="L162" t="str">
        <f t="shared" si="18"/>
        <v>High Risk</v>
      </c>
      <c r="P162" s="19">
        <f t="shared" si="19"/>
        <v>4399</v>
      </c>
      <c r="R162" s="19">
        <f t="shared" si="16"/>
        <v>1289302.9099999999</v>
      </c>
      <c r="T162" s="19">
        <f t="shared" si="20"/>
        <v>440215.65</v>
      </c>
      <c r="U162" s="19">
        <f t="shared" si="21"/>
        <v>486236.30999999994</v>
      </c>
      <c r="V162" s="21">
        <f t="shared" si="22"/>
        <v>46020.659999999916</v>
      </c>
      <c r="W162" s="18">
        <f t="shared" si="23"/>
        <v>0.10454117203693215</v>
      </c>
    </row>
    <row r="163" spans="1:23" x14ac:dyDescent="0.3">
      <c r="A163" t="s">
        <v>266</v>
      </c>
      <c r="B163" t="s">
        <v>2559</v>
      </c>
      <c r="C163" t="s">
        <v>23</v>
      </c>
      <c r="D163" t="s">
        <v>17</v>
      </c>
      <c r="E163">
        <v>247</v>
      </c>
      <c r="F163">
        <v>452.99</v>
      </c>
      <c r="G163">
        <v>421.89</v>
      </c>
      <c r="H163">
        <v>452.99</v>
      </c>
      <c r="I163">
        <v>2832</v>
      </c>
      <c r="J163">
        <v>61</v>
      </c>
      <c r="K163" s="17">
        <f t="shared" si="17"/>
        <v>5758.4000000000005</v>
      </c>
      <c r="L163" t="str">
        <f t="shared" si="18"/>
        <v>High Risk</v>
      </c>
      <c r="P163" s="19">
        <f t="shared" si="19"/>
        <v>5512</v>
      </c>
      <c r="R163" s="19">
        <f t="shared" si="16"/>
        <v>2496880.88</v>
      </c>
      <c r="T163" s="19">
        <f t="shared" si="20"/>
        <v>1194792.48</v>
      </c>
      <c r="U163" s="19">
        <f t="shared" si="21"/>
        <v>1282867.68</v>
      </c>
      <c r="V163" s="21">
        <f t="shared" si="22"/>
        <v>88075.199999999953</v>
      </c>
      <c r="W163" s="18">
        <f t="shared" si="23"/>
        <v>7.3715897508829273E-2</v>
      </c>
    </row>
    <row r="164" spans="1:23" x14ac:dyDescent="0.3">
      <c r="A164" t="s">
        <v>67</v>
      </c>
      <c r="B164" t="s">
        <v>3025</v>
      </c>
      <c r="C164" t="s">
        <v>23</v>
      </c>
      <c r="D164" t="s">
        <v>20</v>
      </c>
      <c r="E164">
        <v>248</v>
      </c>
      <c r="F164">
        <v>261.47000000000003</v>
      </c>
      <c r="G164">
        <v>239.09</v>
      </c>
      <c r="H164">
        <v>261.47000000000003</v>
      </c>
      <c r="I164">
        <v>1251</v>
      </c>
      <c r="J164">
        <v>46</v>
      </c>
      <c r="K164" s="17">
        <f t="shared" si="17"/>
        <v>1918.2</v>
      </c>
      <c r="L164" t="str">
        <f t="shared" si="18"/>
        <v>High Risk</v>
      </c>
      <c r="P164" s="19">
        <f t="shared" si="19"/>
        <v>1671</v>
      </c>
      <c r="R164" s="19">
        <f t="shared" si="16"/>
        <v>436916.37000000005</v>
      </c>
      <c r="T164" s="19">
        <f t="shared" si="20"/>
        <v>299101.59000000003</v>
      </c>
      <c r="U164" s="19">
        <f t="shared" si="21"/>
        <v>327098.97000000003</v>
      </c>
      <c r="V164" s="21">
        <f t="shared" si="22"/>
        <v>27997.380000000005</v>
      </c>
      <c r="W164" s="18">
        <f t="shared" si="23"/>
        <v>9.3604918649880811E-2</v>
      </c>
    </row>
    <row r="165" spans="1:23" x14ac:dyDescent="0.3">
      <c r="A165" t="s">
        <v>549</v>
      </c>
      <c r="B165" t="s">
        <v>2048</v>
      </c>
      <c r="C165" t="s">
        <v>16</v>
      </c>
      <c r="D165" t="s">
        <v>69</v>
      </c>
      <c r="E165">
        <v>250</v>
      </c>
      <c r="F165">
        <v>88.9</v>
      </c>
      <c r="G165">
        <v>86.46</v>
      </c>
      <c r="H165">
        <v>88.9</v>
      </c>
      <c r="I165">
        <v>3957</v>
      </c>
      <c r="J165">
        <v>10</v>
      </c>
      <c r="K165" s="17">
        <f t="shared" si="17"/>
        <v>1319</v>
      </c>
      <c r="L165" t="str">
        <f t="shared" si="18"/>
        <v>High Risk</v>
      </c>
      <c r="P165" s="19">
        <f t="shared" si="19"/>
        <v>1069</v>
      </c>
      <c r="R165" s="19">
        <f t="shared" si="16"/>
        <v>95034.1</v>
      </c>
      <c r="T165" s="19">
        <f t="shared" si="20"/>
        <v>342122.22</v>
      </c>
      <c r="U165" s="19">
        <f t="shared" si="21"/>
        <v>351777.30000000005</v>
      </c>
      <c r="V165" s="21">
        <f t="shared" si="22"/>
        <v>9655.0800000000745</v>
      </c>
      <c r="W165" s="18">
        <f t="shared" si="23"/>
        <v>2.8221142724959739E-2</v>
      </c>
    </row>
    <row r="166" spans="1:23" x14ac:dyDescent="0.3">
      <c r="A166" t="s">
        <v>220</v>
      </c>
      <c r="B166" t="s">
        <v>824</v>
      </c>
      <c r="C166" t="s">
        <v>50</v>
      </c>
      <c r="D166" t="s">
        <v>17</v>
      </c>
      <c r="E166">
        <v>250</v>
      </c>
      <c r="F166">
        <v>60.46</v>
      </c>
      <c r="G166">
        <v>53.38</v>
      </c>
      <c r="H166">
        <v>60.46</v>
      </c>
      <c r="I166">
        <v>1783</v>
      </c>
      <c r="J166">
        <v>88</v>
      </c>
      <c r="K166" s="17">
        <f t="shared" si="17"/>
        <v>5230.1333333333332</v>
      </c>
      <c r="L166" t="str">
        <f t="shared" si="18"/>
        <v>High Risk</v>
      </c>
      <c r="P166" s="19">
        <f t="shared" si="19"/>
        <v>4981</v>
      </c>
      <c r="R166" s="19">
        <f t="shared" si="16"/>
        <v>301151.26</v>
      </c>
      <c r="T166" s="19">
        <f t="shared" si="20"/>
        <v>95176.540000000008</v>
      </c>
      <c r="U166" s="19">
        <f t="shared" si="21"/>
        <v>107800.18000000001</v>
      </c>
      <c r="V166" s="21">
        <f t="shared" si="22"/>
        <v>12623.64</v>
      </c>
      <c r="W166" s="18">
        <f t="shared" si="23"/>
        <v>0.13263394529786435</v>
      </c>
    </row>
    <row r="167" spans="1:23" x14ac:dyDescent="0.3">
      <c r="A167" t="s">
        <v>98</v>
      </c>
      <c r="B167" t="s">
        <v>1043</v>
      </c>
      <c r="C167" t="s">
        <v>50</v>
      </c>
      <c r="D167" t="s">
        <v>20</v>
      </c>
      <c r="E167">
        <v>253</v>
      </c>
      <c r="F167">
        <v>248.85</v>
      </c>
      <c r="G167">
        <v>248.98</v>
      </c>
      <c r="H167">
        <v>248.85</v>
      </c>
      <c r="I167">
        <v>390</v>
      </c>
      <c r="J167">
        <v>16</v>
      </c>
      <c r="K167" s="17">
        <f t="shared" si="17"/>
        <v>208</v>
      </c>
      <c r="L167" t="str">
        <f t="shared" si="18"/>
        <v>Sufficuent Stock</v>
      </c>
      <c r="P167" s="19">
        <f t="shared" si="19"/>
        <v>0</v>
      </c>
      <c r="R167" s="19">
        <f t="shared" si="16"/>
        <v>0</v>
      </c>
      <c r="T167" s="19">
        <f t="shared" si="20"/>
        <v>97102.2</v>
      </c>
      <c r="U167" s="19">
        <f t="shared" si="21"/>
        <v>97051.5</v>
      </c>
      <c r="V167" s="21">
        <f t="shared" si="22"/>
        <v>-50.69999999999709</v>
      </c>
      <c r="W167" s="18">
        <f t="shared" si="23"/>
        <v>-5.2213029158965595E-4</v>
      </c>
    </row>
    <row r="168" spans="1:23" x14ac:dyDescent="0.3">
      <c r="A168" t="s">
        <v>262</v>
      </c>
      <c r="B168" t="s">
        <v>2064</v>
      </c>
      <c r="C168" t="s">
        <v>12</v>
      </c>
      <c r="D168" t="s">
        <v>69</v>
      </c>
      <c r="E168">
        <v>253</v>
      </c>
      <c r="F168">
        <v>123.76</v>
      </c>
      <c r="G168">
        <v>118.03</v>
      </c>
      <c r="H168">
        <v>123.76</v>
      </c>
      <c r="I168">
        <v>943</v>
      </c>
      <c r="J168">
        <v>41</v>
      </c>
      <c r="K168" s="17">
        <f t="shared" si="17"/>
        <v>1288.7666666666667</v>
      </c>
      <c r="L168" t="str">
        <f t="shared" si="18"/>
        <v>High Risk</v>
      </c>
      <c r="P168" s="19">
        <f t="shared" si="19"/>
        <v>1036</v>
      </c>
      <c r="R168" s="19">
        <f t="shared" si="16"/>
        <v>128215.36</v>
      </c>
      <c r="T168" s="19">
        <f t="shared" si="20"/>
        <v>111302.29000000001</v>
      </c>
      <c r="U168" s="19">
        <f t="shared" si="21"/>
        <v>116705.68000000001</v>
      </c>
      <c r="V168" s="21">
        <f t="shared" si="22"/>
        <v>5403.3899999999994</v>
      </c>
      <c r="W168" s="18">
        <f t="shared" si="23"/>
        <v>4.8546979581462334E-2</v>
      </c>
    </row>
    <row r="169" spans="1:23" x14ac:dyDescent="0.3">
      <c r="A169" t="s">
        <v>70</v>
      </c>
      <c r="B169" t="s">
        <v>362</v>
      </c>
      <c r="C169" t="s">
        <v>16</v>
      </c>
      <c r="D169" t="s">
        <v>69</v>
      </c>
      <c r="E169">
        <v>254</v>
      </c>
      <c r="F169">
        <v>207.97</v>
      </c>
      <c r="G169">
        <v>223.92</v>
      </c>
      <c r="H169">
        <v>207.97</v>
      </c>
      <c r="I169">
        <v>3690</v>
      </c>
      <c r="J169">
        <v>81</v>
      </c>
      <c r="K169" s="17">
        <f t="shared" si="17"/>
        <v>9963</v>
      </c>
      <c r="L169" t="str">
        <f t="shared" si="18"/>
        <v>High Risk</v>
      </c>
      <c r="P169" s="19">
        <f t="shared" si="19"/>
        <v>9709</v>
      </c>
      <c r="R169" s="19">
        <f t="shared" si="16"/>
        <v>2019180.73</v>
      </c>
      <c r="T169" s="19">
        <f t="shared" si="20"/>
        <v>826264.79999999993</v>
      </c>
      <c r="U169" s="19">
        <f t="shared" si="21"/>
        <v>767409.3</v>
      </c>
      <c r="V169" s="21">
        <f t="shared" si="22"/>
        <v>-58855.499999999884</v>
      </c>
      <c r="W169" s="18">
        <f t="shared" si="23"/>
        <v>-7.1230796713111694E-2</v>
      </c>
    </row>
    <row r="170" spans="1:23" x14ac:dyDescent="0.3">
      <c r="A170" t="s">
        <v>328</v>
      </c>
      <c r="B170" t="s">
        <v>1064</v>
      </c>
      <c r="C170" t="s">
        <v>23</v>
      </c>
      <c r="D170" t="s">
        <v>17</v>
      </c>
      <c r="E170">
        <v>256</v>
      </c>
      <c r="F170">
        <v>130.05000000000001</v>
      </c>
      <c r="G170">
        <v>109.61</v>
      </c>
      <c r="H170">
        <v>130.05000000000001</v>
      </c>
      <c r="I170">
        <v>1973</v>
      </c>
      <c r="J170">
        <v>66</v>
      </c>
      <c r="K170" s="17">
        <f t="shared" si="17"/>
        <v>4340.6000000000004</v>
      </c>
      <c r="L170" t="str">
        <f t="shared" si="18"/>
        <v>High Risk</v>
      </c>
      <c r="P170" s="19">
        <f t="shared" si="19"/>
        <v>4085</v>
      </c>
      <c r="R170" s="19">
        <f t="shared" si="16"/>
        <v>531254.25</v>
      </c>
      <c r="T170" s="19">
        <f t="shared" si="20"/>
        <v>216260.53</v>
      </c>
      <c r="U170" s="19">
        <f t="shared" si="21"/>
        <v>256588.65000000002</v>
      </c>
      <c r="V170" s="21">
        <f t="shared" si="22"/>
        <v>40328.120000000024</v>
      </c>
      <c r="W170" s="18">
        <f t="shared" si="23"/>
        <v>0.1864793358270232</v>
      </c>
    </row>
    <row r="171" spans="1:23" x14ac:dyDescent="0.3">
      <c r="A171" t="s">
        <v>256</v>
      </c>
      <c r="B171" t="s">
        <v>1797</v>
      </c>
      <c r="C171" t="s">
        <v>23</v>
      </c>
      <c r="D171" t="s">
        <v>69</v>
      </c>
      <c r="E171">
        <v>257</v>
      </c>
      <c r="F171">
        <v>375.6</v>
      </c>
      <c r="G171">
        <v>361.4</v>
      </c>
      <c r="H171">
        <v>375.6</v>
      </c>
      <c r="I171">
        <v>2248</v>
      </c>
      <c r="J171">
        <v>53</v>
      </c>
      <c r="K171" s="17">
        <f t="shared" si="17"/>
        <v>3971.4666666666667</v>
      </c>
      <c r="L171" t="str">
        <f t="shared" si="18"/>
        <v>High Risk</v>
      </c>
      <c r="P171" s="19">
        <f t="shared" si="19"/>
        <v>3715</v>
      </c>
      <c r="R171" s="19">
        <f t="shared" si="16"/>
        <v>1395354</v>
      </c>
      <c r="T171" s="19">
        <f t="shared" si="20"/>
        <v>812427.2</v>
      </c>
      <c r="U171" s="19">
        <f t="shared" si="21"/>
        <v>844348.8</v>
      </c>
      <c r="V171" s="21">
        <f t="shared" si="22"/>
        <v>31921.600000000093</v>
      </c>
      <c r="W171" s="18">
        <f t="shared" si="23"/>
        <v>3.9291643608190485E-2</v>
      </c>
    </row>
    <row r="172" spans="1:23" x14ac:dyDescent="0.3">
      <c r="A172" t="s">
        <v>462</v>
      </c>
      <c r="B172" t="s">
        <v>2071</v>
      </c>
      <c r="C172" t="s">
        <v>37</v>
      </c>
      <c r="D172" t="s">
        <v>69</v>
      </c>
      <c r="E172">
        <v>258</v>
      </c>
      <c r="F172">
        <v>526.33000000000004</v>
      </c>
      <c r="G172">
        <v>485.56</v>
      </c>
      <c r="H172">
        <v>526.33000000000004</v>
      </c>
      <c r="I172">
        <v>1676</v>
      </c>
      <c r="J172">
        <v>38</v>
      </c>
      <c r="K172" s="17">
        <f t="shared" si="17"/>
        <v>2122.9333333333334</v>
      </c>
      <c r="L172" t="str">
        <f t="shared" si="18"/>
        <v>High Risk</v>
      </c>
      <c r="P172" s="19">
        <f t="shared" si="19"/>
        <v>1865</v>
      </c>
      <c r="R172" s="19">
        <f t="shared" si="16"/>
        <v>981605.45000000007</v>
      </c>
      <c r="T172" s="19">
        <f t="shared" si="20"/>
        <v>813798.56</v>
      </c>
      <c r="U172" s="19">
        <f t="shared" si="21"/>
        <v>882129.08000000007</v>
      </c>
      <c r="V172" s="21">
        <f t="shared" si="22"/>
        <v>68330.520000000019</v>
      </c>
      <c r="W172" s="18">
        <f t="shared" si="23"/>
        <v>8.3964906499711695E-2</v>
      </c>
    </row>
    <row r="173" spans="1:23" x14ac:dyDescent="0.3">
      <c r="A173" t="s">
        <v>218</v>
      </c>
      <c r="B173" t="s">
        <v>245</v>
      </c>
      <c r="C173" t="s">
        <v>23</v>
      </c>
      <c r="D173" t="s">
        <v>13</v>
      </c>
      <c r="E173">
        <v>258</v>
      </c>
      <c r="F173">
        <v>305.56</v>
      </c>
      <c r="G173">
        <v>335.34</v>
      </c>
      <c r="H173">
        <v>305.56</v>
      </c>
      <c r="I173">
        <v>130</v>
      </c>
      <c r="J173">
        <v>12</v>
      </c>
      <c r="K173" s="17">
        <f t="shared" si="17"/>
        <v>52</v>
      </c>
      <c r="L173" t="str">
        <f t="shared" si="18"/>
        <v>Sufficuent Stock</v>
      </c>
      <c r="P173" s="19">
        <f t="shared" si="19"/>
        <v>0</v>
      </c>
      <c r="R173" s="19">
        <f t="shared" si="16"/>
        <v>0</v>
      </c>
      <c r="T173" s="19">
        <f t="shared" si="20"/>
        <v>43594.2</v>
      </c>
      <c r="U173" s="19">
        <f t="shared" si="21"/>
        <v>39722.800000000003</v>
      </c>
      <c r="V173" s="21">
        <f t="shared" si="22"/>
        <v>-3871.3999999999942</v>
      </c>
      <c r="W173" s="18">
        <f t="shared" si="23"/>
        <v>-8.8805391542911546E-2</v>
      </c>
    </row>
    <row r="174" spans="1:23" x14ac:dyDescent="0.3">
      <c r="A174" t="s">
        <v>748</v>
      </c>
      <c r="B174" t="s">
        <v>3049</v>
      </c>
      <c r="C174" t="s">
        <v>23</v>
      </c>
      <c r="D174" t="s">
        <v>26</v>
      </c>
      <c r="E174">
        <v>259</v>
      </c>
      <c r="F174">
        <v>241.6</v>
      </c>
      <c r="G174">
        <v>238.84</v>
      </c>
      <c r="H174">
        <v>241.6</v>
      </c>
      <c r="I174">
        <v>2841</v>
      </c>
      <c r="J174">
        <v>67</v>
      </c>
      <c r="K174" s="17">
        <f t="shared" si="17"/>
        <v>6344.9000000000005</v>
      </c>
      <c r="L174" t="str">
        <f t="shared" si="18"/>
        <v>High Risk</v>
      </c>
      <c r="P174" s="19">
        <f t="shared" si="19"/>
        <v>6086</v>
      </c>
      <c r="R174" s="19">
        <f t="shared" si="16"/>
        <v>1470377.5999999999</v>
      </c>
      <c r="T174" s="19">
        <f t="shared" si="20"/>
        <v>678544.44000000006</v>
      </c>
      <c r="U174" s="19">
        <f t="shared" si="21"/>
        <v>686385.6</v>
      </c>
      <c r="V174" s="21">
        <f t="shared" si="22"/>
        <v>7841.1599999999162</v>
      </c>
      <c r="W174" s="18">
        <f t="shared" si="23"/>
        <v>1.155585329090592E-2</v>
      </c>
    </row>
    <row r="175" spans="1:23" x14ac:dyDescent="0.3">
      <c r="A175" t="s">
        <v>90</v>
      </c>
      <c r="B175" t="s">
        <v>91</v>
      </c>
      <c r="C175" t="s">
        <v>37</v>
      </c>
      <c r="D175" t="s">
        <v>20</v>
      </c>
      <c r="E175">
        <v>260</v>
      </c>
      <c r="F175">
        <v>498.97</v>
      </c>
      <c r="G175">
        <v>451.7</v>
      </c>
      <c r="H175">
        <v>498.97</v>
      </c>
      <c r="I175">
        <v>3086</v>
      </c>
      <c r="J175">
        <v>43</v>
      </c>
      <c r="K175" s="17">
        <f t="shared" si="17"/>
        <v>4423.2666666666664</v>
      </c>
      <c r="L175" t="str">
        <f t="shared" si="18"/>
        <v>High Risk</v>
      </c>
      <c r="P175" s="19">
        <f t="shared" si="19"/>
        <v>4164</v>
      </c>
      <c r="R175" s="19">
        <f t="shared" si="16"/>
        <v>2077711.08</v>
      </c>
      <c r="T175" s="19">
        <f t="shared" si="20"/>
        <v>1393946.2</v>
      </c>
      <c r="U175" s="19">
        <f t="shared" si="21"/>
        <v>1539821.4200000002</v>
      </c>
      <c r="V175" s="21">
        <f t="shared" si="22"/>
        <v>145875.2200000002</v>
      </c>
      <c r="W175" s="18">
        <f t="shared" si="23"/>
        <v>0.10464910338720405</v>
      </c>
    </row>
    <row r="176" spans="1:23" x14ac:dyDescent="0.3">
      <c r="A176" t="s">
        <v>147</v>
      </c>
      <c r="B176" t="s">
        <v>2248</v>
      </c>
      <c r="C176" t="s">
        <v>37</v>
      </c>
      <c r="D176" t="s">
        <v>20</v>
      </c>
      <c r="E176">
        <v>261</v>
      </c>
      <c r="F176">
        <v>43.58</v>
      </c>
      <c r="G176">
        <v>40.98</v>
      </c>
      <c r="H176">
        <v>43.58</v>
      </c>
      <c r="I176">
        <v>3920</v>
      </c>
      <c r="J176">
        <v>10</v>
      </c>
      <c r="K176" s="17">
        <f t="shared" si="17"/>
        <v>1306.6666666666665</v>
      </c>
      <c r="L176" t="str">
        <f t="shared" si="18"/>
        <v>High Risk</v>
      </c>
      <c r="P176" s="19">
        <f t="shared" si="19"/>
        <v>1046</v>
      </c>
      <c r="R176" s="19">
        <f t="shared" si="16"/>
        <v>45584.68</v>
      </c>
      <c r="T176" s="19">
        <f t="shared" si="20"/>
        <v>160641.59999999998</v>
      </c>
      <c r="U176" s="19">
        <f t="shared" si="21"/>
        <v>170833.6</v>
      </c>
      <c r="V176" s="21">
        <f t="shared" si="22"/>
        <v>10192.000000000029</v>
      </c>
      <c r="W176" s="18">
        <f t="shared" si="23"/>
        <v>6.3445583211322792E-2</v>
      </c>
    </row>
    <row r="177" spans="1:23" x14ac:dyDescent="0.3">
      <c r="A177" t="s">
        <v>209</v>
      </c>
      <c r="B177" t="s">
        <v>210</v>
      </c>
      <c r="C177" t="s">
        <v>16</v>
      </c>
      <c r="D177" t="s">
        <v>26</v>
      </c>
      <c r="E177">
        <v>262</v>
      </c>
      <c r="F177">
        <v>328.87</v>
      </c>
      <c r="G177">
        <v>296.64999999999998</v>
      </c>
      <c r="H177">
        <v>328.87</v>
      </c>
      <c r="I177">
        <v>776</v>
      </c>
      <c r="J177">
        <v>10</v>
      </c>
      <c r="K177" s="17">
        <f t="shared" si="17"/>
        <v>258.66666666666669</v>
      </c>
      <c r="L177" t="str">
        <f t="shared" si="18"/>
        <v>Sufficuent Stock</v>
      </c>
      <c r="P177" s="19">
        <f t="shared" si="19"/>
        <v>0</v>
      </c>
      <c r="R177" s="19">
        <f t="shared" si="16"/>
        <v>0</v>
      </c>
      <c r="T177" s="19">
        <f t="shared" si="20"/>
        <v>230200.4</v>
      </c>
      <c r="U177" s="19">
        <f t="shared" si="21"/>
        <v>255203.12</v>
      </c>
      <c r="V177" s="21">
        <f t="shared" si="22"/>
        <v>25002.720000000001</v>
      </c>
      <c r="W177" s="18">
        <f t="shared" si="23"/>
        <v>0.10861284341816957</v>
      </c>
    </row>
    <row r="178" spans="1:23" x14ac:dyDescent="0.3">
      <c r="A178" t="s">
        <v>943</v>
      </c>
      <c r="B178" t="s">
        <v>1997</v>
      </c>
      <c r="C178" t="s">
        <v>16</v>
      </c>
      <c r="D178" t="s">
        <v>20</v>
      </c>
      <c r="E178">
        <v>263</v>
      </c>
      <c r="F178">
        <v>517.41999999999996</v>
      </c>
      <c r="G178">
        <v>462.91</v>
      </c>
      <c r="H178">
        <v>517.41999999999996</v>
      </c>
      <c r="I178">
        <v>1260</v>
      </c>
      <c r="J178">
        <v>7</v>
      </c>
      <c r="K178" s="17">
        <f t="shared" si="17"/>
        <v>294</v>
      </c>
      <c r="L178" t="str">
        <f t="shared" si="18"/>
        <v>High Risk</v>
      </c>
      <c r="P178" s="19">
        <f t="shared" si="19"/>
        <v>31</v>
      </c>
      <c r="R178" s="19">
        <f t="shared" si="16"/>
        <v>16040.019999999999</v>
      </c>
      <c r="T178" s="19">
        <f t="shared" si="20"/>
        <v>583266.6</v>
      </c>
      <c r="U178" s="19">
        <f t="shared" si="21"/>
        <v>651949.19999999995</v>
      </c>
      <c r="V178" s="21">
        <f t="shared" si="22"/>
        <v>68682.599999999977</v>
      </c>
      <c r="W178" s="18">
        <f t="shared" si="23"/>
        <v>0.11775507118014297</v>
      </c>
    </row>
    <row r="179" spans="1:23" x14ac:dyDescent="0.3">
      <c r="A179" t="s">
        <v>692</v>
      </c>
      <c r="B179" t="s">
        <v>2046</v>
      </c>
      <c r="C179" t="s">
        <v>12</v>
      </c>
      <c r="D179" t="s">
        <v>17</v>
      </c>
      <c r="E179">
        <v>266</v>
      </c>
      <c r="F179">
        <v>459.23</v>
      </c>
      <c r="G179">
        <v>472.23</v>
      </c>
      <c r="H179">
        <v>459.23</v>
      </c>
      <c r="I179">
        <v>2023</v>
      </c>
      <c r="J179">
        <v>18</v>
      </c>
      <c r="K179" s="17">
        <f t="shared" si="17"/>
        <v>1213.8000000000002</v>
      </c>
      <c r="L179" t="str">
        <f t="shared" si="18"/>
        <v>High Risk</v>
      </c>
      <c r="P179" s="19">
        <f t="shared" si="19"/>
        <v>948</v>
      </c>
      <c r="R179" s="19">
        <f t="shared" si="16"/>
        <v>435350.04000000004</v>
      </c>
      <c r="T179" s="19">
        <f t="shared" si="20"/>
        <v>955321.29</v>
      </c>
      <c r="U179" s="19">
        <f t="shared" si="21"/>
        <v>929022.29</v>
      </c>
      <c r="V179" s="21">
        <f t="shared" si="22"/>
        <v>-26299</v>
      </c>
      <c r="W179" s="18">
        <f t="shared" si="23"/>
        <v>-2.7528958346568409E-2</v>
      </c>
    </row>
    <row r="180" spans="1:23" x14ac:dyDescent="0.3">
      <c r="A180" t="s">
        <v>86</v>
      </c>
      <c r="B180" t="s">
        <v>316</v>
      </c>
      <c r="C180" t="s">
        <v>23</v>
      </c>
      <c r="D180" t="s">
        <v>20</v>
      </c>
      <c r="E180">
        <v>267</v>
      </c>
      <c r="F180">
        <v>61.77</v>
      </c>
      <c r="G180">
        <v>66.31</v>
      </c>
      <c r="H180">
        <v>61.77</v>
      </c>
      <c r="I180">
        <v>1391</v>
      </c>
      <c r="J180">
        <v>63</v>
      </c>
      <c r="K180" s="17">
        <f t="shared" si="17"/>
        <v>2921.1</v>
      </c>
      <c r="L180" t="str">
        <f t="shared" si="18"/>
        <v>High Risk</v>
      </c>
      <c r="P180" s="19">
        <f t="shared" si="19"/>
        <v>2655</v>
      </c>
      <c r="R180" s="19">
        <f t="shared" si="16"/>
        <v>163999.35</v>
      </c>
      <c r="T180" s="19">
        <f t="shared" si="20"/>
        <v>92237.21</v>
      </c>
      <c r="U180" s="19">
        <f t="shared" si="21"/>
        <v>85922.07</v>
      </c>
      <c r="V180" s="21">
        <f t="shared" si="22"/>
        <v>-6315.1399999999994</v>
      </c>
      <c r="W180" s="18">
        <f t="shared" si="23"/>
        <v>-6.8466294676519365E-2</v>
      </c>
    </row>
    <row r="181" spans="1:23" x14ac:dyDescent="0.3">
      <c r="A181" t="s">
        <v>552</v>
      </c>
      <c r="B181" t="s">
        <v>3057</v>
      </c>
      <c r="C181" t="s">
        <v>23</v>
      </c>
      <c r="D181" t="s">
        <v>17</v>
      </c>
      <c r="E181">
        <v>269</v>
      </c>
      <c r="F181">
        <v>489.97</v>
      </c>
      <c r="G181">
        <v>427.25</v>
      </c>
      <c r="H181">
        <v>489.97</v>
      </c>
      <c r="I181">
        <v>2326</v>
      </c>
      <c r="J181">
        <v>84</v>
      </c>
      <c r="K181" s="17">
        <f t="shared" si="17"/>
        <v>6512.8</v>
      </c>
      <c r="L181" t="str">
        <f t="shared" si="18"/>
        <v>High Risk</v>
      </c>
      <c r="P181" s="19">
        <f t="shared" si="19"/>
        <v>6244</v>
      </c>
      <c r="R181" s="19">
        <f t="shared" si="16"/>
        <v>3059372.68</v>
      </c>
      <c r="T181" s="19">
        <f t="shared" si="20"/>
        <v>993783.5</v>
      </c>
      <c r="U181" s="19">
        <f t="shared" si="21"/>
        <v>1139670.22</v>
      </c>
      <c r="V181" s="21">
        <f t="shared" si="22"/>
        <v>145886.71999999997</v>
      </c>
      <c r="W181" s="18">
        <f t="shared" si="23"/>
        <v>0.14679929783499118</v>
      </c>
    </row>
    <row r="182" spans="1:23" x14ac:dyDescent="0.3">
      <c r="A182" t="s">
        <v>82</v>
      </c>
      <c r="B182" t="s">
        <v>2122</v>
      </c>
      <c r="C182" t="s">
        <v>50</v>
      </c>
      <c r="D182" t="s">
        <v>20</v>
      </c>
      <c r="E182">
        <v>270</v>
      </c>
      <c r="F182">
        <v>140.91</v>
      </c>
      <c r="G182">
        <v>121.59</v>
      </c>
      <c r="H182">
        <v>140.91</v>
      </c>
      <c r="I182">
        <v>1214</v>
      </c>
      <c r="J182">
        <v>8</v>
      </c>
      <c r="K182" s="17">
        <f t="shared" si="17"/>
        <v>323.73333333333335</v>
      </c>
      <c r="L182" t="str">
        <f t="shared" si="18"/>
        <v>High Risk</v>
      </c>
      <c r="P182" s="19">
        <f t="shared" si="19"/>
        <v>54</v>
      </c>
      <c r="R182" s="19">
        <f t="shared" si="16"/>
        <v>7609.1399999999994</v>
      </c>
      <c r="T182" s="19">
        <f t="shared" si="20"/>
        <v>147610.26</v>
      </c>
      <c r="U182" s="19">
        <f t="shared" si="21"/>
        <v>171064.74</v>
      </c>
      <c r="V182" s="21">
        <f t="shared" si="22"/>
        <v>23454.479999999981</v>
      </c>
      <c r="W182" s="18">
        <f t="shared" si="23"/>
        <v>0.15889464594127792</v>
      </c>
    </row>
    <row r="183" spans="1:23" x14ac:dyDescent="0.3">
      <c r="A183" t="s">
        <v>949</v>
      </c>
      <c r="B183" t="s">
        <v>3166</v>
      </c>
      <c r="C183" t="s">
        <v>12</v>
      </c>
      <c r="D183" t="s">
        <v>69</v>
      </c>
      <c r="E183">
        <v>272</v>
      </c>
      <c r="F183">
        <v>331.48</v>
      </c>
      <c r="G183">
        <v>324.26</v>
      </c>
      <c r="H183">
        <v>331.48</v>
      </c>
      <c r="I183">
        <v>600</v>
      </c>
      <c r="J183">
        <v>54</v>
      </c>
      <c r="K183" s="17">
        <f t="shared" si="17"/>
        <v>1080</v>
      </c>
      <c r="L183" t="str">
        <f t="shared" si="18"/>
        <v>High Risk</v>
      </c>
      <c r="P183" s="19">
        <f t="shared" si="19"/>
        <v>808</v>
      </c>
      <c r="R183" s="19">
        <f t="shared" si="16"/>
        <v>267835.84000000003</v>
      </c>
      <c r="T183" s="19">
        <f t="shared" si="20"/>
        <v>194556</v>
      </c>
      <c r="U183" s="19">
        <f t="shared" si="21"/>
        <v>198888</v>
      </c>
      <c r="V183" s="21">
        <f t="shared" si="22"/>
        <v>4332</v>
      </c>
      <c r="W183" s="18">
        <f t="shared" si="23"/>
        <v>2.226608277308333E-2</v>
      </c>
    </row>
    <row r="184" spans="1:23" x14ac:dyDescent="0.3">
      <c r="A184" t="s">
        <v>193</v>
      </c>
      <c r="B184" t="s">
        <v>556</v>
      </c>
      <c r="C184" t="s">
        <v>23</v>
      </c>
      <c r="D184" t="s">
        <v>26</v>
      </c>
      <c r="E184">
        <v>273</v>
      </c>
      <c r="F184">
        <v>229.17</v>
      </c>
      <c r="G184">
        <v>249.03</v>
      </c>
      <c r="H184">
        <v>229.17</v>
      </c>
      <c r="I184">
        <v>927</v>
      </c>
      <c r="J184">
        <v>37</v>
      </c>
      <c r="K184" s="17">
        <f t="shared" si="17"/>
        <v>1143.3</v>
      </c>
      <c r="L184" t="str">
        <f t="shared" si="18"/>
        <v>High Risk</v>
      </c>
      <c r="P184" s="19">
        <f t="shared" si="19"/>
        <v>871</v>
      </c>
      <c r="R184" s="19">
        <f t="shared" si="16"/>
        <v>199607.06999999998</v>
      </c>
      <c r="T184" s="19">
        <f t="shared" si="20"/>
        <v>230850.81</v>
      </c>
      <c r="U184" s="19">
        <f t="shared" si="21"/>
        <v>212440.59</v>
      </c>
      <c r="V184" s="21">
        <f t="shared" si="22"/>
        <v>-18410.22</v>
      </c>
      <c r="W184" s="18">
        <f t="shared" si="23"/>
        <v>-7.9749427779785567E-2</v>
      </c>
    </row>
    <row r="185" spans="1:23" x14ac:dyDescent="0.3">
      <c r="A185" t="s">
        <v>42</v>
      </c>
      <c r="B185" t="s">
        <v>1310</v>
      </c>
      <c r="C185" t="s">
        <v>16</v>
      </c>
      <c r="D185" t="s">
        <v>17</v>
      </c>
      <c r="E185">
        <v>277</v>
      </c>
      <c r="F185">
        <v>503.43</v>
      </c>
      <c r="G185">
        <v>455.84</v>
      </c>
      <c r="H185">
        <v>503.43</v>
      </c>
      <c r="I185">
        <v>1214</v>
      </c>
      <c r="J185">
        <v>8</v>
      </c>
      <c r="K185" s="17">
        <f t="shared" si="17"/>
        <v>323.73333333333335</v>
      </c>
      <c r="L185" t="str">
        <f t="shared" si="18"/>
        <v>High Risk</v>
      </c>
      <c r="P185" s="19">
        <f t="shared" si="19"/>
        <v>47</v>
      </c>
      <c r="R185" s="19">
        <f t="shared" si="16"/>
        <v>23661.21</v>
      </c>
      <c r="T185" s="19">
        <f t="shared" si="20"/>
        <v>553389.76</v>
      </c>
      <c r="U185" s="19">
        <f t="shared" si="21"/>
        <v>611164.02</v>
      </c>
      <c r="V185" s="21">
        <f t="shared" si="22"/>
        <v>57774.260000000009</v>
      </c>
      <c r="W185" s="18">
        <f t="shared" si="23"/>
        <v>0.10440066690066692</v>
      </c>
    </row>
    <row r="186" spans="1:23" x14ac:dyDescent="0.3">
      <c r="A186" t="s">
        <v>1673</v>
      </c>
      <c r="B186" t="s">
        <v>2342</v>
      </c>
      <c r="C186" t="s">
        <v>23</v>
      </c>
      <c r="D186" t="s">
        <v>26</v>
      </c>
      <c r="E186">
        <v>280</v>
      </c>
      <c r="F186">
        <v>142.59</v>
      </c>
      <c r="G186">
        <v>144.62</v>
      </c>
      <c r="H186">
        <v>142.59</v>
      </c>
      <c r="I186">
        <v>1863</v>
      </c>
      <c r="J186">
        <v>48</v>
      </c>
      <c r="K186" s="17">
        <f t="shared" si="17"/>
        <v>2980.8</v>
      </c>
      <c r="L186" t="str">
        <f t="shared" si="18"/>
        <v>High Risk</v>
      </c>
      <c r="P186" s="19">
        <f t="shared" si="19"/>
        <v>2701</v>
      </c>
      <c r="R186" s="19">
        <f t="shared" si="16"/>
        <v>385135.59</v>
      </c>
      <c r="T186" s="19">
        <f t="shared" si="20"/>
        <v>269427.06</v>
      </c>
      <c r="U186" s="19">
        <f t="shared" si="21"/>
        <v>265645.17</v>
      </c>
      <c r="V186" s="21">
        <f t="shared" si="22"/>
        <v>-3781.890000000014</v>
      </c>
      <c r="W186" s="18">
        <f t="shared" si="23"/>
        <v>-1.4036786060019414E-2</v>
      </c>
    </row>
    <row r="187" spans="1:23" x14ac:dyDescent="0.3">
      <c r="A187" t="s">
        <v>1096</v>
      </c>
      <c r="B187" t="s">
        <v>1741</v>
      </c>
      <c r="C187" t="s">
        <v>12</v>
      </c>
      <c r="D187" t="s">
        <v>69</v>
      </c>
      <c r="E187">
        <v>280</v>
      </c>
      <c r="F187">
        <v>360.16</v>
      </c>
      <c r="G187">
        <v>333.29</v>
      </c>
      <c r="H187">
        <v>360.16</v>
      </c>
      <c r="I187">
        <v>737</v>
      </c>
      <c r="J187">
        <v>41</v>
      </c>
      <c r="K187" s="17">
        <f t="shared" si="17"/>
        <v>1007.2333333333333</v>
      </c>
      <c r="L187" t="str">
        <f t="shared" si="18"/>
        <v>High Risk</v>
      </c>
      <c r="P187" s="19">
        <f t="shared" si="19"/>
        <v>728</v>
      </c>
      <c r="R187" s="19">
        <f t="shared" si="16"/>
        <v>262196.48000000004</v>
      </c>
      <c r="T187" s="19">
        <f t="shared" si="20"/>
        <v>245634.73</v>
      </c>
      <c r="U187" s="19">
        <f t="shared" si="21"/>
        <v>265437.92000000004</v>
      </c>
      <c r="V187" s="21">
        <f t="shared" si="22"/>
        <v>19803.190000000031</v>
      </c>
      <c r="W187" s="18">
        <f t="shared" si="23"/>
        <v>8.0620480662486241E-2</v>
      </c>
    </row>
    <row r="188" spans="1:23" x14ac:dyDescent="0.3">
      <c r="A188" t="s">
        <v>535</v>
      </c>
      <c r="B188" t="s">
        <v>1032</v>
      </c>
      <c r="C188" t="s">
        <v>23</v>
      </c>
      <c r="D188" t="s">
        <v>26</v>
      </c>
      <c r="E188">
        <v>282</v>
      </c>
      <c r="F188">
        <v>498.62</v>
      </c>
      <c r="G188">
        <v>423.27</v>
      </c>
      <c r="H188">
        <v>498.62</v>
      </c>
      <c r="I188">
        <v>1467</v>
      </c>
      <c r="J188">
        <v>56</v>
      </c>
      <c r="K188" s="17">
        <f t="shared" si="17"/>
        <v>2738.4</v>
      </c>
      <c r="L188" t="str">
        <f t="shared" si="18"/>
        <v>High Risk</v>
      </c>
      <c r="P188" s="19">
        <f t="shared" si="19"/>
        <v>2457</v>
      </c>
      <c r="R188" s="19">
        <f t="shared" si="16"/>
        <v>1225109.3400000001</v>
      </c>
      <c r="T188" s="19">
        <f t="shared" si="20"/>
        <v>620937.09</v>
      </c>
      <c r="U188" s="19">
        <f t="shared" si="21"/>
        <v>731475.54</v>
      </c>
      <c r="V188" s="21">
        <f t="shared" si="22"/>
        <v>110538.45000000007</v>
      </c>
      <c r="W188" s="18">
        <f t="shared" si="23"/>
        <v>0.1780187587119334</v>
      </c>
    </row>
    <row r="189" spans="1:23" x14ac:dyDescent="0.3">
      <c r="A189" t="s">
        <v>211</v>
      </c>
      <c r="B189" t="s">
        <v>1876</v>
      </c>
      <c r="C189" t="s">
        <v>37</v>
      </c>
      <c r="D189" t="s">
        <v>13</v>
      </c>
      <c r="E189">
        <v>283</v>
      </c>
      <c r="F189">
        <v>20.09</v>
      </c>
      <c r="G189">
        <v>20</v>
      </c>
      <c r="H189">
        <v>20.09</v>
      </c>
      <c r="I189">
        <v>2262</v>
      </c>
      <c r="J189">
        <v>54</v>
      </c>
      <c r="K189" s="17">
        <f t="shared" si="17"/>
        <v>4071.6000000000004</v>
      </c>
      <c r="L189" t="str">
        <f t="shared" si="18"/>
        <v>High Risk</v>
      </c>
      <c r="P189" s="19">
        <f t="shared" si="19"/>
        <v>3789</v>
      </c>
      <c r="R189" s="19">
        <f t="shared" si="16"/>
        <v>76121.009999999995</v>
      </c>
      <c r="T189" s="19">
        <f t="shared" si="20"/>
        <v>45240</v>
      </c>
      <c r="U189" s="19">
        <f t="shared" si="21"/>
        <v>45443.58</v>
      </c>
      <c r="V189" s="21">
        <f t="shared" si="22"/>
        <v>203.58000000000175</v>
      </c>
      <c r="W189" s="18">
        <f t="shared" si="23"/>
        <v>4.5000000000000387E-3</v>
      </c>
    </row>
    <row r="190" spans="1:23" x14ac:dyDescent="0.3">
      <c r="A190" t="s">
        <v>552</v>
      </c>
      <c r="B190" t="s">
        <v>2891</v>
      </c>
      <c r="C190" t="s">
        <v>16</v>
      </c>
      <c r="D190" t="s">
        <v>69</v>
      </c>
      <c r="E190">
        <v>286</v>
      </c>
      <c r="F190">
        <v>344.56</v>
      </c>
      <c r="G190">
        <v>379.37</v>
      </c>
      <c r="H190">
        <v>344.56</v>
      </c>
      <c r="I190">
        <v>1120</v>
      </c>
      <c r="J190">
        <v>36</v>
      </c>
      <c r="K190" s="17">
        <f t="shared" si="17"/>
        <v>1344</v>
      </c>
      <c r="L190" t="str">
        <f t="shared" si="18"/>
        <v>High Risk</v>
      </c>
      <c r="P190" s="19">
        <f t="shared" si="19"/>
        <v>1058</v>
      </c>
      <c r="R190" s="19">
        <f t="shared" si="16"/>
        <v>364544.48</v>
      </c>
      <c r="T190" s="19">
        <f t="shared" si="20"/>
        <v>424894.4</v>
      </c>
      <c r="U190" s="19">
        <f t="shared" si="21"/>
        <v>385907.20000000001</v>
      </c>
      <c r="V190" s="21">
        <f t="shared" si="22"/>
        <v>-38987.200000000012</v>
      </c>
      <c r="W190" s="18">
        <f t="shared" si="23"/>
        <v>-9.1757387247278402E-2</v>
      </c>
    </row>
    <row r="191" spans="1:23" x14ac:dyDescent="0.3">
      <c r="A191" t="s">
        <v>644</v>
      </c>
      <c r="B191" t="s">
        <v>645</v>
      </c>
      <c r="C191" t="s">
        <v>16</v>
      </c>
      <c r="D191" t="s">
        <v>20</v>
      </c>
      <c r="E191">
        <v>289</v>
      </c>
      <c r="F191">
        <v>229.58</v>
      </c>
      <c r="G191">
        <v>235.36</v>
      </c>
      <c r="H191">
        <v>229.58</v>
      </c>
      <c r="I191">
        <v>1168</v>
      </c>
      <c r="J191">
        <v>41</v>
      </c>
      <c r="K191" s="17">
        <f t="shared" si="17"/>
        <v>1596.2666666666664</v>
      </c>
      <c r="L191" t="str">
        <f t="shared" si="18"/>
        <v>High Risk</v>
      </c>
      <c r="P191" s="19">
        <f t="shared" si="19"/>
        <v>1308</v>
      </c>
      <c r="R191" s="19">
        <f t="shared" si="16"/>
        <v>300290.64</v>
      </c>
      <c r="T191" s="19">
        <f t="shared" si="20"/>
        <v>274900.48000000004</v>
      </c>
      <c r="U191" s="19">
        <f t="shared" si="21"/>
        <v>268149.44</v>
      </c>
      <c r="V191" s="21">
        <f t="shared" si="22"/>
        <v>-6751.0400000000373</v>
      </c>
      <c r="W191" s="18">
        <f t="shared" si="23"/>
        <v>-2.4558123725357033E-2</v>
      </c>
    </row>
    <row r="192" spans="1:23" x14ac:dyDescent="0.3">
      <c r="A192" t="s">
        <v>78</v>
      </c>
      <c r="B192" t="s">
        <v>769</v>
      </c>
      <c r="C192" t="s">
        <v>23</v>
      </c>
      <c r="D192" t="s">
        <v>69</v>
      </c>
      <c r="E192">
        <v>291</v>
      </c>
      <c r="F192">
        <v>388.66</v>
      </c>
      <c r="G192">
        <v>421.28</v>
      </c>
      <c r="H192">
        <v>388.66</v>
      </c>
      <c r="I192">
        <v>2401</v>
      </c>
      <c r="J192">
        <v>22</v>
      </c>
      <c r="K192" s="17">
        <f t="shared" si="17"/>
        <v>1760.7333333333333</v>
      </c>
      <c r="L192" t="str">
        <f t="shared" si="18"/>
        <v>High Risk</v>
      </c>
      <c r="P192" s="19">
        <f t="shared" si="19"/>
        <v>1470</v>
      </c>
      <c r="R192" s="19">
        <f t="shared" si="16"/>
        <v>571330.20000000007</v>
      </c>
      <c r="T192" s="19">
        <f t="shared" si="20"/>
        <v>1011493.2799999999</v>
      </c>
      <c r="U192" s="19">
        <f t="shared" si="21"/>
        <v>933172.66</v>
      </c>
      <c r="V192" s="21">
        <f t="shared" si="22"/>
        <v>-78320.619999999879</v>
      </c>
      <c r="W192" s="18">
        <f t="shared" si="23"/>
        <v>-7.7430687428788336E-2</v>
      </c>
    </row>
    <row r="193" spans="1:23" x14ac:dyDescent="0.3">
      <c r="A193" t="s">
        <v>233</v>
      </c>
      <c r="B193" t="s">
        <v>3009</v>
      </c>
      <c r="C193" t="s">
        <v>16</v>
      </c>
      <c r="D193" t="s">
        <v>20</v>
      </c>
      <c r="E193">
        <v>291</v>
      </c>
      <c r="F193">
        <v>507.45</v>
      </c>
      <c r="G193">
        <v>450.02</v>
      </c>
      <c r="H193">
        <v>507.45</v>
      </c>
      <c r="I193">
        <v>2527</v>
      </c>
      <c r="J193">
        <v>27</v>
      </c>
      <c r="K193" s="17">
        <f t="shared" si="17"/>
        <v>2274.3000000000002</v>
      </c>
      <c r="L193" t="str">
        <f t="shared" si="18"/>
        <v>High Risk</v>
      </c>
      <c r="P193" s="19">
        <f t="shared" si="19"/>
        <v>1984</v>
      </c>
      <c r="R193" s="19">
        <f t="shared" si="16"/>
        <v>1006780.7999999999</v>
      </c>
      <c r="T193" s="19">
        <f t="shared" si="20"/>
        <v>1137200.54</v>
      </c>
      <c r="U193" s="19">
        <f t="shared" si="21"/>
        <v>1282326.1499999999</v>
      </c>
      <c r="V193" s="21">
        <f t="shared" si="22"/>
        <v>145125.60999999987</v>
      </c>
      <c r="W193" s="18">
        <f t="shared" si="23"/>
        <v>0.12761655037553873</v>
      </c>
    </row>
    <row r="194" spans="1:23" x14ac:dyDescent="0.3">
      <c r="A194" t="s">
        <v>53</v>
      </c>
      <c r="B194" t="s">
        <v>2769</v>
      </c>
      <c r="C194" t="s">
        <v>50</v>
      </c>
      <c r="D194" t="s">
        <v>13</v>
      </c>
      <c r="E194">
        <v>292</v>
      </c>
      <c r="F194">
        <v>425.87</v>
      </c>
      <c r="G194">
        <v>455.83</v>
      </c>
      <c r="H194">
        <v>425.87</v>
      </c>
      <c r="I194">
        <v>3134</v>
      </c>
      <c r="J194">
        <v>84</v>
      </c>
      <c r="K194" s="17">
        <f t="shared" si="17"/>
        <v>8775.2000000000007</v>
      </c>
      <c r="L194" t="str">
        <f t="shared" si="18"/>
        <v>High Risk</v>
      </c>
      <c r="P194" s="19">
        <f t="shared" si="19"/>
        <v>8484</v>
      </c>
      <c r="R194" s="19">
        <f t="shared" ref="R194:R257" si="24">P194*H194</f>
        <v>3613081.08</v>
      </c>
      <c r="T194" s="19">
        <f t="shared" si="20"/>
        <v>1428571.22</v>
      </c>
      <c r="U194" s="19">
        <f t="shared" si="21"/>
        <v>1334676.58</v>
      </c>
      <c r="V194" s="21">
        <f t="shared" si="22"/>
        <v>-93894.639999999898</v>
      </c>
      <c r="W194" s="18">
        <f t="shared" si="23"/>
        <v>-6.5726257596033538E-2</v>
      </c>
    </row>
    <row r="195" spans="1:23" x14ac:dyDescent="0.3">
      <c r="A195" t="s">
        <v>755</v>
      </c>
      <c r="B195" t="s">
        <v>1042</v>
      </c>
      <c r="C195" t="s">
        <v>37</v>
      </c>
      <c r="D195" t="s">
        <v>26</v>
      </c>
      <c r="E195">
        <v>295</v>
      </c>
      <c r="F195">
        <v>19.05</v>
      </c>
      <c r="G195">
        <v>19.309999999999999</v>
      </c>
      <c r="H195">
        <v>19.05</v>
      </c>
      <c r="I195">
        <v>804</v>
      </c>
      <c r="J195">
        <v>19</v>
      </c>
      <c r="K195" s="17">
        <f t="shared" ref="K195:K258" si="25">(I195/30)*J195</f>
        <v>509.2</v>
      </c>
      <c r="L195" t="str">
        <f t="shared" ref="L195:L258" si="26">IF(E195&lt;K195,"High Risk","Sufficuent Stock")</f>
        <v>High Risk</v>
      </c>
      <c r="P195" s="19">
        <f t="shared" ref="P195:P258" si="27">ROUNDUP(MAX(0,K195-E195),0)</f>
        <v>215</v>
      </c>
      <c r="R195" s="19">
        <f t="shared" si="24"/>
        <v>4095.75</v>
      </c>
      <c r="T195" s="19">
        <f t="shared" ref="T195:T258" si="28">I195*G195</f>
        <v>15525.24</v>
      </c>
      <c r="U195" s="19">
        <f t="shared" ref="U195:U258" si="29">I195*H195</f>
        <v>15316.2</v>
      </c>
      <c r="V195" s="21">
        <f t="shared" ref="V195:V258" si="30">U195-T195</f>
        <v>-209.03999999999905</v>
      </c>
      <c r="W195" s="18">
        <f t="shared" ref="W195:W258" si="31">IFERROR(V195/T195,0)</f>
        <v>-1.3464526152252658E-2</v>
      </c>
    </row>
    <row r="196" spans="1:23" x14ac:dyDescent="0.3">
      <c r="A196" t="s">
        <v>303</v>
      </c>
      <c r="B196" t="s">
        <v>2533</v>
      </c>
      <c r="C196" t="s">
        <v>37</v>
      </c>
      <c r="D196" t="s">
        <v>26</v>
      </c>
      <c r="E196">
        <v>296</v>
      </c>
      <c r="F196">
        <v>471.22</v>
      </c>
      <c r="G196">
        <v>484.35</v>
      </c>
      <c r="H196">
        <v>471.22</v>
      </c>
      <c r="I196">
        <v>1363</v>
      </c>
      <c r="J196">
        <v>67</v>
      </c>
      <c r="K196" s="17">
        <f t="shared" si="25"/>
        <v>3044.0333333333333</v>
      </c>
      <c r="L196" t="str">
        <f t="shared" si="26"/>
        <v>High Risk</v>
      </c>
      <c r="P196" s="19">
        <f t="shared" si="27"/>
        <v>2749</v>
      </c>
      <c r="R196" s="19">
        <f t="shared" si="24"/>
        <v>1295383.78</v>
      </c>
      <c r="T196" s="19">
        <f t="shared" si="28"/>
        <v>660169.05000000005</v>
      </c>
      <c r="U196" s="19">
        <f t="shared" si="29"/>
        <v>642272.86</v>
      </c>
      <c r="V196" s="21">
        <f t="shared" si="30"/>
        <v>-17896.190000000061</v>
      </c>
      <c r="W196" s="18">
        <f t="shared" si="31"/>
        <v>-2.7108495922370277E-2</v>
      </c>
    </row>
    <row r="197" spans="1:23" x14ac:dyDescent="0.3">
      <c r="A197" t="s">
        <v>57</v>
      </c>
      <c r="B197" t="s">
        <v>1718</v>
      </c>
      <c r="C197" t="s">
        <v>12</v>
      </c>
      <c r="D197" t="s">
        <v>20</v>
      </c>
      <c r="E197">
        <v>296</v>
      </c>
      <c r="F197">
        <v>62.99</v>
      </c>
      <c r="G197">
        <v>59.15</v>
      </c>
      <c r="H197">
        <v>62.99</v>
      </c>
      <c r="I197">
        <v>2500</v>
      </c>
      <c r="J197">
        <v>69</v>
      </c>
      <c r="K197" s="17">
        <f t="shared" si="25"/>
        <v>5750</v>
      </c>
      <c r="L197" t="str">
        <f t="shared" si="26"/>
        <v>High Risk</v>
      </c>
      <c r="P197" s="19">
        <f t="shared" si="27"/>
        <v>5454</v>
      </c>
      <c r="R197" s="19">
        <f t="shared" si="24"/>
        <v>343547.46</v>
      </c>
      <c r="T197" s="19">
        <f t="shared" si="28"/>
        <v>147875</v>
      </c>
      <c r="U197" s="19">
        <f t="shared" si="29"/>
        <v>157475</v>
      </c>
      <c r="V197" s="21">
        <f t="shared" si="30"/>
        <v>9600</v>
      </c>
      <c r="W197" s="18">
        <f t="shared" si="31"/>
        <v>6.4919695688926457E-2</v>
      </c>
    </row>
    <row r="198" spans="1:23" x14ac:dyDescent="0.3">
      <c r="A198" t="s">
        <v>940</v>
      </c>
      <c r="B198" t="s">
        <v>2655</v>
      </c>
      <c r="C198" t="s">
        <v>12</v>
      </c>
      <c r="D198" t="s">
        <v>20</v>
      </c>
      <c r="E198">
        <v>297</v>
      </c>
      <c r="F198">
        <v>80.19</v>
      </c>
      <c r="G198">
        <v>78.930000000000007</v>
      </c>
      <c r="H198">
        <v>80.19</v>
      </c>
      <c r="I198">
        <v>2279</v>
      </c>
      <c r="J198">
        <v>14</v>
      </c>
      <c r="K198" s="17">
        <f t="shared" si="25"/>
        <v>1063.5333333333333</v>
      </c>
      <c r="L198" t="str">
        <f t="shared" si="26"/>
        <v>High Risk</v>
      </c>
      <c r="P198" s="19">
        <f t="shared" si="27"/>
        <v>767</v>
      </c>
      <c r="R198" s="19">
        <f t="shared" si="24"/>
        <v>61505.729999999996</v>
      </c>
      <c r="T198" s="19">
        <f t="shared" si="28"/>
        <v>179881.47</v>
      </c>
      <c r="U198" s="19">
        <f t="shared" si="29"/>
        <v>182753.01</v>
      </c>
      <c r="V198" s="21">
        <f t="shared" si="30"/>
        <v>2871.5400000000081</v>
      </c>
      <c r="W198" s="18">
        <f t="shared" si="31"/>
        <v>1.5963511972634025E-2</v>
      </c>
    </row>
    <row r="199" spans="1:23" x14ac:dyDescent="0.3">
      <c r="A199" t="s">
        <v>668</v>
      </c>
      <c r="B199" t="s">
        <v>2474</v>
      </c>
      <c r="C199" t="s">
        <v>50</v>
      </c>
      <c r="D199" t="s">
        <v>69</v>
      </c>
      <c r="E199">
        <v>297</v>
      </c>
      <c r="F199">
        <v>488.6</v>
      </c>
      <c r="G199">
        <v>433.05</v>
      </c>
      <c r="H199">
        <v>488.6</v>
      </c>
      <c r="I199">
        <v>2153</v>
      </c>
      <c r="J199">
        <v>14</v>
      </c>
      <c r="K199" s="17">
        <f t="shared" si="25"/>
        <v>1004.7333333333333</v>
      </c>
      <c r="L199" t="str">
        <f t="shared" si="26"/>
        <v>High Risk</v>
      </c>
      <c r="P199" s="19">
        <f t="shared" si="27"/>
        <v>708</v>
      </c>
      <c r="R199" s="19">
        <f t="shared" si="24"/>
        <v>345928.8</v>
      </c>
      <c r="T199" s="19">
        <f t="shared" si="28"/>
        <v>932356.65</v>
      </c>
      <c r="U199" s="19">
        <f t="shared" si="29"/>
        <v>1051955.8</v>
      </c>
      <c r="V199" s="21">
        <f t="shared" si="30"/>
        <v>119599.15000000002</v>
      </c>
      <c r="W199" s="18">
        <f t="shared" si="31"/>
        <v>0.12827618057960977</v>
      </c>
    </row>
    <row r="200" spans="1:23" x14ac:dyDescent="0.3">
      <c r="A200" t="s">
        <v>416</v>
      </c>
      <c r="B200" t="s">
        <v>2153</v>
      </c>
      <c r="C200" t="s">
        <v>12</v>
      </c>
      <c r="D200" t="s">
        <v>26</v>
      </c>
      <c r="E200">
        <v>299</v>
      </c>
      <c r="F200">
        <v>494.84</v>
      </c>
      <c r="G200">
        <v>432.23</v>
      </c>
      <c r="H200">
        <v>494.84</v>
      </c>
      <c r="I200">
        <v>729</v>
      </c>
      <c r="J200">
        <v>16</v>
      </c>
      <c r="K200" s="17">
        <f t="shared" si="25"/>
        <v>388.8</v>
      </c>
      <c r="L200" t="str">
        <f t="shared" si="26"/>
        <v>High Risk</v>
      </c>
      <c r="P200" s="19">
        <f t="shared" si="27"/>
        <v>90</v>
      </c>
      <c r="R200" s="19">
        <f t="shared" si="24"/>
        <v>44535.6</v>
      </c>
      <c r="T200" s="19">
        <f t="shared" si="28"/>
        <v>315095.67000000004</v>
      </c>
      <c r="U200" s="19">
        <f t="shared" si="29"/>
        <v>360738.36</v>
      </c>
      <c r="V200" s="21">
        <f t="shared" si="30"/>
        <v>45642.689999999944</v>
      </c>
      <c r="W200" s="18">
        <f t="shared" si="31"/>
        <v>0.14485343451403168</v>
      </c>
    </row>
    <row r="201" spans="1:23" x14ac:dyDescent="0.3">
      <c r="A201" t="s">
        <v>168</v>
      </c>
      <c r="B201" t="s">
        <v>3161</v>
      </c>
      <c r="C201" t="s">
        <v>50</v>
      </c>
      <c r="D201" t="s">
        <v>17</v>
      </c>
      <c r="E201">
        <v>303</v>
      </c>
      <c r="F201">
        <v>325.63</v>
      </c>
      <c r="G201">
        <v>278.02999999999997</v>
      </c>
      <c r="H201">
        <v>325.63</v>
      </c>
      <c r="I201">
        <v>1764</v>
      </c>
      <c r="J201">
        <v>18</v>
      </c>
      <c r="K201" s="17">
        <f t="shared" si="25"/>
        <v>1058.3999999999999</v>
      </c>
      <c r="L201" t="str">
        <f t="shared" si="26"/>
        <v>High Risk</v>
      </c>
      <c r="P201" s="19">
        <f t="shared" si="27"/>
        <v>756</v>
      </c>
      <c r="R201" s="19">
        <f t="shared" si="24"/>
        <v>246176.28</v>
      </c>
      <c r="T201" s="19">
        <f t="shared" si="28"/>
        <v>490444.91999999993</v>
      </c>
      <c r="U201" s="19">
        <f t="shared" si="29"/>
        <v>574411.31999999995</v>
      </c>
      <c r="V201" s="21">
        <f t="shared" si="30"/>
        <v>83966.400000000023</v>
      </c>
      <c r="W201" s="18">
        <f t="shared" si="31"/>
        <v>0.17120454627198511</v>
      </c>
    </row>
    <row r="202" spans="1:23" x14ac:dyDescent="0.3">
      <c r="A202" t="s">
        <v>240</v>
      </c>
      <c r="B202" t="s">
        <v>3244</v>
      </c>
      <c r="C202" t="s">
        <v>12</v>
      </c>
      <c r="D202" t="s">
        <v>17</v>
      </c>
      <c r="E202">
        <v>304</v>
      </c>
      <c r="F202">
        <v>183.78</v>
      </c>
      <c r="G202">
        <v>167.27</v>
      </c>
      <c r="H202">
        <v>183.78</v>
      </c>
      <c r="I202">
        <v>64</v>
      </c>
      <c r="J202">
        <v>53</v>
      </c>
      <c r="K202" s="17">
        <f t="shared" si="25"/>
        <v>113.06666666666666</v>
      </c>
      <c r="L202" t="str">
        <f t="shared" si="26"/>
        <v>Sufficuent Stock</v>
      </c>
      <c r="P202" s="19">
        <f t="shared" si="27"/>
        <v>0</v>
      </c>
      <c r="R202" s="19">
        <f t="shared" si="24"/>
        <v>0</v>
      </c>
      <c r="T202" s="19">
        <f t="shared" si="28"/>
        <v>10705.28</v>
      </c>
      <c r="U202" s="19">
        <f t="shared" si="29"/>
        <v>11761.92</v>
      </c>
      <c r="V202" s="21">
        <f t="shared" si="30"/>
        <v>1056.6399999999994</v>
      </c>
      <c r="W202" s="18">
        <f t="shared" si="31"/>
        <v>9.8702696239612545E-2</v>
      </c>
    </row>
    <row r="203" spans="1:23" x14ac:dyDescent="0.3">
      <c r="A203" t="s">
        <v>820</v>
      </c>
      <c r="B203" t="s">
        <v>3275</v>
      </c>
      <c r="C203" t="s">
        <v>16</v>
      </c>
      <c r="D203" t="s">
        <v>26</v>
      </c>
      <c r="E203">
        <v>306</v>
      </c>
      <c r="F203">
        <v>459.81</v>
      </c>
      <c r="G203">
        <v>393.82</v>
      </c>
      <c r="H203">
        <v>459.81</v>
      </c>
      <c r="I203">
        <v>2054</v>
      </c>
      <c r="J203">
        <v>30</v>
      </c>
      <c r="K203" s="17">
        <f t="shared" si="25"/>
        <v>2054</v>
      </c>
      <c r="L203" t="str">
        <f t="shared" si="26"/>
        <v>High Risk</v>
      </c>
      <c r="P203" s="19">
        <f t="shared" si="27"/>
        <v>1748</v>
      </c>
      <c r="R203" s="19">
        <f t="shared" si="24"/>
        <v>803747.88</v>
      </c>
      <c r="T203" s="19">
        <f t="shared" si="28"/>
        <v>808906.28</v>
      </c>
      <c r="U203" s="19">
        <f t="shared" si="29"/>
        <v>944449.74</v>
      </c>
      <c r="V203" s="21">
        <f t="shared" si="30"/>
        <v>135543.45999999996</v>
      </c>
      <c r="W203" s="18">
        <f t="shared" si="31"/>
        <v>0.1675638616626885</v>
      </c>
    </row>
    <row r="204" spans="1:23" x14ac:dyDescent="0.3">
      <c r="A204" t="s">
        <v>427</v>
      </c>
      <c r="B204" t="s">
        <v>2981</v>
      </c>
      <c r="C204" t="s">
        <v>16</v>
      </c>
      <c r="D204" t="s">
        <v>13</v>
      </c>
      <c r="E204">
        <v>306</v>
      </c>
      <c r="F204">
        <v>83.78</v>
      </c>
      <c r="G204">
        <v>77.86</v>
      </c>
      <c r="H204">
        <v>83.78</v>
      </c>
      <c r="I204">
        <v>98</v>
      </c>
      <c r="J204">
        <v>40</v>
      </c>
      <c r="K204" s="17">
        <f t="shared" si="25"/>
        <v>130.66666666666666</v>
      </c>
      <c r="L204" t="str">
        <f t="shared" si="26"/>
        <v>Sufficuent Stock</v>
      </c>
      <c r="P204" s="19">
        <f t="shared" si="27"/>
        <v>0</v>
      </c>
      <c r="R204" s="19">
        <f t="shared" si="24"/>
        <v>0</v>
      </c>
      <c r="T204" s="19">
        <f t="shared" si="28"/>
        <v>7630.28</v>
      </c>
      <c r="U204" s="19">
        <f t="shared" si="29"/>
        <v>8210.44</v>
      </c>
      <c r="V204" s="21">
        <f t="shared" si="30"/>
        <v>580.16000000000076</v>
      </c>
      <c r="W204" s="18">
        <f t="shared" si="31"/>
        <v>7.6033907012586791E-2</v>
      </c>
    </row>
    <row r="205" spans="1:23" x14ac:dyDescent="0.3">
      <c r="A205" t="s">
        <v>432</v>
      </c>
      <c r="B205" t="s">
        <v>842</v>
      </c>
      <c r="C205" t="s">
        <v>23</v>
      </c>
      <c r="D205" t="s">
        <v>26</v>
      </c>
      <c r="E205">
        <v>306</v>
      </c>
      <c r="F205">
        <v>354.47</v>
      </c>
      <c r="G205">
        <v>297.58999999999997</v>
      </c>
      <c r="H205">
        <v>354.47</v>
      </c>
      <c r="I205">
        <v>754</v>
      </c>
      <c r="J205">
        <v>24</v>
      </c>
      <c r="K205" s="17">
        <f t="shared" si="25"/>
        <v>603.20000000000005</v>
      </c>
      <c r="L205" t="str">
        <f t="shared" si="26"/>
        <v>High Risk</v>
      </c>
      <c r="P205" s="19">
        <f t="shared" si="27"/>
        <v>298</v>
      </c>
      <c r="R205" s="19">
        <f t="shared" si="24"/>
        <v>105632.06000000001</v>
      </c>
      <c r="T205" s="19">
        <f t="shared" si="28"/>
        <v>224382.86</v>
      </c>
      <c r="U205" s="19">
        <f t="shared" si="29"/>
        <v>267270.38</v>
      </c>
      <c r="V205" s="21">
        <f t="shared" si="30"/>
        <v>42887.520000000019</v>
      </c>
      <c r="W205" s="18">
        <f t="shared" si="31"/>
        <v>0.19113545482039057</v>
      </c>
    </row>
    <row r="206" spans="1:23" x14ac:dyDescent="0.3">
      <c r="A206" t="s">
        <v>943</v>
      </c>
      <c r="B206" t="s">
        <v>944</v>
      </c>
      <c r="C206" t="s">
        <v>16</v>
      </c>
      <c r="D206" t="s">
        <v>69</v>
      </c>
      <c r="E206">
        <v>307</v>
      </c>
      <c r="F206">
        <v>436.59</v>
      </c>
      <c r="G206">
        <v>387.66</v>
      </c>
      <c r="H206">
        <v>436.59</v>
      </c>
      <c r="I206">
        <v>3954</v>
      </c>
      <c r="J206">
        <v>88</v>
      </c>
      <c r="K206" s="17">
        <f t="shared" si="25"/>
        <v>11598.400000000001</v>
      </c>
      <c r="L206" t="str">
        <f t="shared" si="26"/>
        <v>High Risk</v>
      </c>
      <c r="P206" s="19">
        <f t="shared" si="27"/>
        <v>11292</v>
      </c>
      <c r="R206" s="19">
        <f t="shared" si="24"/>
        <v>4929974.2799999993</v>
      </c>
      <c r="T206" s="19">
        <f t="shared" si="28"/>
        <v>1532807.6400000001</v>
      </c>
      <c r="U206" s="19">
        <f t="shared" si="29"/>
        <v>1726276.8599999999</v>
      </c>
      <c r="V206" s="21">
        <f t="shared" si="30"/>
        <v>193469.21999999974</v>
      </c>
      <c r="W206" s="18">
        <f t="shared" si="31"/>
        <v>0.12621885157096407</v>
      </c>
    </row>
    <row r="207" spans="1:23" x14ac:dyDescent="0.3">
      <c r="A207" t="s">
        <v>434</v>
      </c>
      <c r="B207" t="s">
        <v>2292</v>
      </c>
      <c r="C207" t="s">
        <v>12</v>
      </c>
      <c r="D207" t="s">
        <v>17</v>
      </c>
      <c r="E207">
        <v>314</v>
      </c>
      <c r="F207">
        <v>62.9</v>
      </c>
      <c r="G207">
        <v>61.32</v>
      </c>
      <c r="H207">
        <v>62.9</v>
      </c>
      <c r="I207">
        <v>1847</v>
      </c>
      <c r="J207">
        <v>57</v>
      </c>
      <c r="K207" s="17">
        <f t="shared" si="25"/>
        <v>3509.3</v>
      </c>
      <c r="L207" t="str">
        <f t="shared" si="26"/>
        <v>High Risk</v>
      </c>
      <c r="P207" s="19">
        <f t="shared" si="27"/>
        <v>3196</v>
      </c>
      <c r="R207" s="19">
        <f t="shared" si="24"/>
        <v>201028.4</v>
      </c>
      <c r="T207" s="19">
        <f t="shared" si="28"/>
        <v>113258.04</v>
      </c>
      <c r="U207" s="19">
        <f t="shared" si="29"/>
        <v>116176.3</v>
      </c>
      <c r="V207" s="21">
        <f t="shared" si="30"/>
        <v>2918.2600000000093</v>
      </c>
      <c r="W207" s="18">
        <f t="shared" si="31"/>
        <v>2.5766470971950509E-2</v>
      </c>
    </row>
    <row r="208" spans="1:23" x14ac:dyDescent="0.3">
      <c r="A208" t="s">
        <v>626</v>
      </c>
      <c r="B208" t="s">
        <v>711</v>
      </c>
      <c r="C208" t="s">
        <v>12</v>
      </c>
      <c r="D208" t="s">
        <v>20</v>
      </c>
      <c r="E208">
        <v>314</v>
      </c>
      <c r="F208">
        <v>67.3</v>
      </c>
      <c r="G208">
        <v>69.84</v>
      </c>
      <c r="H208">
        <v>67.3</v>
      </c>
      <c r="I208">
        <v>3893</v>
      </c>
      <c r="J208">
        <v>8</v>
      </c>
      <c r="K208" s="17">
        <f t="shared" si="25"/>
        <v>1038.1333333333334</v>
      </c>
      <c r="L208" t="str">
        <f t="shared" si="26"/>
        <v>High Risk</v>
      </c>
      <c r="P208" s="19">
        <f t="shared" si="27"/>
        <v>725</v>
      </c>
      <c r="R208" s="19">
        <f t="shared" si="24"/>
        <v>48792.5</v>
      </c>
      <c r="T208" s="19">
        <f t="shared" si="28"/>
        <v>271887.12</v>
      </c>
      <c r="U208" s="19">
        <f t="shared" si="29"/>
        <v>261998.9</v>
      </c>
      <c r="V208" s="21">
        <f t="shared" si="30"/>
        <v>-9888.2200000000012</v>
      </c>
      <c r="W208" s="18">
        <f t="shared" si="31"/>
        <v>-3.6368843069874E-2</v>
      </c>
    </row>
    <row r="209" spans="1:23" x14ac:dyDescent="0.3">
      <c r="A209" t="s">
        <v>867</v>
      </c>
      <c r="B209" t="s">
        <v>1294</v>
      </c>
      <c r="C209" t="s">
        <v>12</v>
      </c>
      <c r="D209" t="s">
        <v>13</v>
      </c>
      <c r="E209">
        <v>315</v>
      </c>
      <c r="F209">
        <v>214.3</v>
      </c>
      <c r="G209">
        <v>193.3</v>
      </c>
      <c r="H209">
        <v>214.3</v>
      </c>
      <c r="I209">
        <v>591</v>
      </c>
      <c r="J209">
        <v>84</v>
      </c>
      <c r="K209" s="17">
        <f t="shared" si="25"/>
        <v>1654.8</v>
      </c>
      <c r="L209" t="str">
        <f t="shared" si="26"/>
        <v>High Risk</v>
      </c>
      <c r="P209" s="19">
        <f t="shared" si="27"/>
        <v>1340</v>
      </c>
      <c r="R209" s="19">
        <f t="shared" si="24"/>
        <v>287162</v>
      </c>
      <c r="T209" s="19">
        <f t="shared" si="28"/>
        <v>114240.3</v>
      </c>
      <c r="U209" s="19">
        <f t="shared" si="29"/>
        <v>126651.3</v>
      </c>
      <c r="V209" s="21">
        <f t="shared" si="30"/>
        <v>12411</v>
      </c>
      <c r="W209" s="18">
        <f t="shared" si="31"/>
        <v>0.10863942058975685</v>
      </c>
    </row>
    <row r="210" spans="1:23" x14ac:dyDescent="0.3">
      <c r="A210" t="s">
        <v>293</v>
      </c>
      <c r="B210" t="s">
        <v>3165</v>
      </c>
      <c r="C210" t="s">
        <v>50</v>
      </c>
      <c r="D210" t="s">
        <v>69</v>
      </c>
      <c r="E210">
        <v>316</v>
      </c>
      <c r="F210">
        <v>492.43</v>
      </c>
      <c r="G210">
        <v>438.4</v>
      </c>
      <c r="H210">
        <v>492.43</v>
      </c>
      <c r="I210">
        <v>2716</v>
      </c>
      <c r="J210">
        <v>15</v>
      </c>
      <c r="K210" s="17">
        <f t="shared" si="25"/>
        <v>1358</v>
      </c>
      <c r="L210" t="str">
        <f t="shared" si="26"/>
        <v>High Risk</v>
      </c>
      <c r="P210" s="19">
        <f t="shared" si="27"/>
        <v>1042</v>
      </c>
      <c r="R210" s="19">
        <f t="shared" si="24"/>
        <v>513112.06</v>
      </c>
      <c r="T210" s="19">
        <f t="shared" si="28"/>
        <v>1190694.3999999999</v>
      </c>
      <c r="U210" s="19">
        <f t="shared" si="29"/>
        <v>1337439.8800000001</v>
      </c>
      <c r="V210" s="21">
        <f t="shared" si="30"/>
        <v>146745.48000000021</v>
      </c>
      <c r="W210" s="18">
        <f t="shared" si="31"/>
        <v>0.12324361313868631</v>
      </c>
    </row>
    <row r="211" spans="1:23" x14ac:dyDescent="0.3">
      <c r="A211" t="s">
        <v>995</v>
      </c>
      <c r="B211" t="s">
        <v>2933</v>
      </c>
      <c r="C211" t="s">
        <v>12</v>
      </c>
      <c r="D211" t="s">
        <v>20</v>
      </c>
      <c r="E211">
        <v>318</v>
      </c>
      <c r="F211">
        <v>17.850000000000001</v>
      </c>
      <c r="G211">
        <v>16.02</v>
      </c>
      <c r="H211">
        <v>17.850000000000001</v>
      </c>
      <c r="I211">
        <v>1864</v>
      </c>
      <c r="J211">
        <v>49</v>
      </c>
      <c r="K211" s="17">
        <f t="shared" si="25"/>
        <v>3044.5333333333333</v>
      </c>
      <c r="L211" t="str">
        <f t="shared" si="26"/>
        <v>High Risk</v>
      </c>
      <c r="P211" s="19">
        <f t="shared" si="27"/>
        <v>2727</v>
      </c>
      <c r="R211" s="19">
        <f t="shared" si="24"/>
        <v>48676.950000000004</v>
      </c>
      <c r="T211" s="19">
        <f t="shared" si="28"/>
        <v>29861.279999999999</v>
      </c>
      <c r="U211" s="19">
        <f t="shared" si="29"/>
        <v>33272.400000000001</v>
      </c>
      <c r="V211" s="21">
        <f t="shared" si="30"/>
        <v>3411.1200000000026</v>
      </c>
      <c r="W211" s="18">
        <f t="shared" si="31"/>
        <v>0.11423220973782781</v>
      </c>
    </row>
    <row r="212" spans="1:23" x14ac:dyDescent="0.3">
      <c r="A212" t="s">
        <v>1281</v>
      </c>
      <c r="B212" t="s">
        <v>3141</v>
      </c>
      <c r="C212" t="s">
        <v>23</v>
      </c>
      <c r="D212" t="s">
        <v>13</v>
      </c>
      <c r="E212">
        <v>319</v>
      </c>
      <c r="F212">
        <v>492.53</v>
      </c>
      <c r="G212">
        <v>412.05</v>
      </c>
      <c r="H212">
        <v>492.53</v>
      </c>
      <c r="I212">
        <v>3747</v>
      </c>
      <c r="J212">
        <v>55</v>
      </c>
      <c r="K212" s="17">
        <f t="shared" si="25"/>
        <v>6869.5</v>
      </c>
      <c r="L212" t="str">
        <f t="shared" si="26"/>
        <v>High Risk</v>
      </c>
      <c r="P212" s="19">
        <f t="shared" si="27"/>
        <v>6551</v>
      </c>
      <c r="R212" s="19">
        <f t="shared" si="24"/>
        <v>3226564.03</v>
      </c>
      <c r="T212" s="19">
        <f t="shared" si="28"/>
        <v>1543951.35</v>
      </c>
      <c r="U212" s="19">
        <f t="shared" si="29"/>
        <v>1845509.91</v>
      </c>
      <c r="V212" s="21">
        <f t="shared" si="30"/>
        <v>301558.55999999982</v>
      </c>
      <c r="W212" s="18">
        <f t="shared" si="31"/>
        <v>0.19531610241475536</v>
      </c>
    </row>
    <row r="213" spans="1:23" x14ac:dyDescent="0.3">
      <c r="A213" t="s">
        <v>256</v>
      </c>
      <c r="B213" t="s">
        <v>2416</v>
      </c>
      <c r="C213" t="s">
        <v>23</v>
      </c>
      <c r="D213" t="s">
        <v>17</v>
      </c>
      <c r="E213">
        <v>320</v>
      </c>
      <c r="F213">
        <v>242.88</v>
      </c>
      <c r="G213">
        <v>248.91</v>
      </c>
      <c r="H213">
        <v>242.88</v>
      </c>
      <c r="I213">
        <v>798</v>
      </c>
      <c r="J213">
        <v>43</v>
      </c>
      <c r="K213" s="17">
        <f t="shared" si="25"/>
        <v>1143.8</v>
      </c>
      <c r="L213" t="str">
        <f t="shared" si="26"/>
        <v>High Risk</v>
      </c>
      <c r="P213" s="19">
        <f t="shared" si="27"/>
        <v>824</v>
      </c>
      <c r="R213" s="19">
        <f t="shared" si="24"/>
        <v>200133.12</v>
      </c>
      <c r="T213" s="19">
        <f t="shared" si="28"/>
        <v>198630.18</v>
      </c>
      <c r="U213" s="19">
        <f t="shared" si="29"/>
        <v>193818.23999999999</v>
      </c>
      <c r="V213" s="21">
        <f t="shared" si="30"/>
        <v>-4811.9400000000023</v>
      </c>
      <c r="W213" s="18">
        <f t="shared" si="31"/>
        <v>-2.422562371941667E-2</v>
      </c>
    </row>
    <row r="214" spans="1:23" x14ac:dyDescent="0.3">
      <c r="A214" t="s">
        <v>487</v>
      </c>
      <c r="B214" t="s">
        <v>2818</v>
      </c>
      <c r="C214" t="s">
        <v>50</v>
      </c>
      <c r="D214" t="s">
        <v>26</v>
      </c>
      <c r="E214">
        <v>321</v>
      </c>
      <c r="F214">
        <v>470.15</v>
      </c>
      <c r="G214">
        <v>431.94</v>
      </c>
      <c r="H214">
        <v>470.15</v>
      </c>
      <c r="I214">
        <v>1089</v>
      </c>
      <c r="J214">
        <v>51</v>
      </c>
      <c r="K214" s="17">
        <f t="shared" si="25"/>
        <v>1851.3</v>
      </c>
      <c r="L214" t="str">
        <f t="shared" si="26"/>
        <v>High Risk</v>
      </c>
      <c r="P214" s="19">
        <f t="shared" si="27"/>
        <v>1531</v>
      </c>
      <c r="R214" s="19">
        <f t="shared" si="24"/>
        <v>719799.65</v>
      </c>
      <c r="T214" s="19">
        <f t="shared" si="28"/>
        <v>470382.66</v>
      </c>
      <c r="U214" s="19">
        <f t="shared" si="29"/>
        <v>511993.35</v>
      </c>
      <c r="V214" s="21">
        <f t="shared" si="30"/>
        <v>41610.69</v>
      </c>
      <c r="W214" s="18">
        <f t="shared" si="31"/>
        <v>8.8461360374126052E-2</v>
      </c>
    </row>
    <row r="215" spans="1:23" x14ac:dyDescent="0.3">
      <c r="A215" t="s">
        <v>751</v>
      </c>
      <c r="B215" t="s">
        <v>1442</v>
      </c>
      <c r="C215" t="s">
        <v>12</v>
      </c>
      <c r="D215" t="s">
        <v>20</v>
      </c>
      <c r="E215">
        <v>323</v>
      </c>
      <c r="F215">
        <v>105.03</v>
      </c>
      <c r="G215">
        <v>111.99</v>
      </c>
      <c r="H215">
        <v>105.03</v>
      </c>
      <c r="I215">
        <v>3253</v>
      </c>
      <c r="J215">
        <v>83</v>
      </c>
      <c r="K215" s="17">
        <f t="shared" si="25"/>
        <v>8999.9666666666672</v>
      </c>
      <c r="L215" t="str">
        <f t="shared" si="26"/>
        <v>High Risk</v>
      </c>
      <c r="P215" s="19">
        <f t="shared" si="27"/>
        <v>8677</v>
      </c>
      <c r="R215" s="19">
        <f t="shared" si="24"/>
        <v>911345.31</v>
      </c>
      <c r="T215" s="19">
        <f t="shared" si="28"/>
        <v>364303.47</v>
      </c>
      <c r="U215" s="19">
        <f t="shared" si="29"/>
        <v>341662.59</v>
      </c>
      <c r="V215" s="21">
        <f t="shared" si="30"/>
        <v>-22640.879999999946</v>
      </c>
      <c r="W215" s="18">
        <f t="shared" si="31"/>
        <v>-6.2148406107688042E-2</v>
      </c>
    </row>
    <row r="216" spans="1:23" x14ac:dyDescent="0.3">
      <c r="A216" t="s">
        <v>668</v>
      </c>
      <c r="B216" t="s">
        <v>1953</v>
      </c>
      <c r="C216" t="s">
        <v>37</v>
      </c>
      <c r="D216" t="s">
        <v>26</v>
      </c>
      <c r="E216">
        <v>323</v>
      </c>
      <c r="F216">
        <v>88.98</v>
      </c>
      <c r="G216">
        <v>81.23</v>
      </c>
      <c r="H216">
        <v>88.98</v>
      </c>
      <c r="I216">
        <v>1982</v>
      </c>
      <c r="J216">
        <v>17</v>
      </c>
      <c r="K216" s="17">
        <f t="shared" si="25"/>
        <v>1123.1333333333332</v>
      </c>
      <c r="L216" t="str">
        <f t="shared" si="26"/>
        <v>High Risk</v>
      </c>
      <c r="P216" s="19">
        <f t="shared" si="27"/>
        <v>801</v>
      </c>
      <c r="R216" s="19">
        <f t="shared" si="24"/>
        <v>71272.98</v>
      </c>
      <c r="T216" s="19">
        <f t="shared" si="28"/>
        <v>160997.86000000002</v>
      </c>
      <c r="U216" s="19">
        <f t="shared" si="29"/>
        <v>176358.36000000002</v>
      </c>
      <c r="V216" s="21">
        <f t="shared" si="30"/>
        <v>15360.5</v>
      </c>
      <c r="W216" s="18">
        <f t="shared" si="31"/>
        <v>9.5408100455496733E-2</v>
      </c>
    </row>
    <row r="217" spans="1:23" x14ac:dyDescent="0.3">
      <c r="A217" t="s">
        <v>40</v>
      </c>
      <c r="B217" t="s">
        <v>1062</v>
      </c>
      <c r="C217" t="s">
        <v>12</v>
      </c>
      <c r="D217" t="s">
        <v>69</v>
      </c>
      <c r="E217">
        <v>324</v>
      </c>
      <c r="F217">
        <v>119.19</v>
      </c>
      <c r="G217">
        <v>108.64</v>
      </c>
      <c r="H217">
        <v>119.19</v>
      </c>
      <c r="I217">
        <v>3314</v>
      </c>
      <c r="J217">
        <v>12</v>
      </c>
      <c r="K217" s="17">
        <f t="shared" si="25"/>
        <v>1325.6</v>
      </c>
      <c r="L217" t="str">
        <f t="shared" si="26"/>
        <v>High Risk</v>
      </c>
      <c r="P217" s="19">
        <f t="shared" si="27"/>
        <v>1002</v>
      </c>
      <c r="R217" s="19">
        <f t="shared" si="24"/>
        <v>119428.38</v>
      </c>
      <c r="T217" s="19">
        <f t="shared" si="28"/>
        <v>360032.96</v>
      </c>
      <c r="U217" s="19">
        <f t="shared" si="29"/>
        <v>394995.66</v>
      </c>
      <c r="V217" s="21">
        <f t="shared" si="30"/>
        <v>34962.699999999953</v>
      </c>
      <c r="W217" s="18">
        <f t="shared" si="31"/>
        <v>9.7109720176730349E-2</v>
      </c>
    </row>
    <row r="218" spans="1:23" x14ac:dyDescent="0.3">
      <c r="A218" t="s">
        <v>211</v>
      </c>
      <c r="B218" t="s">
        <v>2068</v>
      </c>
      <c r="C218" t="s">
        <v>12</v>
      </c>
      <c r="D218" t="s">
        <v>69</v>
      </c>
      <c r="E218">
        <v>325</v>
      </c>
      <c r="F218">
        <v>219.66</v>
      </c>
      <c r="G218">
        <v>235.94</v>
      </c>
      <c r="H218">
        <v>219.66</v>
      </c>
      <c r="I218">
        <v>2857</v>
      </c>
      <c r="J218">
        <v>84</v>
      </c>
      <c r="K218" s="17">
        <f t="shared" si="25"/>
        <v>7999.6</v>
      </c>
      <c r="L218" t="str">
        <f t="shared" si="26"/>
        <v>High Risk</v>
      </c>
      <c r="P218" s="19">
        <f t="shared" si="27"/>
        <v>7675</v>
      </c>
      <c r="R218" s="19">
        <f t="shared" si="24"/>
        <v>1685890.5</v>
      </c>
      <c r="T218" s="19">
        <f t="shared" si="28"/>
        <v>674080.58</v>
      </c>
      <c r="U218" s="19">
        <f t="shared" si="29"/>
        <v>627568.62</v>
      </c>
      <c r="V218" s="21">
        <f t="shared" si="30"/>
        <v>-46511.959999999963</v>
      </c>
      <c r="W218" s="18">
        <f t="shared" si="31"/>
        <v>-6.9000593371196017E-2</v>
      </c>
    </row>
    <row r="219" spans="1:23" x14ac:dyDescent="0.3">
      <c r="A219" t="s">
        <v>134</v>
      </c>
      <c r="B219" t="s">
        <v>1583</v>
      </c>
      <c r="C219" t="s">
        <v>50</v>
      </c>
      <c r="D219" t="s">
        <v>13</v>
      </c>
      <c r="E219">
        <v>328</v>
      </c>
      <c r="F219">
        <v>357.28</v>
      </c>
      <c r="G219">
        <v>312.43</v>
      </c>
      <c r="H219">
        <v>357.28</v>
      </c>
      <c r="I219">
        <v>3486</v>
      </c>
      <c r="J219">
        <v>35</v>
      </c>
      <c r="K219" s="17">
        <f t="shared" si="25"/>
        <v>4067</v>
      </c>
      <c r="L219" t="str">
        <f t="shared" si="26"/>
        <v>High Risk</v>
      </c>
      <c r="P219" s="19">
        <f t="shared" si="27"/>
        <v>3739</v>
      </c>
      <c r="R219" s="19">
        <f t="shared" si="24"/>
        <v>1335869.92</v>
      </c>
      <c r="T219" s="19">
        <f t="shared" si="28"/>
        <v>1089130.98</v>
      </c>
      <c r="U219" s="19">
        <f t="shared" si="29"/>
        <v>1245478.0799999998</v>
      </c>
      <c r="V219" s="21">
        <f t="shared" si="30"/>
        <v>156347.09999999986</v>
      </c>
      <c r="W219" s="18">
        <f t="shared" si="31"/>
        <v>0.14355215568287283</v>
      </c>
    </row>
    <row r="220" spans="1:23" x14ac:dyDescent="0.3">
      <c r="A220" t="s">
        <v>253</v>
      </c>
      <c r="B220" t="s">
        <v>2280</v>
      </c>
      <c r="C220" t="s">
        <v>50</v>
      </c>
      <c r="D220" t="s">
        <v>26</v>
      </c>
      <c r="E220">
        <v>328</v>
      </c>
      <c r="F220">
        <v>198.65</v>
      </c>
      <c r="G220">
        <v>169.99</v>
      </c>
      <c r="H220">
        <v>198.65</v>
      </c>
      <c r="I220">
        <v>1680</v>
      </c>
      <c r="J220">
        <v>77</v>
      </c>
      <c r="K220" s="17">
        <f t="shared" si="25"/>
        <v>4312</v>
      </c>
      <c r="L220" t="str">
        <f t="shared" si="26"/>
        <v>High Risk</v>
      </c>
      <c r="P220" s="19">
        <f t="shared" si="27"/>
        <v>3984</v>
      </c>
      <c r="R220" s="19">
        <f t="shared" si="24"/>
        <v>791421.6</v>
      </c>
      <c r="T220" s="19">
        <f t="shared" si="28"/>
        <v>285583.2</v>
      </c>
      <c r="U220" s="19">
        <f t="shared" si="29"/>
        <v>333732</v>
      </c>
      <c r="V220" s="21">
        <f t="shared" si="30"/>
        <v>48148.799999999988</v>
      </c>
      <c r="W220" s="18">
        <f t="shared" si="31"/>
        <v>0.1685981528325195</v>
      </c>
    </row>
    <row r="221" spans="1:23" x14ac:dyDescent="0.3">
      <c r="A221" t="s">
        <v>231</v>
      </c>
      <c r="B221" t="s">
        <v>2114</v>
      </c>
      <c r="C221" t="s">
        <v>23</v>
      </c>
      <c r="D221" t="s">
        <v>17</v>
      </c>
      <c r="E221">
        <v>331</v>
      </c>
      <c r="F221">
        <v>266.81</v>
      </c>
      <c r="G221">
        <v>243.58</v>
      </c>
      <c r="H221">
        <v>266.81</v>
      </c>
      <c r="I221">
        <v>767</v>
      </c>
      <c r="J221">
        <v>59</v>
      </c>
      <c r="K221" s="17">
        <f t="shared" si="25"/>
        <v>1508.4333333333334</v>
      </c>
      <c r="L221" t="str">
        <f t="shared" si="26"/>
        <v>High Risk</v>
      </c>
      <c r="P221" s="19">
        <f t="shared" si="27"/>
        <v>1178</v>
      </c>
      <c r="R221" s="19">
        <f t="shared" si="24"/>
        <v>314302.18</v>
      </c>
      <c r="T221" s="19">
        <f t="shared" si="28"/>
        <v>186825.86000000002</v>
      </c>
      <c r="U221" s="19">
        <f t="shared" si="29"/>
        <v>204643.27</v>
      </c>
      <c r="V221" s="21">
        <f t="shared" si="30"/>
        <v>17817.409999999974</v>
      </c>
      <c r="W221" s="18">
        <f t="shared" si="31"/>
        <v>9.536907792101143E-2</v>
      </c>
    </row>
    <row r="222" spans="1:23" x14ac:dyDescent="0.3">
      <c r="A222" t="s">
        <v>262</v>
      </c>
      <c r="B222" t="s">
        <v>263</v>
      </c>
      <c r="C222" t="s">
        <v>16</v>
      </c>
      <c r="D222" t="s">
        <v>17</v>
      </c>
      <c r="E222">
        <v>332</v>
      </c>
      <c r="F222">
        <v>119.19</v>
      </c>
      <c r="G222">
        <v>125.53</v>
      </c>
      <c r="H222">
        <v>119.19</v>
      </c>
      <c r="I222">
        <v>2525</v>
      </c>
      <c r="J222">
        <v>25</v>
      </c>
      <c r="K222" s="17">
        <f t="shared" si="25"/>
        <v>2104.166666666667</v>
      </c>
      <c r="L222" t="str">
        <f t="shared" si="26"/>
        <v>High Risk</v>
      </c>
      <c r="P222" s="19">
        <f t="shared" si="27"/>
        <v>1773</v>
      </c>
      <c r="R222" s="19">
        <f t="shared" si="24"/>
        <v>211323.87</v>
      </c>
      <c r="T222" s="19">
        <f t="shared" si="28"/>
        <v>316963.25</v>
      </c>
      <c r="U222" s="19">
        <f t="shared" si="29"/>
        <v>300954.75</v>
      </c>
      <c r="V222" s="21">
        <f t="shared" si="30"/>
        <v>-16008.5</v>
      </c>
      <c r="W222" s="18">
        <f t="shared" si="31"/>
        <v>-5.0505855174061975E-2</v>
      </c>
    </row>
    <row r="223" spans="1:23" x14ac:dyDescent="0.3">
      <c r="A223" t="s">
        <v>831</v>
      </c>
      <c r="B223" t="s">
        <v>1988</v>
      </c>
      <c r="C223" t="s">
        <v>12</v>
      </c>
      <c r="D223" t="s">
        <v>17</v>
      </c>
      <c r="E223">
        <v>333</v>
      </c>
      <c r="F223">
        <v>44.58</v>
      </c>
      <c r="G223">
        <v>47.61</v>
      </c>
      <c r="H223">
        <v>44.58</v>
      </c>
      <c r="I223">
        <v>1150</v>
      </c>
      <c r="J223">
        <v>12</v>
      </c>
      <c r="K223" s="17">
        <f t="shared" si="25"/>
        <v>460</v>
      </c>
      <c r="L223" t="str">
        <f t="shared" si="26"/>
        <v>High Risk</v>
      </c>
      <c r="P223" s="19">
        <f t="shared" si="27"/>
        <v>127</v>
      </c>
      <c r="R223" s="19">
        <f t="shared" si="24"/>
        <v>5661.66</v>
      </c>
      <c r="T223" s="19">
        <f t="shared" si="28"/>
        <v>54751.5</v>
      </c>
      <c r="U223" s="19">
        <f t="shared" si="29"/>
        <v>51267</v>
      </c>
      <c r="V223" s="21">
        <f t="shared" si="30"/>
        <v>-3484.5</v>
      </c>
      <c r="W223" s="18">
        <f t="shared" si="31"/>
        <v>-6.3642091997479527E-2</v>
      </c>
    </row>
    <row r="224" spans="1:23" x14ac:dyDescent="0.3">
      <c r="A224" t="s">
        <v>688</v>
      </c>
      <c r="B224" t="s">
        <v>2282</v>
      </c>
      <c r="C224" t="s">
        <v>16</v>
      </c>
      <c r="D224" t="s">
        <v>13</v>
      </c>
      <c r="E224">
        <v>334</v>
      </c>
      <c r="F224">
        <v>152.91999999999999</v>
      </c>
      <c r="G224">
        <v>140.41</v>
      </c>
      <c r="H224">
        <v>152.91999999999999</v>
      </c>
      <c r="I224">
        <v>3855</v>
      </c>
      <c r="J224">
        <v>35</v>
      </c>
      <c r="K224" s="17">
        <f t="shared" si="25"/>
        <v>4497.5</v>
      </c>
      <c r="L224" t="str">
        <f t="shared" si="26"/>
        <v>High Risk</v>
      </c>
      <c r="P224" s="19">
        <f t="shared" si="27"/>
        <v>4164</v>
      </c>
      <c r="R224" s="19">
        <f t="shared" si="24"/>
        <v>636758.88</v>
      </c>
      <c r="T224" s="19">
        <f t="shared" si="28"/>
        <v>541280.54999999993</v>
      </c>
      <c r="U224" s="19">
        <f t="shared" si="29"/>
        <v>589506.6</v>
      </c>
      <c r="V224" s="21">
        <f t="shared" si="30"/>
        <v>48226.050000000047</v>
      </c>
      <c r="W224" s="18">
        <f t="shared" si="31"/>
        <v>8.9096218218075729E-2</v>
      </c>
    </row>
    <row r="225" spans="1:23" x14ac:dyDescent="0.3">
      <c r="A225" t="s">
        <v>960</v>
      </c>
      <c r="B225" t="s">
        <v>3164</v>
      </c>
      <c r="C225" t="s">
        <v>50</v>
      </c>
      <c r="D225" t="s">
        <v>13</v>
      </c>
      <c r="E225">
        <v>336</v>
      </c>
      <c r="F225">
        <v>298.27</v>
      </c>
      <c r="G225">
        <v>257.04000000000002</v>
      </c>
      <c r="H225">
        <v>298.27</v>
      </c>
      <c r="I225">
        <v>1891</v>
      </c>
      <c r="J225">
        <v>49</v>
      </c>
      <c r="K225" s="17">
        <f t="shared" si="25"/>
        <v>3088.6333333333332</v>
      </c>
      <c r="L225" t="str">
        <f t="shared" si="26"/>
        <v>High Risk</v>
      </c>
      <c r="P225" s="19">
        <f t="shared" si="27"/>
        <v>2753</v>
      </c>
      <c r="R225" s="19">
        <f t="shared" si="24"/>
        <v>821137.30999999994</v>
      </c>
      <c r="T225" s="19">
        <f t="shared" si="28"/>
        <v>486062.64</v>
      </c>
      <c r="U225" s="19">
        <f t="shared" si="29"/>
        <v>564028.56999999995</v>
      </c>
      <c r="V225" s="21">
        <f t="shared" si="30"/>
        <v>77965.929999999935</v>
      </c>
      <c r="W225" s="18">
        <f t="shared" si="31"/>
        <v>0.16040305010893233</v>
      </c>
    </row>
    <row r="226" spans="1:23" x14ac:dyDescent="0.3">
      <c r="A226" t="s">
        <v>165</v>
      </c>
      <c r="B226" t="s">
        <v>1618</v>
      </c>
      <c r="C226" t="s">
        <v>23</v>
      </c>
      <c r="D226" t="s">
        <v>13</v>
      </c>
      <c r="E226">
        <v>337</v>
      </c>
      <c r="F226">
        <v>236.79</v>
      </c>
      <c r="G226">
        <v>228.93</v>
      </c>
      <c r="H226">
        <v>236.79</v>
      </c>
      <c r="I226">
        <v>2506</v>
      </c>
      <c r="J226">
        <v>52</v>
      </c>
      <c r="K226" s="17">
        <f t="shared" si="25"/>
        <v>4343.7333333333336</v>
      </c>
      <c r="L226" t="str">
        <f t="shared" si="26"/>
        <v>High Risk</v>
      </c>
      <c r="P226" s="19">
        <f t="shared" si="27"/>
        <v>4007</v>
      </c>
      <c r="R226" s="19">
        <f t="shared" si="24"/>
        <v>948817.52999999991</v>
      </c>
      <c r="T226" s="19">
        <f t="shared" si="28"/>
        <v>573698.58000000007</v>
      </c>
      <c r="U226" s="19">
        <f t="shared" si="29"/>
        <v>593395.74</v>
      </c>
      <c r="V226" s="21">
        <f t="shared" si="30"/>
        <v>19697.159999999916</v>
      </c>
      <c r="W226" s="18">
        <f t="shared" si="31"/>
        <v>3.4333639103655986E-2</v>
      </c>
    </row>
    <row r="227" spans="1:23" x14ac:dyDescent="0.3">
      <c r="A227" t="s">
        <v>418</v>
      </c>
      <c r="B227" t="s">
        <v>3265</v>
      </c>
      <c r="C227" t="s">
        <v>23</v>
      </c>
      <c r="D227" t="s">
        <v>20</v>
      </c>
      <c r="E227">
        <v>341</v>
      </c>
      <c r="F227">
        <v>246.64</v>
      </c>
      <c r="G227">
        <v>264.98</v>
      </c>
      <c r="H227">
        <v>246.64</v>
      </c>
      <c r="I227">
        <v>503</v>
      </c>
      <c r="J227">
        <v>49</v>
      </c>
      <c r="K227" s="17">
        <f t="shared" si="25"/>
        <v>821.56666666666661</v>
      </c>
      <c r="L227" t="str">
        <f t="shared" si="26"/>
        <v>High Risk</v>
      </c>
      <c r="P227" s="19">
        <f t="shared" si="27"/>
        <v>481</v>
      </c>
      <c r="R227" s="19">
        <f t="shared" si="24"/>
        <v>118633.84</v>
      </c>
      <c r="T227" s="19">
        <f t="shared" si="28"/>
        <v>133284.94</v>
      </c>
      <c r="U227" s="19">
        <f t="shared" si="29"/>
        <v>124059.92</v>
      </c>
      <c r="V227" s="21">
        <f t="shared" si="30"/>
        <v>-9225.0200000000041</v>
      </c>
      <c r="W227" s="18">
        <f t="shared" si="31"/>
        <v>-6.9212770775152865E-2</v>
      </c>
    </row>
    <row r="228" spans="1:23" x14ac:dyDescent="0.3">
      <c r="A228" t="s">
        <v>850</v>
      </c>
      <c r="B228" t="s">
        <v>2650</v>
      </c>
      <c r="C228" t="s">
        <v>50</v>
      </c>
      <c r="D228" t="s">
        <v>17</v>
      </c>
      <c r="E228">
        <v>344</v>
      </c>
      <c r="F228">
        <v>239.04</v>
      </c>
      <c r="G228">
        <v>254.44</v>
      </c>
      <c r="H228">
        <v>239.04</v>
      </c>
      <c r="I228">
        <v>2382</v>
      </c>
      <c r="J228">
        <v>34</v>
      </c>
      <c r="K228" s="17">
        <f t="shared" si="25"/>
        <v>2699.6000000000004</v>
      </c>
      <c r="L228" t="str">
        <f t="shared" si="26"/>
        <v>High Risk</v>
      </c>
      <c r="P228" s="19">
        <f t="shared" si="27"/>
        <v>2356</v>
      </c>
      <c r="R228" s="19">
        <f t="shared" si="24"/>
        <v>563178.23999999999</v>
      </c>
      <c r="T228" s="19">
        <f t="shared" si="28"/>
        <v>606076.07999999996</v>
      </c>
      <c r="U228" s="19">
        <f t="shared" si="29"/>
        <v>569393.28</v>
      </c>
      <c r="V228" s="21">
        <f t="shared" si="30"/>
        <v>-36682.79999999993</v>
      </c>
      <c r="W228" s="18">
        <f t="shared" si="31"/>
        <v>-6.0525074673793318E-2</v>
      </c>
    </row>
    <row r="229" spans="1:23" x14ac:dyDescent="0.3">
      <c r="A229" t="s">
        <v>111</v>
      </c>
      <c r="B229" t="s">
        <v>1413</v>
      </c>
      <c r="C229" t="s">
        <v>12</v>
      </c>
      <c r="D229" t="s">
        <v>69</v>
      </c>
      <c r="E229">
        <v>347</v>
      </c>
      <c r="F229">
        <v>509.12</v>
      </c>
      <c r="G229">
        <v>476.56</v>
      </c>
      <c r="H229">
        <v>509.12</v>
      </c>
      <c r="I229">
        <v>1084</v>
      </c>
      <c r="J229">
        <v>35</v>
      </c>
      <c r="K229" s="17">
        <f t="shared" si="25"/>
        <v>1264.6666666666667</v>
      </c>
      <c r="L229" t="str">
        <f t="shared" si="26"/>
        <v>High Risk</v>
      </c>
      <c r="P229" s="19">
        <f t="shared" si="27"/>
        <v>918</v>
      </c>
      <c r="R229" s="19">
        <f t="shared" si="24"/>
        <v>467372.16000000003</v>
      </c>
      <c r="T229" s="19">
        <f t="shared" si="28"/>
        <v>516591.04</v>
      </c>
      <c r="U229" s="19">
        <f t="shared" si="29"/>
        <v>551886.07999999996</v>
      </c>
      <c r="V229" s="21">
        <f t="shared" si="30"/>
        <v>35295.039999999979</v>
      </c>
      <c r="W229" s="18">
        <f t="shared" si="31"/>
        <v>6.832298136645959E-2</v>
      </c>
    </row>
    <row r="230" spans="1:23" x14ac:dyDescent="0.3">
      <c r="A230" t="s">
        <v>1163</v>
      </c>
      <c r="B230" t="s">
        <v>2930</v>
      </c>
      <c r="C230" t="s">
        <v>16</v>
      </c>
      <c r="D230" t="s">
        <v>17</v>
      </c>
      <c r="E230">
        <v>348</v>
      </c>
      <c r="F230">
        <v>159.99</v>
      </c>
      <c r="G230">
        <v>177.4</v>
      </c>
      <c r="H230">
        <v>159.99</v>
      </c>
      <c r="I230">
        <v>3624</v>
      </c>
      <c r="J230">
        <v>53</v>
      </c>
      <c r="K230" s="17">
        <f t="shared" si="25"/>
        <v>6402.4</v>
      </c>
      <c r="L230" t="str">
        <f t="shared" si="26"/>
        <v>High Risk</v>
      </c>
      <c r="P230" s="19">
        <f t="shared" si="27"/>
        <v>6055</v>
      </c>
      <c r="R230" s="19">
        <f t="shared" si="24"/>
        <v>968739.45000000007</v>
      </c>
      <c r="T230" s="19">
        <f t="shared" si="28"/>
        <v>642897.6</v>
      </c>
      <c r="U230" s="19">
        <f t="shared" si="29"/>
        <v>579803.76</v>
      </c>
      <c r="V230" s="21">
        <f t="shared" si="30"/>
        <v>-63093.839999999967</v>
      </c>
      <c r="W230" s="18">
        <f t="shared" si="31"/>
        <v>-9.8139797068771087E-2</v>
      </c>
    </row>
    <row r="231" spans="1:23" x14ac:dyDescent="0.3">
      <c r="A231" t="s">
        <v>320</v>
      </c>
      <c r="B231" t="s">
        <v>1348</v>
      </c>
      <c r="C231" t="s">
        <v>37</v>
      </c>
      <c r="D231" t="s">
        <v>13</v>
      </c>
      <c r="E231">
        <v>349</v>
      </c>
      <c r="F231">
        <v>77.64</v>
      </c>
      <c r="G231">
        <v>64.760000000000005</v>
      </c>
      <c r="H231">
        <v>77.64</v>
      </c>
      <c r="I231">
        <v>815</v>
      </c>
      <c r="J231">
        <v>20</v>
      </c>
      <c r="K231" s="17">
        <f t="shared" si="25"/>
        <v>543.33333333333337</v>
      </c>
      <c r="L231" t="str">
        <f t="shared" si="26"/>
        <v>High Risk</v>
      </c>
      <c r="P231" s="19">
        <f t="shared" si="27"/>
        <v>195</v>
      </c>
      <c r="R231" s="19">
        <f t="shared" si="24"/>
        <v>15139.8</v>
      </c>
      <c r="T231" s="19">
        <f t="shared" si="28"/>
        <v>52779.4</v>
      </c>
      <c r="U231" s="19">
        <f t="shared" si="29"/>
        <v>63276.6</v>
      </c>
      <c r="V231" s="21">
        <f t="shared" si="30"/>
        <v>10497.199999999997</v>
      </c>
      <c r="W231" s="18">
        <f t="shared" si="31"/>
        <v>0.19888820259419387</v>
      </c>
    </row>
    <row r="232" spans="1:23" x14ac:dyDescent="0.3">
      <c r="A232" t="s">
        <v>430</v>
      </c>
      <c r="B232" t="s">
        <v>609</v>
      </c>
      <c r="C232" t="s">
        <v>16</v>
      </c>
      <c r="D232" t="s">
        <v>26</v>
      </c>
      <c r="E232">
        <v>350</v>
      </c>
      <c r="F232">
        <v>367.43</v>
      </c>
      <c r="G232">
        <v>393.7</v>
      </c>
      <c r="H232">
        <v>367.43</v>
      </c>
      <c r="I232">
        <v>3616</v>
      </c>
      <c r="J232">
        <v>60</v>
      </c>
      <c r="K232" s="17">
        <f t="shared" si="25"/>
        <v>7232</v>
      </c>
      <c r="L232" t="str">
        <f t="shared" si="26"/>
        <v>High Risk</v>
      </c>
      <c r="P232" s="19">
        <f t="shared" si="27"/>
        <v>6882</v>
      </c>
      <c r="R232" s="19">
        <f t="shared" si="24"/>
        <v>2528653.2600000002</v>
      </c>
      <c r="T232" s="19">
        <f t="shared" si="28"/>
        <v>1423619.2</v>
      </c>
      <c r="U232" s="19">
        <f t="shared" si="29"/>
        <v>1328626.8800000001</v>
      </c>
      <c r="V232" s="21">
        <f t="shared" si="30"/>
        <v>-94992.319999999832</v>
      </c>
      <c r="W232" s="18">
        <f t="shared" si="31"/>
        <v>-6.6725933451866781E-2</v>
      </c>
    </row>
    <row r="233" spans="1:23" x14ac:dyDescent="0.3">
      <c r="A233" t="s">
        <v>1002</v>
      </c>
      <c r="B233" t="s">
        <v>2482</v>
      </c>
      <c r="C233" t="s">
        <v>23</v>
      </c>
      <c r="D233" t="s">
        <v>17</v>
      </c>
      <c r="E233">
        <v>350</v>
      </c>
      <c r="F233">
        <v>65.83</v>
      </c>
      <c r="G233">
        <v>57.79</v>
      </c>
      <c r="H233">
        <v>65.83</v>
      </c>
      <c r="I233">
        <v>455</v>
      </c>
      <c r="J233">
        <v>50</v>
      </c>
      <c r="K233" s="17">
        <f t="shared" si="25"/>
        <v>758.33333333333326</v>
      </c>
      <c r="L233" t="str">
        <f t="shared" si="26"/>
        <v>High Risk</v>
      </c>
      <c r="P233" s="19">
        <f t="shared" si="27"/>
        <v>409</v>
      </c>
      <c r="R233" s="19">
        <f t="shared" si="24"/>
        <v>26924.469999999998</v>
      </c>
      <c r="T233" s="19">
        <f t="shared" si="28"/>
        <v>26294.45</v>
      </c>
      <c r="U233" s="19">
        <f t="shared" si="29"/>
        <v>29952.649999999998</v>
      </c>
      <c r="V233" s="21">
        <f t="shared" si="30"/>
        <v>3658.1999999999971</v>
      </c>
      <c r="W233" s="18">
        <f t="shared" si="31"/>
        <v>0.1391244159889253</v>
      </c>
    </row>
    <row r="234" spans="1:23" x14ac:dyDescent="0.3">
      <c r="A234" t="s">
        <v>400</v>
      </c>
      <c r="B234" t="s">
        <v>2344</v>
      </c>
      <c r="C234" t="s">
        <v>50</v>
      </c>
      <c r="D234" t="s">
        <v>13</v>
      </c>
      <c r="E234">
        <v>351</v>
      </c>
      <c r="F234">
        <v>38.65</v>
      </c>
      <c r="G234">
        <v>41.86</v>
      </c>
      <c r="H234">
        <v>38.65</v>
      </c>
      <c r="I234">
        <v>2066</v>
      </c>
      <c r="J234">
        <v>13</v>
      </c>
      <c r="K234" s="17">
        <f t="shared" si="25"/>
        <v>895.26666666666654</v>
      </c>
      <c r="L234" t="str">
        <f t="shared" si="26"/>
        <v>High Risk</v>
      </c>
      <c r="P234" s="19">
        <f t="shared" si="27"/>
        <v>545</v>
      </c>
      <c r="R234" s="19">
        <f t="shared" si="24"/>
        <v>21064.25</v>
      </c>
      <c r="T234" s="19">
        <f t="shared" si="28"/>
        <v>86482.76</v>
      </c>
      <c r="U234" s="19">
        <f t="shared" si="29"/>
        <v>79850.899999999994</v>
      </c>
      <c r="V234" s="21">
        <f t="shared" si="30"/>
        <v>-6631.8600000000006</v>
      </c>
      <c r="W234" s="18">
        <f t="shared" si="31"/>
        <v>-7.6684185379837566E-2</v>
      </c>
    </row>
    <row r="235" spans="1:23" x14ac:dyDescent="0.3">
      <c r="A235" t="s">
        <v>320</v>
      </c>
      <c r="B235" t="s">
        <v>2131</v>
      </c>
      <c r="C235" t="s">
        <v>50</v>
      </c>
      <c r="D235" t="s">
        <v>69</v>
      </c>
      <c r="E235">
        <v>352</v>
      </c>
      <c r="F235">
        <v>305.33999999999997</v>
      </c>
      <c r="G235">
        <v>271.55</v>
      </c>
      <c r="H235">
        <v>305.33999999999997</v>
      </c>
      <c r="I235">
        <v>573</v>
      </c>
      <c r="J235">
        <v>12</v>
      </c>
      <c r="K235" s="17">
        <f t="shared" si="25"/>
        <v>229.20000000000002</v>
      </c>
      <c r="L235" t="str">
        <f t="shared" si="26"/>
        <v>Sufficuent Stock</v>
      </c>
      <c r="P235" s="19">
        <f t="shared" si="27"/>
        <v>0</v>
      </c>
      <c r="R235" s="19">
        <f t="shared" si="24"/>
        <v>0</v>
      </c>
      <c r="T235" s="19">
        <f t="shared" si="28"/>
        <v>155598.15</v>
      </c>
      <c r="U235" s="19">
        <f t="shared" si="29"/>
        <v>174959.81999999998</v>
      </c>
      <c r="V235" s="21">
        <f t="shared" si="30"/>
        <v>19361.669999999984</v>
      </c>
      <c r="W235" s="18">
        <f t="shared" si="31"/>
        <v>0.12443380592892643</v>
      </c>
    </row>
    <row r="236" spans="1:23" x14ac:dyDescent="0.3">
      <c r="A236" t="s">
        <v>123</v>
      </c>
      <c r="B236" t="s">
        <v>1396</v>
      </c>
      <c r="C236" t="s">
        <v>50</v>
      </c>
      <c r="D236" t="s">
        <v>26</v>
      </c>
      <c r="E236">
        <v>352</v>
      </c>
      <c r="F236">
        <v>172.89</v>
      </c>
      <c r="G236">
        <v>178.67</v>
      </c>
      <c r="H236">
        <v>172.89</v>
      </c>
      <c r="I236">
        <v>1475</v>
      </c>
      <c r="J236">
        <v>7</v>
      </c>
      <c r="K236" s="17">
        <f t="shared" si="25"/>
        <v>344.16666666666663</v>
      </c>
      <c r="L236" t="str">
        <f t="shared" si="26"/>
        <v>Sufficuent Stock</v>
      </c>
      <c r="P236" s="19">
        <f t="shared" si="27"/>
        <v>0</v>
      </c>
      <c r="R236" s="19">
        <f t="shared" si="24"/>
        <v>0</v>
      </c>
      <c r="T236" s="19">
        <f t="shared" si="28"/>
        <v>263538.25</v>
      </c>
      <c r="U236" s="19">
        <f t="shared" si="29"/>
        <v>255012.74999999997</v>
      </c>
      <c r="V236" s="21">
        <f t="shared" si="30"/>
        <v>-8525.5000000000291</v>
      </c>
      <c r="W236" s="18">
        <f t="shared" si="31"/>
        <v>-3.2350142721218E-2</v>
      </c>
    </row>
    <row r="237" spans="1:23" x14ac:dyDescent="0.3">
      <c r="A237" t="s">
        <v>308</v>
      </c>
      <c r="B237" t="s">
        <v>778</v>
      </c>
      <c r="C237" t="s">
        <v>50</v>
      </c>
      <c r="D237" t="s">
        <v>13</v>
      </c>
      <c r="E237">
        <v>354</v>
      </c>
      <c r="F237">
        <v>194.78</v>
      </c>
      <c r="G237">
        <v>207.42</v>
      </c>
      <c r="H237">
        <v>194.78</v>
      </c>
      <c r="I237">
        <v>3777</v>
      </c>
      <c r="J237">
        <v>14</v>
      </c>
      <c r="K237" s="17">
        <f t="shared" si="25"/>
        <v>1762.6000000000001</v>
      </c>
      <c r="L237" t="str">
        <f t="shared" si="26"/>
        <v>High Risk</v>
      </c>
      <c r="P237" s="19">
        <f t="shared" si="27"/>
        <v>1409</v>
      </c>
      <c r="R237" s="19">
        <f t="shared" si="24"/>
        <v>274445.02</v>
      </c>
      <c r="T237" s="19">
        <f t="shared" si="28"/>
        <v>783425.34</v>
      </c>
      <c r="U237" s="19">
        <f t="shared" si="29"/>
        <v>735684.06</v>
      </c>
      <c r="V237" s="21">
        <f t="shared" si="30"/>
        <v>-47741.279999999912</v>
      </c>
      <c r="W237" s="18">
        <f t="shared" si="31"/>
        <v>-6.0939157265451627E-2</v>
      </c>
    </row>
    <row r="238" spans="1:23" x14ac:dyDescent="0.3">
      <c r="A238" t="s">
        <v>111</v>
      </c>
      <c r="B238" t="s">
        <v>576</v>
      </c>
      <c r="C238" t="s">
        <v>16</v>
      </c>
      <c r="D238" t="s">
        <v>13</v>
      </c>
      <c r="E238">
        <v>356</v>
      </c>
      <c r="F238">
        <v>480.41</v>
      </c>
      <c r="G238">
        <v>437.7</v>
      </c>
      <c r="H238">
        <v>480.41</v>
      </c>
      <c r="I238">
        <v>1567</v>
      </c>
      <c r="J238">
        <v>5</v>
      </c>
      <c r="K238" s="17">
        <f t="shared" si="25"/>
        <v>261.16666666666669</v>
      </c>
      <c r="L238" t="str">
        <f t="shared" si="26"/>
        <v>Sufficuent Stock</v>
      </c>
      <c r="P238" s="19">
        <f t="shared" si="27"/>
        <v>0</v>
      </c>
      <c r="R238" s="19">
        <f t="shared" si="24"/>
        <v>0</v>
      </c>
      <c r="T238" s="19">
        <f t="shared" si="28"/>
        <v>685875.9</v>
      </c>
      <c r="U238" s="19">
        <f t="shared" si="29"/>
        <v>752802.47000000009</v>
      </c>
      <c r="V238" s="21">
        <f t="shared" si="30"/>
        <v>66926.570000000065</v>
      </c>
      <c r="W238" s="18">
        <f t="shared" si="31"/>
        <v>9.7578249942883347E-2</v>
      </c>
    </row>
    <row r="239" spans="1:23" x14ac:dyDescent="0.3">
      <c r="A239" t="s">
        <v>1531</v>
      </c>
      <c r="B239" t="s">
        <v>1622</v>
      </c>
      <c r="C239" t="s">
        <v>23</v>
      </c>
      <c r="D239" t="s">
        <v>20</v>
      </c>
      <c r="E239">
        <v>357</v>
      </c>
      <c r="F239">
        <v>182.9</v>
      </c>
      <c r="G239">
        <v>153.37</v>
      </c>
      <c r="H239">
        <v>182.9</v>
      </c>
      <c r="I239">
        <v>2952</v>
      </c>
      <c r="J239">
        <v>87</v>
      </c>
      <c r="K239" s="17">
        <f t="shared" si="25"/>
        <v>8560.8000000000011</v>
      </c>
      <c r="L239" t="str">
        <f t="shared" si="26"/>
        <v>High Risk</v>
      </c>
      <c r="P239" s="19">
        <f t="shared" si="27"/>
        <v>8204</v>
      </c>
      <c r="R239" s="19">
        <f t="shared" si="24"/>
        <v>1500511.6</v>
      </c>
      <c r="T239" s="19">
        <f t="shared" si="28"/>
        <v>452748.24</v>
      </c>
      <c r="U239" s="19">
        <f t="shared" si="29"/>
        <v>539920.80000000005</v>
      </c>
      <c r="V239" s="21">
        <f t="shared" si="30"/>
        <v>87172.560000000056</v>
      </c>
      <c r="W239" s="18">
        <f t="shared" si="31"/>
        <v>0.19254091412923011</v>
      </c>
    </row>
    <row r="240" spans="1:23" x14ac:dyDescent="0.3">
      <c r="A240" t="s">
        <v>615</v>
      </c>
      <c r="B240" t="s">
        <v>616</v>
      </c>
      <c r="C240" t="s">
        <v>23</v>
      </c>
      <c r="D240" t="s">
        <v>13</v>
      </c>
      <c r="E240">
        <v>358</v>
      </c>
      <c r="F240">
        <v>46.93</v>
      </c>
      <c r="G240">
        <v>51.32</v>
      </c>
      <c r="H240">
        <v>46.93</v>
      </c>
      <c r="I240">
        <v>2530</v>
      </c>
      <c r="J240">
        <v>70</v>
      </c>
      <c r="K240" s="17">
        <f t="shared" si="25"/>
        <v>5903.333333333333</v>
      </c>
      <c r="L240" t="str">
        <f t="shared" si="26"/>
        <v>High Risk</v>
      </c>
      <c r="P240" s="19">
        <f t="shared" si="27"/>
        <v>5546</v>
      </c>
      <c r="R240" s="19">
        <f t="shared" si="24"/>
        <v>260273.78</v>
      </c>
      <c r="T240" s="19">
        <f t="shared" si="28"/>
        <v>129839.6</v>
      </c>
      <c r="U240" s="19">
        <f t="shared" si="29"/>
        <v>118732.9</v>
      </c>
      <c r="V240" s="21">
        <f t="shared" si="30"/>
        <v>-11106.700000000012</v>
      </c>
      <c r="W240" s="18">
        <f t="shared" si="31"/>
        <v>-8.5541699142634542E-2</v>
      </c>
    </row>
    <row r="241" spans="1:23" x14ac:dyDescent="0.3">
      <c r="A241" t="s">
        <v>76</v>
      </c>
      <c r="B241" t="s">
        <v>2862</v>
      </c>
      <c r="C241" t="s">
        <v>37</v>
      </c>
      <c r="D241" t="s">
        <v>26</v>
      </c>
      <c r="E241">
        <v>362</v>
      </c>
      <c r="F241">
        <v>94.92</v>
      </c>
      <c r="G241">
        <v>87.62</v>
      </c>
      <c r="H241">
        <v>94.92</v>
      </c>
      <c r="I241">
        <v>2279</v>
      </c>
      <c r="J241">
        <v>38</v>
      </c>
      <c r="K241" s="17">
        <f t="shared" si="25"/>
        <v>2886.7333333333336</v>
      </c>
      <c r="L241" t="str">
        <f t="shared" si="26"/>
        <v>High Risk</v>
      </c>
      <c r="P241" s="19">
        <f t="shared" si="27"/>
        <v>2525</v>
      </c>
      <c r="R241" s="19">
        <f t="shared" si="24"/>
        <v>239673</v>
      </c>
      <c r="T241" s="19">
        <f t="shared" si="28"/>
        <v>199685.98</v>
      </c>
      <c r="U241" s="19">
        <f t="shared" si="29"/>
        <v>216322.68</v>
      </c>
      <c r="V241" s="21">
        <f t="shared" si="30"/>
        <v>16636.699999999983</v>
      </c>
      <c r="W241" s="18">
        <f t="shared" si="31"/>
        <v>8.3314311800958593E-2</v>
      </c>
    </row>
    <row r="242" spans="1:23" x14ac:dyDescent="0.3">
      <c r="A242" t="s">
        <v>382</v>
      </c>
      <c r="B242" t="s">
        <v>383</v>
      </c>
      <c r="C242" t="s">
        <v>37</v>
      </c>
      <c r="D242" t="s">
        <v>17</v>
      </c>
      <c r="E242">
        <v>362</v>
      </c>
      <c r="F242">
        <v>112.23</v>
      </c>
      <c r="G242">
        <v>117.01</v>
      </c>
      <c r="H242">
        <v>112.23</v>
      </c>
      <c r="I242">
        <v>1204</v>
      </c>
      <c r="J242">
        <v>60</v>
      </c>
      <c r="K242" s="17">
        <f t="shared" si="25"/>
        <v>2408</v>
      </c>
      <c r="L242" t="str">
        <f t="shared" si="26"/>
        <v>High Risk</v>
      </c>
      <c r="P242" s="19">
        <f t="shared" si="27"/>
        <v>2046</v>
      </c>
      <c r="R242" s="19">
        <f t="shared" si="24"/>
        <v>229622.58000000002</v>
      </c>
      <c r="T242" s="19">
        <f t="shared" si="28"/>
        <v>140880.04</v>
      </c>
      <c r="U242" s="19">
        <f t="shared" si="29"/>
        <v>135124.92000000001</v>
      </c>
      <c r="V242" s="21">
        <f t="shared" si="30"/>
        <v>-5755.1199999999953</v>
      </c>
      <c r="W242" s="18">
        <f t="shared" si="31"/>
        <v>-4.0851209298350531E-2</v>
      </c>
    </row>
    <row r="243" spans="1:23" x14ac:dyDescent="0.3">
      <c r="A243" t="s">
        <v>331</v>
      </c>
      <c r="B243" t="s">
        <v>1729</v>
      </c>
      <c r="C243" t="s">
        <v>23</v>
      </c>
      <c r="D243" t="s">
        <v>69</v>
      </c>
      <c r="E243">
        <v>363</v>
      </c>
      <c r="F243">
        <v>260.02999999999997</v>
      </c>
      <c r="G243">
        <v>240.2</v>
      </c>
      <c r="H243">
        <v>260.02999999999997</v>
      </c>
      <c r="I243">
        <v>2012</v>
      </c>
      <c r="J243">
        <v>55</v>
      </c>
      <c r="K243" s="17">
        <f t="shared" si="25"/>
        <v>3688.6666666666665</v>
      </c>
      <c r="L243" t="str">
        <f t="shared" si="26"/>
        <v>High Risk</v>
      </c>
      <c r="P243" s="19">
        <f t="shared" si="27"/>
        <v>3326</v>
      </c>
      <c r="R243" s="19">
        <f t="shared" si="24"/>
        <v>864859.77999999991</v>
      </c>
      <c r="T243" s="19">
        <f t="shared" si="28"/>
        <v>483282.39999999997</v>
      </c>
      <c r="U243" s="19">
        <f t="shared" si="29"/>
        <v>523180.35999999993</v>
      </c>
      <c r="V243" s="21">
        <f t="shared" si="30"/>
        <v>39897.959999999963</v>
      </c>
      <c r="W243" s="18">
        <f t="shared" si="31"/>
        <v>8.2556203164029909E-2</v>
      </c>
    </row>
    <row r="244" spans="1:23" x14ac:dyDescent="0.3">
      <c r="A244" t="s">
        <v>55</v>
      </c>
      <c r="B244" t="s">
        <v>1519</v>
      </c>
      <c r="C244" t="s">
        <v>37</v>
      </c>
      <c r="D244" t="s">
        <v>26</v>
      </c>
      <c r="E244">
        <v>364</v>
      </c>
      <c r="F244">
        <v>485.03</v>
      </c>
      <c r="G244">
        <v>415.72</v>
      </c>
      <c r="H244">
        <v>485.03</v>
      </c>
      <c r="I244">
        <v>834</v>
      </c>
      <c r="J244">
        <v>26</v>
      </c>
      <c r="K244" s="17">
        <f t="shared" si="25"/>
        <v>722.80000000000007</v>
      </c>
      <c r="L244" t="str">
        <f t="shared" si="26"/>
        <v>High Risk</v>
      </c>
      <c r="P244" s="19">
        <f t="shared" si="27"/>
        <v>359</v>
      </c>
      <c r="R244" s="19">
        <f t="shared" si="24"/>
        <v>174125.77</v>
      </c>
      <c r="T244" s="19">
        <f t="shared" si="28"/>
        <v>346710.48000000004</v>
      </c>
      <c r="U244" s="19">
        <f t="shared" si="29"/>
        <v>404515.01999999996</v>
      </c>
      <c r="V244" s="21">
        <f t="shared" si="30"/>
        <v>57804.539999999921</v>
      </c>
      <c r="W244" s="18">
        <f t="shared" si="31"/>
        <v>0.16672279418839578</v>
      </c>
    </row>
    <row r="245" spans="1:23" x14ac:dyDescent="0.3">
      <c r="A245" t="s">
        <v>278</v>
      </c>
      <c r="B245" t="s">
        <v>2752</v>
      </c>
      <c r="C245" t="s">
        <v>37</v>
      </c>
      <c r="D245" t="s">
        <v>17</v>
      </c>
      <c r="E245">
        <v>365</v>
      </c>
      <c r="F245">
        <v>275.70999999999998</v>
      </c>
      <c r="G245">
        <v>241.62</v>
      </c>
      <c r="H245">
        <v>275.70999999999998</v>
      </c>
      <c r="I245">
        <v>1370</v>
      </c>
      <c r="J245">
        <v>89</v>
      </c>
      <c r="K245" s="17">
        <f t="shared" si="25"/>
        <v>4064.333333333333</v>
      </c>
      <c r="L245" t="str">
        <f t="shared" si="26"/>
        <v>High Risk</v>
      </c>
      <c r="P245" s="19">
        <f t="shared" si="27"/>
        <v>3700</v>
      </c>
      <c r="R245" s="19">
        <f t="shared" si="24"/>
        <v>1020126.9999999999</v>
      </c>
      <c r="T245" s="19">
        <f t="shared" si="28"/>
        <v>331019.40000000002</v>
      </c>
      <c r="U245" s="19">
        <f t="shared" si="29"/>
        <v>377722.69999999995</v>
      </c>
      <c r="V245" s="21">
        <f t="shared" si="30"/>
        <v>46703.29999999993</v>
      </c>
      <c r="W245" s="18">
        <f t="shared" si="31"/>
        <v>0.14108931379852638</v>
      </c>
    </row>
    <row r="246" spans="1:23" x14ac:dyDescent="0.3">
      <c r="A246" t="s">
        <v>1939</v>
      </c>
      <c r="B246" t="s">
        <v>3068</v>
      </c>
      <c r="C246" t="s">
        <v>12</v>
      </c>
      <c r="D246" t="s">
        <v>20</v>
      </c>
      <c r="E246">
        <v>366</v>
      </c>
      <c r="F246">
        <v>306.68</v>
      </c>
      <c r="G246">
        <v>265.08</v>
      </c>
      <c r="H246">
        <v>306.68</v>
      </c>
      <c r="I246">
        <v>2082</v>
      </c>
      <c r="J246">
        <v>41</v>
      </c>
      <c r="K246" s="17">
        <f t="shared" si="25"/>
        <v>2845.4</v>
      </c>
      <c r="L246" t="str">
        <f t="shared" si="26"/>
        <v>High Risk</v>
      </c>
      <c r="P246" s="19">
        <f t="shared" si="27"/>
        <v>2480</v>
      </c>
      <c r="R246" s="19">
        <f t="shared" si="24"/>
        <v>760566.4</v>
      </c>
      <c r="T246" s="19">
        <f t="shared" si="28"/>
        <v>551896.55999999994</v>
      </c>
      <c r="U246" s="19">
        <f t="shared" si="29"/>
        <v>638507.76</v>
      </c>
      <c r="V246" s="21">
        <f t="shared" si="30"/>
        <v>86611.20000000007</v>
      </c>
      <c r="W246" s="18">
        <f t="shared" si="31"/>
        <v>0.15693375584729152</v>
      </c>
    </row>
    <row r="247" spans="1:23" x14ac:dyDescent="0.3">
      <c r="A247" t="s">
        <v>590</v>
      </c>
      <c r="B247" t="s">
        <v>2505</v>
      </c>
      <c r="C247" t="s">
        <v>37</v>
      </c>
      <c r="D247" t="s">
        <v>69</v>
      </c>
      <c r="E247">
        <v>367</v>
      </c>
      <c r="F247">
        <v>362.17</v>
      </c>
      <c r="G247">
        <v>358.43</v>
      </c>
      <c r="H247">
        <v>362.17</v>
      </c>
      <c r="I247">
        <v>3183</v>
      </c>
      <c r="J247">
        <v>29</v>
      </c>
      <c r="K247" s="17">
        <f t="shared" si="25"/>
        <v>3076.8999999999996</v>
      </c>
      <c r="L247" t="str">
        <f t="shared" si="26"/>
        <v>High Risk</v>
      </c>
      <c r="P247" s="19">
        <f t="shared" si="27"/>
        <v>2710</v>
      </c>
      <c r="R247" s="19">
        <f t="shared" si="24"/>
        <v>981480.70000000007</v>
      </c>
      <c r="T247" s="19">
        <f t="shared" si="28"/>
        <v>1140882.69</v>
      </c>
      <c r="U247" s="19">
        <f t="shared" si="29"/>
        <v>1152787.1100000001</v>
      </c>
      <c r="V247" s="21">
        <f t="shared" si="30"/>
        <v>11904.420000000158</v>
      </c>
      <c r="W247" s="18">
        <f t="shared" si="31"/>
        <v>1.0434394442429624E-2</v>
      </c>
    </row>
    <row r="248" spans="1:23" x14ac:dyDescent="0.3">
      <c r="A248" t="s">
        <v>1679</v>
      </c>
      <c r="B248" t="s">
        <v>1680</v>
      </c>
      <c r="C248" t="s">
        <v>37</v>
      </c>
      <c r="D248" t="s">
        <v>13</v>
      </c>
      <c r="E248">
        <v>368</v>
      </c>
      <c r="F248">
        <v>28.25</v>
      </c>
      <c r="G248">
        <v>28.29</v>
      </c>
      <c r="H248">
        <v>28.25</v>
      </c>
      <c r="I248">
        <v>3681</v>
      </c>
      <c r="J248">
        <v>47</v>
      </c>
      <c r="K248" s="17">
        <f t="shared" si="25"/>
        <v>5766.9000000000005</v>
      </c>
      <c r="L248" t="str">
        <f t="shared" si="26"/>
        <v>High Risk</v>
      </c>
      <c r="P248" s="19">
        <f t="shared" si="27"/>
        <v>5399</v>
      </c>
      <c r="R248" s="19">
        <f t="shared" si="24"/>
        <v>152521.75</v>
      </c>
      <c r="T248" s="19">
        <f t="shared" si="28"/>
        <v>104135.48999999999</v>
      </c>
      <c r="U248" s="19">
        <f t="shared" si="29"/>
        <v>103988.25</v>
      </c>
      <c r="V248" s="21">
        <f t="shared" si="30"/>
        <v>-147.23999999999069</v>
      </c>
      <c r="W248" s="18">
        <f t="shared" si="31"/>
        <v>-1.4139271827499991E-3</v>
      </c>
    </row>
    <row r="249" spans="1:23" x14ac:dyDescent="0.3">
      <c r="A249" t="s">
        <v>666</v>
      </c>
      <c r="B249" t="s">
        <v>1756</v>
      </c>
      <c r="C249" t="s">
        <v>50</v>
      </c>
      <c r="D249" t="s">
        <v>13</v>
      </c>
      <c r="E249">
        <v>368</v>
      </c>
      <c r="F249">
        <v>456.12</v>
      </c>
      <c r="G249">
        <v>488.79</v>
      </c>
      <c r="H249">
        <v>456.12</v>
      </c>
      <c r="I249">
        <v>3898</v>
      </c>
      <c r="J249">
        <v>56</v>
      </c>
      <c r="K249" s="17">
        <f t="shared" si="25"/>
        <v>7276.2666666666664</v>
      </c>
      <c r="L249" t="str">
        <f t="shared" si="26"/>
        <v>High Risk</v>
      </c>
      <c r="P249" s="19">
        <f t="shared" si="27"/>
        <v>6909</v>
      </c>
      <c r="R249" s="19">
        <f t="shared" si="24"/>
        <v>3151333.08</v>
      </c>
      <c r="T249" s="19">
        <f t="shared" si="28"/>
        <v>1905303.4200000002</v>
      </c>
      <c r="U249" s="19">
        <f t="shared" si="29"/>
        <v>1777955.76</v>
      </c>
      <c r="V249" s="21">
        <f t="shared" si="30"/>
        <v>-127347.66000000015</v>
      </c>
      <c r="W249" s="18">
        <f t="shared" si="31"/>
        <v>-6.6838519609648386E-2</v>
      </c>
    </row>
    <row r="250" spans="1:23" x14ac:dyDescent="0.3">
      <c r="A250" t="s">
        <v>671</v>
      </c>
      <c r="B250" t="s">
        <v>672</v>
      </c>
      <c r="C250" t="s">
        <v>23</v>
      </c>
      <c r="D250" t="s">
        <v>13</v>
      </c>
      <c r="E250">
        <v>370</v>
      </c>
      <c r="F250">
        <v>401.93</v>
      </c>
      <c r="G250">
        <v>389.61</v>
      </c>
      <c r="H250">
        <v>401.93</v>
      </c>
      <c r="I250">
        <v>1537</v>
      </c>
      <c r="J250">
        <v>90</v>
      </c>
      <c r="K250" s="17">
        <f t="shared" si="25"/>
        <v>4611</v>
      </c>
      <c r="L250" t="str">
        <f t="shared" si="26"/>
        <v>High Risk</v>
      </c>
      <c r="P250" s="19">
        <f t="shared" si="27"/>
        <v>4241</v>
      </c>
      <c r="R250" s="19">
        <f t="shared" si="24"/>
        <v>1704585.1300000001</v>
      </c>
      <c r="T250" s="19">
        <f t="shared" si="28"/>
        <v>598830.57000000007</v>
      </c>
      <c r="U250" s="19">
        <f t="shared" si="29"/>
        <v>617766.41</v>
      </c>
      <c r="V250" s="21">
        <f t="shared" si="30"/>
        <v>18935.839999999967</v>
      </c>
      <c r="W250" s="18">
        <f t="shared" si="31"/>
        <v>3.1621364954698229E-2</v>
      </c>
    </row>
    <row r="251" spans="1:23" x14ac:dyDescent="0.3">
      <c r="A251" t="s">
        <v>251</v>
      </c>
      <c r="B251" t="s">
        <v>2770</v>
      </c>
      <c r="C251" t="s">
        <v>37</v>
      </c>
      <c r="D251" t="s">
        <v>20</v>
      </c>
      <c r="E251">
        <v>374</v>
      </c>
      <c r="F251">
        <v>247.17</v>
      </c>
      <c r="G251">
        <v>231.53</v>
      </c>
      <c r="H251">
        <v>247.17</v>
      </c>
      <c r="I251">
        <v>1608</v>
      </c>
      <c r="J251">
        <v>29</v>
      </c>
      <c r="K251" s="17">
        <f t="shared" si="25"/>
        <v>1554.4</v>
      </c>
      <c r="L251" t="str">
        <f t="shared" si="26"/>
        <v>High Risk</v>
      </c>
      <c r="P251" s="19">
        <f t="shared" si="27"/>
        <v>1181</v>
      </c>
      <c r="R251" s="19">
        <f t="shared" si="24"/>
        <v>291907.76999999996</v>
      </c>
      <c r="T251" s="19">
        <f t="shared" si="28"/>
        <v>372300.24</v>
      </c>
      <c r="U251" s="19">
        <f t="shared" si="29"/>
        <v>397449.36</v>
      </c>
      <c r="V251" s="21">
        <f t="shared" si="30"/>
        <v>25149.119999999995</v>
      </c>
      <c r="W251" s="18">
        <f t="shared" si="31"/>
        <v>6.7550641385565574E-2</v>
      </c>
    </row>
    <row r="252" spans="1:23" x14ac:dyDescent="0.3">
      <c r="A252" t="s">
        <v>209</v>
      </c>
      <c r="B252" t="s">
        <v>1301</v>
      </c>
      <c r="C252" t="s">
        <v>16</v>
      </c>
      <c r="D252" t="s">
        <v>26</v>
      </c>
      <c r="E252">
        <v>376</v>
      </c>
      <c r="F252">
        <v>123.67</v>
      </c>
      <c r="G252">
        <v>121.96</v>
      </c>
      <c r="H252">
        <v>123.67</v>
      </c>
      <c r="I252">
        <v>3319</v>
      </c>
      <c r="J252">
        <v>39</v>
      </c>
      <c r="K252" s="17">
        <f t="shared" si="25"/>
        <v>4314.7</v>
      </c>
      <c r="L252" t="str">
        <f t="shared" si="26"/>
        <v>High Risk</v>
      </c>
      <c r="P252" s="19">
        <f t="shared" si="27"/>
        <v>3939</v>
      </c>
      <c r="R252" s="19">
        <f t="shared" si="24"/>
        <v>487136.13</v>
      </c>
      <c r="T252" s="19">
        <f t="shared" si="28"/>
        <v>404785.24</v>
      </c>
      <c r="U252" s="19">
        <f t="shared" si="29"/>
        <v>410460.73</v>
      </c>
      <c r="V252" s="21">
        <f t="shared" si="30"/>
        <v>5675.4899999999907</v>
      </c>
      <c r="W252" s="18">
        <f t="shared" si="31"/>
        <v>1.4020990488684793E-2</v>
      </c>
    </row>
    <row r="253" spans="1:23" x14ac:dyDescent="0.3">
      <c r="A253" t="s">
        <v>535</v>
      </c>
      <c r="B253" t="s">
        <v>2468</v>
      </c>
      <c r="C253" t="s">
        <v>23</v>
      </c>
      <c r="D253" t="s">
        <v>13</v>
      </c>
      <c r="E253">
        <v>378</v>
      </c>
      <c r="F253">
        <v>163.19999999999999</v>
      </c>
      <c r="G253">
        <v>147.58000000000001</v>
      </c>
      <c r="H253">
        <v>163.19999999999999</v>
      </c>
      <c r="I253">
        <v>2041</v>
      </c>
      <c r="J253">
        <v>32</v>
      </c>
      <c r="K253" s="17">
        <f t="shared" si="25"/>
        <v>2177.0666666666666</v>
      </c>
      <c r="L253" t="str">
        <f t="shared" si="26"/>
        <v>High Risk</v>
      </c>
      <c r="P253" s="19">
        <f t="shared" si="27"/>
        <v>1800</v>
      </c>
      <c r="R253" s="19">
        <f t="shared" si="24"/>
        <v>293760</v>
      </c>
      <c r="T253" s="19">
        <f t="shared" si="28"/>
        <v>301210.78000000003</v>
      </c>
      <c r="U253" s="19">
        <f t="shared" si="29"/>
        <v>333091.19999999995</v>
      </c>
      <c r="V253" s="21">
        <f t="shared" si="30"/>
        <v>31880.419999999925</v>
      </c>
      <c r="W253" s="18">
        <f t="shared" si="31"/>
        <v>0.10584089985092805</v>
      </c>
    </row>
    <row r="254" spans="1:23" x14ac:dyDescent="0.3">
      <c r="A254" t="s">
        <v>258</v>
      </c>
      <c r="B254" t="s">
        <v>2744</v>
      </c>
      <c r="C254" t="s">
        <v>12</v>
      </c>
      <c r="D254" t="s">
        <v>17</v>
      </c>
      <c r="E254">
        <v>381</v>
      </c>
      <c r="F254">
        <v>479.94</v>
      </c>
      <c r="G254">
        <v>474.03</v>
      </c>
      <c r="H254">
        <v>479.94</v>
      </c>
      <c r="I254">
        <v>2464</v>
      </c>
      <c r="J254">
        <v>10</v>
      </c>
      <c r="K254" s="17">
        <f t="shared" si="25"/>
        <v>821.33333333333337</v>
      </c>
      <c r="L254" t="str">
        <f t="shared" si="26"/>
        <v>High Risk</v>
      </c>
      <c r="P254" s="19">
        <f t="shared" si="27"/>
        <v>441</v>
      </c>
      <c r="R254" s="19">
        <f t="shared" si="24"/>
        <v>211653.54</v>
      </c>
      <c r="T254" s="19">
        <f t="shared" si="28"/>
        <v>1168009.92</v>
      </c>
      <c r="U254" s="19">
        <f t="shared" si="29"/>
        <v>1182572.1599999999</v>
      </c>
      <c r="V254" s="21">
        <f t="shared" si="30"/>
        <v>14562.239999999991</v>
      </c>
      <c r="W254" s="18">
        <f t="shared" si="31"/>
        <v>1.2467565343965564E-2</v>
      </c>
    </row>
    <row r="255" spans="1:23" x14ac:dyDescent="0.3">
      <c r="A255" t="s">
        <v>251</v>
      </c>
      <c r="B255" t="s">
        <v>252</v>
      </c>
      <c r="C255" t="s">
        <v>12</v>
      </c>
      <c r="D255" t="s">
        <v>69</v>
      </c>
      <c r="E255">
        <v>383</v>
      </c>
      <c r="F255">
        <v>300.69</v>
      </c>
      <c r="G255">
        <v>323.39</v>
      </c>
      <c r="H255">
        <v>300.69</v>
      </c>
      <c r="I255">
        <v>3179</v>
      </c>
      <c r="J255">
        <v>5</v>
      </c>
      <c r="K255" s="17">
        <f t="shared" si="25"/>
        <v>529.83333333333337</v>
      </c>
      <c r="L255" t="str">
        <f t="shared" si="26"/>
        <v>High Risk</v>
      </c>
      <c r="P255" s="19">
        <f t="shared" si="27"/>
        <v>147</v>
      </c>
      <c r="R255" s="19">
        <f t="shared" si="24"/>
        <v>44201.43</v>
      </c>
      <c r="T255" s="19">
        <f t="shared" si="28"/>
        <v>1028056.8099999999</v>
      </c>
      <c r="U255" s="19">
        <f t="shared" si="29"/>
        <v>955893.51</v>
      </c>
      <c r="V255" s="21">
        <f t="shared" si="30"/>
        <v>-72163.29999999993</v>
      </c>
      <c r="W255" s="18">
        <f t="shared" si="31"/>
        <v>-7.019388354618257E-2</v>
      </c>
    </row>
    <row r="256" spans="1:23" x14ac:dyDescent="0.3">
      <c r="A256" t="s">
        <v>484</v>
      </c>
      <c r="B256" t="s">
        <v>1604</v>
      </c>
      <c r="C256" t="s">
        <v>16</v>
      </c>
      <c r="D256" t="s">
        <v>20</v>
      </c>
      <c r="E256">
        <v>385</v>
      </c>
      <c r="F256">
        <v>400.3</v>
      </c>
      <c r="G256">
        <v>335.47</v>
      </c>
      <c r="H256">
        <v>400.3</v>
      </c>
      <c r="I256">
        <v>1573</v>
      </c>
      <c r="J256">
        <v>54</v>
      </c>
      <c r="K256" s="17">
        <f t="shared" si="25"/>
        <v>2831.3999999999996</v>
      </c>
      <c r="L256" t="str">
        <f t="shared" si="26"/>
        <v>High Risk</v>
      </c>
      <c r="P256" s="19">
        <f t="shared" si="27"/>
        <v>2447</v>
      </c>
      <c r="R256" s="19">
        <f t="shared" si="24"/>
        <v>979534.1</v>
      </c>
      <c r="T256" s="19">
        <f t="shared" si="28"/>
        <v>527694.31000000006</v>
      </c>
      <c r="U256" s="19">
        <f t="shared" si="29"/>
        <v>629671.9</v>
      </c>
      <c r="V256" s="21">
        <f t="shared" si="30"/>
        <v>101977.58999999997</v>
      </c>
      <c r="W256" s="18">
        <f t="shared" si="31"/>
        <v>0.19325125942707239</v>
      </c>
    </row>
    <row r="257" spans="1:23" x14ac:dyDescent="0.3">
      <c r="A257" t="s">
        <v>782</v>
      </c>
      <c r="B257" t="s">
        <v>3218</v>
      </c>
      <c r="C257" t="s">
        <v>50</v>
      </c>
      <c r="D257" t="s">
        <v>26</v>
      </c>
      <c r="E257">
        <v>387</v>
      </c>
      <c r="F257">
        <v>327.89</v>
      </c>
      <c r="G257">
        <v>361.16</v>
      </c>
      <c r="H257">
        <v>327.89</v>
      </c>
      <c r="I257">
        <v>1088</v>
      </c>
      <c r="J257">
        <v>11</v>
      </c>
      <c r="K257" s="17">
        <f t="shared" si="25"/>
        <v>398.93333333333334</v>
      </c>
      <c r="L257" t="str">
        <f t="shared" si="26"/>
        <v>High Risk</v>
      </c>
      <c r="P257" s="19">
        <f t="shared" si="27"/>
        <v>12</v>
      </c>
      <c r="R257" s="19">
        <f t="shared" si="24"/>
        <v>3934.68</v>
      </c>
      <c r="T257" s="19">
        <f t="shared" si="28"/>
        <v>392942.08000000002</v>
      </c>
      <c r="U257" s="19">
        <f t="shared" si="29"/>
        <v>356744.32</v>
      </c>
      <c r="V257" s="21">
        <f t="shared" si="30"/>
        <v>-36197.760000000009</v>
      </c>
      <c r="W257" s="18">
        <f t="shared" si="31"/>
        <v>-9.2119836083730228E-2</v>
      </c>
    </row>
    <row r="258" spans="1:23" x14ac:dyDescent="0.3">
      <c r="A258" t="s">
        <v>838</v>
      </c>
      <c r="B258" t="s">
        <v>3157</v>
      </c>
      <c r="C258" t="s">
        <v>23</v>
      </c>
      <c r="D258" t="s">
        <v>13</v>
      </c>
      <c r="E258">
        <v>392</v>
      </c>
      <c r="F258">
        <v>189.98</v>
      </c>
      <c r="G258">
        <v>207.12</v>
      </c>
      <c r="H258">
        <v>189.98</v>
      </c>
      <c r="I258">
        <v>1708</v>
      </c>
      <c r="J258">
        <v>46</v>
      </c>
      <c r="K258" s="17">
        <f t="shared" si="25"/>
        <v>2618.9333333333334</v>
      </c>
      <c r="L258" t="str">
        <f t="shared" si="26"/>
        <v>High Risk</v>
      </c>
      <c r="P258" s="19">
        <f t="shared" si="27"/>
        <v>2227</v>
      </c>
      <c r="R258" s="19">
        <f t="shared" ref="R258:R321" si="32">P258*H258</f>
        <v>423085.45999999996</v>
      </c>
      <c r="T258" s="19">
        <f t="shared" si="28"/>
        <v>353760.96</v>
      </c>
      <c r="U258" s="19">
        <f t="shared" si="29"/>
        <v>324485.83999999997</v>
      </c>
      <c r="V258" s="21">
        <f t="shared" si="30"/>
        <v>-29275.120000000054</v>
      </c>
      <c r="W258" s="18">
        <f t="shared" si="31"/>
        <v>-8.2753959057551327E-2</v>
      </c>
    </row>
    <row r="259" spans="1:23" x14ac:dyDescent="0.3">
      <c r="A259" t="s">
        <v>581</v>
      </c>
      <c r="B259" t="s">
        <v>1938</v>
      </c>
      <c r="C259" t="s">
        <v>16</v>
      </c>
      <c r="D259" t="s">
        <v>69</v>
      </c>
      <c r="E259">
        <v>393</v>
      </c>
      <c r="F259">
        <v>318.25</v>
      </c>
      <c r="G259">
        <v>331.46</v>
      </c>
      <c r="H259">
        <v>318.25</v>
      </c>
      <c r="I259">
        <v>611</v>
      </c>
      <c r="J259">
        <v>10</v>
      </c>
      <c r="K259" s="17">
        <f t="shared" ref="K259:K322" si="33">(I259/30)*J259</f>
        <v>203.66666666666669</v>
      </c>
      <c r="L259" t="str">
        <f t="shared" ref="L259:L322" si="34">IF(E259&lt;K259,"High Risk","Sufficuent Stock")</f>
        <v>Sufficuent Stock</v>
      </c>
      <c r="P259" s="19">
        <f t="shared" ref="P259:P322" si="35">ROUNDUP(MAX(0,K259-E259),0)</f>
        <v>0</v>
      </c>
      <c r="R259" s="19">
        <f t="shared" si="32"/>
        <v>0</v>
      </c>
      <c r="T259" s="19">
        <f t="shared" ref="T259:T322" si="36">I259*G259</f>
        <v>202522.06</v>
      </c>
      <c r="U259" s="19">
        <f t="shared" ref="U259:U322" si="37">I259*H259</f>
        <v>194450.75</v>
      </c>
      <c r="V259" s="21">
        <f t="shared" ref="V259:V322" si="38">U259-T259</f>
        <v>-8071.3099999999977</v>
      </c>
      <c r="W259" s="18">
        <f t="shared" ref="W259:W322" si="39">IFERROR(V259/T259,0)</f>
        <v>-3.9853979364025814E-2</v>
      </c>
    </row>
    <row r="260" spans="1:23" x14ac:dyDescent="0.3">
      <c r="A260" t="s">
        <v>773</v>
      </c>
      <c r="B260" t="s">
        <v>2396</v>
      </c>
      <c r="C260" t="s">
        <v>23</v>
      </c>
      <c r="D260" t="s">
        <v>17</v>
      </c>
      <c r="E260">
        <v>394</v>
      </c>
      <c r="F260">
        <v>345.6</v>
      </c>
      <c r="G260">
        <v>322.81</v>
      </c>
      <c r="H260">
        <v>345.6</v>
      </c>
      <c r="I260">
        <v>3643</v>
      </c>
      <c r="J260">
        <v>34</v>
      </c>
      <c r="K260" s="17">
        <f t="shared" si="33"/>
        <v>4128.7333333333336</v>
      </c>
      <c r="L260" t="str">
        <f t="shared" si="34"/>
        <v>High Risk</v>
      </c>
      <c r="P260" s="19">
        <f t="shared" si="35"/>
        <v>3735</v>
      </c>
      <c r="R260" s="19">
        <f t="shared" si="32"/>
        <v>1290816</v>
      </c>
      <c r="T260" s="19">
        <f t="shared" si="36"/>
        <v>1175996.83</v>
      </c>
      <c r="U260" s="19">
        <f t="shared" si="37"/>
        <v>1259020.8</v>
      </c>
      <c r="V260" s="21">
        <f t="shared" si="38"/>
        <v>83023.969999999972</v>
      </c>
      <c r="W260" s="18">
        <f t="shared" si="39"/>
        <v>7.0598804250178102E-2</v>
      </c>
    </row>
    <row r="261" spans="1:23" x14ac:dyDescent="0.3">
      <c r="A261" t="s">
        <v>590</v>
      </c>
      <c r="B261" t="s">
        <v>2983</v>
      </c>
      <c r="C261" t="s">
        <v>37</v>
      </c>
      <c r="D261" t="s">
        <v>13</v>
      </c>
      <c r="E261">
        <v>399</v>
      </c>
      <c r="F261">
        <v>189.17</v>
      </c>
      <c r="G261">
        <v>203.69</v>
      </c>
      <c r="H261">
        <v>189.17</v>
      </c>
      <c r="I261">
        <v>1916</v>
      </c>
      <c r="J261">
        <v>9</v>
      </c>
      <c r="K261" s="17">
        <f t="shared" si="33"/>
        <v>574.79999999999995</v>
      </c>
      <c r="L261" t="str">
        <f t="shared" si="34"/>
        <v>High Risk</v>
      </c>
      <c r="P261" s="19">
        <f t="shared" si="35"/>
        <v>176</v>
      </c>
      <c r="R261" s="19">
        <f t="shared" si="32"/>
        <v>33293.919999999998</v>
      </c>
      <c r="T261" s="19">
        <f t="shared" si="36"/>
        <v>390270.04</v>
      </c>
      <c r="U261" s="19">
        <f t="shared" si="37"/>
        <v>362449.72</v>
      </c>
      <c r="V261" s="21">
        <f t="shared" si="38"/>
        <v>-27820.320000000007</v>
      </c>
      <c r="W261" s="18">
        <f t="shared" si="39"/>
        <v>-7.1284795522607899E-2</v>
      </c>
    </row>
    <row r="262" spans="1:23" x14ac:dyDescent="0.3">
      <c r="A262" t="s">
        <v>573</v>
      </c>
      <c r="B262" t="s">
        <v>2944</v>
      </c>
      <c r="C262" t="s">
        <v>12</v>
      </c>
      <c r="D262" t="s">
        <v>20</v>
      </c>
      <c r="E262">
        <v>402</v>
      </c>
      <c r="F262">
        <v>520.63</v>
      </c>
      <c r="G262">
        <v>494.83</v>
      </c>
      <c r="H262">
        <v>520.63</v>
      </c>
      <c r="I262">
        <v>1628</v>
      </c>
      <c r="J262">
        <v>69</v>
      </c>
      <c r="K262" s="17">
        <f t="shared" si="33"/>
        <v>3744.4</v>
      </c>
      <c r="L262" t="str">
        <f t="shared" si="34"/>
        <v>High Risk</v>
      </c>
      <c r="P262" s="19">
        <f t="shared" si="35"/>
        <v>3343</v>
      </c>
      <c r="R262" s="19">
        <f t="shared" si="32"/>
        <v>1740466.09</v>
      </c>
      <c r="T262" s="19">
        <f t="shared" si="36"/>
        <v>805583.24</v>
      </c>
      <c r="U262" s="19">
        <f t="shared" si="37"/>
        <v>847585.64</v>
      </c>
      <c r="V262" s="21">
        <f t="shared" si="38"/>
        <v>42002.400000000023</v>
      </c>
      <c r="W262" s="18">
        <f t="shared" si="39"/>
        <v>5.2139118485136339E-2</v>
      </c>
    </row>
    <row r="263" spans="1:23" x14ac:dyDescent="0.3">
      <c r="A263" t="s">
        <v>872</v>
      </c>
      <c r="B263" t="s">
        <v>1112</v>
      </c>
      <c r="C263" t="s">
        <v>37</v>
      </c>
      <c r="D263" t="s">
        <v>26</v>
      </c>
      <c r="E263">
        <v>403</v>
      </c>
      <c r="F263">
        <v>301.20999999999998</v>
      </c>
      <c r="G263">
        <v>275.43</v>
      </c>
      <c r="H263">
        <v>301.20999999999998</v>
      </c>
      <c r="I263">
        <v>3566</v>
      </c>
      <c r="J263">
        <v>11</v>
      </c>
      <c r="K263" s="17">
        <f t="shared" si="33"/>
        <v>1307.5333333333333</v>
      </c>
      <c r="L263" t="str">
        <f t="shared" si="34"/>
        <v>High Risk</v>
      </c>
      <c r="P263" s="19">
        <f t="shared" si="35"/>
        <v>905</v>
      </c>
      <c r="R263" s="19">
        <f t="shared" si="32"/>
        <v>272595.05</v>
      </c>
      <c r="T263" s="19">
        <f t="shared" si="36"/>
        <v>982183.38</v>
      </c>
      <c r="U263" s="19">
        <f t="shared" si="37"/>
        <v>1074114.8599999999</v>
      </c>
      <c r="V263" s="21">
        <f t="shared" si="38"/>
        <v>91931.479999999865</v>
      </c>
      <c r="W263" s="18">
        <f t="shared" si="39"/>
        <v>9.3599099589732282E-2</v>
      </c>
    </row>
    <row r="264" spans="1:23" x14ac:dyDescent="0.3">
      <c r="A264" t="s">
        <v>273</v>
      </c>
      <c r="B264" t="s">
        <v>569</v>
      </c>
      <c r="C264" t="s">
        <v>12</v>
      </c>
      <c r="D264" t="s">
        <v>17</v>
      </c>
      <c r="E264">
        <v>403</v>
      </c>
      <c r="F264">
        <v>277.75</v>
      </c>
      <c r="G264">
        <v>307.27</v>
      </c>
      <c r="H264">
        <v>277.75</v>
      </c>
      <c r="I264">
        <v>2052</v>
      </c>
      <c r="J264">
        <v>59</v>
      </c>
      <c r="K264" s="17">
        <f t="shared" si="33"/>
        <v>4035.6000000000004</v>
      </c>
      <c r="L264" t="str">
        <f t="shared" si="34"/>
        <v>High Risk</v>
      </c>
      <c r="P264" s="19">
        <f t="shared" si="35"/>
        <v>3633</v>
      </c>
      <c r="R264" s="19">
        <f t="shared" si="32"/>
        <v>1009065.75</v>
      </c>
      <c r="T264" s="19">
        <f t="shared" si="36"/>
        <v>630518.03999999992</v>
      </c>
      <c r="U264" s="19">
        <f t="shared" si="37"/>
        <v>569943</v>
      </c>
      <c r="V264" s="21">
        <f t="shared" si="38"/>
        <v>-60575.039999999921</v>
      </c>
      <c r="W264" s="18">
        <f t="shared" si="39"/>
        <v>-9.6071858625964027E-2</v>
      </c>
    </row>
    <row r="265" spans="1:23" x14ac:dyDescent="0.3">
      <c r="A265" t="s">
        <v>127</v>
      </c>
      <c r="B265" t="s">
        <v>784</v>
      </c>
      <c r="C265" t="s">
        <v>12</v>
      </c>
      <c r="D265" t="s">
        <v>17</v>
      </c>
      <c r="E265">
        <v>404</v>
      </c>
      <c r="F265">
        <v>414.39</v>
      </c>
      <c r="G265">
        <v>443.34</v>
      </c>
      <c r="H265">
        <v>414.39</v>
      </c>
      <c r="I265">
        <v>3708</v>
      </c>
      <c r="J265">
        <v>74</v>
      </c>
      <c r="K265" s="17">
        <f t="shared" si="33"/>
        <v>9146.4</v>
      </c>
      <c r="L265" t="str">
        <f t="shared" si="34"/>
        <v>High Risk</v>
      </c>
      <c r="P265" s="19">
        <f t="shared" si="35"/>
        <v>8743</v>
      </c>
      <c r="R265" s="19">
        <f t="shared" si="32"/>
        <v>3623011.77</v>
      </c>
      <c r="T265" s="19">
        <f t="shared" si="36"/>
        <v>1643904.72</v>
      </c>
      <c r="U265" s="19">
        <f t="shared" si="37"/>
        <v>1536558.1199999999</v>
      </c>
      <c r="V265" s="21">
        <f t="shared" si="38"/>
        <v>-107346.60000000009</v>
      </c>
      <c r="W265" s="18">
        <f t="shared" si="39"/>
        <v>-6.5299769928271814E-2</v>
      </c>
    </row>
    <row r="266" spans="1:23" x14ac:dyDescent="0.3">
      <c r="A266" t="s">
        <v>2107</v>
      </c>
      <c r="B266" t="s">
        <v>2637</v>
      </c>
      <c r="C266" t="s">
        <v>12</v>
      </c>
      <c r="D266" t="s">
        <v>26</v>
      </c>
      <c r="E266">
        <v>405</v>
      </c>
      <c r="F266">
        <v>345.81</v>
      </c>
      <c r="G266">
        <v>304.55</v>
      </c>
      <c r="H266">
        <v>345.81</v>
      </c>
      <c r="I266">
        <v>3555</v>
      </c>
      <c r="J266">
        <v>66</v>
      </c>
      <c r="K266" s="17">
        <f t="shared" si="33"/>
        <v>7821</v>
      </c>
      <c r="L266" t="str">
        <f t="shared" si="34"/>
        <v>High Risk</v>
      </c>
      <c r="P266" s="19">
        <f t="shared" si="35"/>
        <v>7416</v>
      </c>
      <c r="R266" s="19">
        <f t="shared" si="32"/>
        <v>2564526.96</v>
      </c>
      <c r="T266" s="19">
        <f t="shared" si="36"/>
        <v>1082675.25</v>
      </c>
      <c r="U266" s="19">
        <f t="shared" si="37"/>
        <v>1229354.55</v>
      </c>
      <c r="V266" s="21">
        <f t="shared" si="38"/>
        <v>146679.30000000005</v>
      </c>
      <c r="W266" s="18">
        <f t="shared" si="39"/>
        <v>0.13547857494664264</v>
      </c>
    </row>
    <row r="267" spans="1:23" x14ac:dyDescent="0.3">
      <c r="A267" t="s">
        <v>453</v>
      </c>
      <c r="B267" t="s">
        <v>2217</v>
      </c>
      <c r="C267" t="s">
        <v>12</v>
      </c>
      <c r="D267" t="s">
        <v>26</v>
      </c>
      <c r="E267">
        <v>409</v>
      </c>
      <c r="F267">
        <v>514.65</v>
      </c>
      <c r="G267">
        <v>453.7</v>
      </c>
      <c r="H267">
        <v>514.65</v>
      </c>
      <c r="I267">
        <v>3047</v>
      </c>
      <c r="J267">
        <v>66</v>
      </c>
      <c r="K267" s="17">
        <f t="shared" si="33"/>
        <v>6703.4</v>
      </c>
      <c r="L267" t="str">
        <f t="shared" si="34"/>
        <v>High Risk</v>
      </c>
      <c r="P267" s="19">
        <f t="shared" si="35"/>
        <v>6295</v>
      </c>
      <c r="R267" s="19">
        <f t="shared" si="32"/>
        <v>3239721.75</v>
      </c>
      <c r="T267" s="19">
        <f t="shared" si="36"/>
        <v>1382423.9</v>
      </c>
      <c r="U267" s="19">
        <f t="shared" si="37"/>
        <v>1568138.55</v>
      </c>
      <c r="V267" s="21">
        <f t="shared" si="38"/>
        <v>185714.65000000014</v>
      </c>
      <c r="W267" s="18">
        <f t="shared" si="39"/>
        <v>0.13433987216222185</v>
      </c>
    </row>
    <row r="268" spans="1:23" x14ac:dyDescent="0.3">
      <c r="A268" t="s">
        <v>626</v>
      </c>
      <c r="B268" t="s">
        <v>3246</v>
      </c>
      <c r="C268" t="s">
        <v>16</v>
      </c>
      <c r="D268" t="s">
        <v>17</v>
      </c>
      <c r="E268">
        <v>412</v>
      </c>
      <c r="F268">
        <v>201.71</v>
      </c>
      <c r="G268">
        <v>171.76</v>
      </c>
      <c r="H268">
        <v>201.71</v>
      </c>
      <c r="I268">
        <v>3761</v>
      </c>
      <c r="J268">
        <v>33</v>
      </c>
      <c r="K268" s="17">
        <f t="shared" si="33"/>
        <v>4137.0999999999995</v>
      </c>
      <c r="L268" t="str">
        <f t="shared" si="34"/>
        <v>High Risk</v>
      </c>
      <c r="P268" s="19">
        <f t="shared" si="35"/>
        <v>3726</v>
      </c>
      <c r="R268" s="19">
        <f t="shared" si="32"/>
        <v>751571.46000000008</v>
      </c>
      <c r="T268" s="19">
        <f t="shared" si="36"/>
        <v>645989.36</v>
      </c>
      <c r="U268" s="19">
        <f t="shared" si="37"/>
        <v>758631.31</v>
      </c>
      <c r="V268" s="21">
        <f t="shared" si="38"/>
        <v>112641.95000000007</v>
      </c>
      <c r="W268" s="18">
        <f t="shared" si="39"/>
        <v>0.17437121564974395</v>
      </c>
    </row>
    <row r="269" spans="1:23" x14ac:dyDescent="0.3">
      <c r="A269" t="s">
        <v>535</v>
      </c>
      <c r="B269" t="s">
        <v>3291</v>
      </c>
      <c r="C269" t="s">
        <v>37</v>
      </c>
      <c r="D269" t="s">
        <v>17</v>
      </c>
      <c r="E269">
        <v>412</v>
      </c>
      <c r="F269">
        <v>408.27</v>
      </c>
      <c r="G269">
        <v>406.63</v>
      </c>
      <c r="H269">
        <v>408.27</v>
      </c>
      <c r="I269">
        <v>1284</v>
      </c>
      <c r="J269">
        <v>60</v>
      </c>
      <c r="K269" s="17">
        <f t="shared" si="33"/>
        <v>2568</v>
      </c>
      <c r="L269" t="str">
        <f t="shared" si="34"/>
        <v>High Risk</v>
      </c>
      <c r="P269" s="19">
        <f t="shared" si="35"/>
        <v>2156</v>
      </c>
      <c r="R269" s="19">
        <f t="shared" si="32"/>
        <v>880230.12</v>
      </c>
      <c r="T269" s="19">
        <f t="shared" si="36"/>
        <v>522112.92</v>
      </c>
      <c r="U269" s="19">
        <f t="shared" si="37"/>
        <v>524218.68</v>
      </c>
      <c r="V269" s="21">
        <f t="shared" si="38"/>
        <v>2105.7600000000093</v>
      </c>
      <c r="W269" s="18">
        <f t="shared" si="39"/>
        <v>4.0331505299658343E-3</v>
      </c>
    </row>
    <row r="270" spans="1:23" x14ac:dyDescent="0.3">
      <c r="A270" t="s">
        <v>374</v>
      </c>
      <c r="B270" t="s">
        <v>375</v>
      </c>
      <c r="C270" t="s">
        <v>37</v>
      </c>
      <c r="D270" t="s">
        <v>69</v>
      </c>
      <c r="E270">
        <v>415</v>
      </c>
      <c r="F270">
        <v>218.93</v>
      </c>
      <c r="G270">
        <v>242.44</v>
      </c>
      <c r="H270">
        <v>218.93</v>
      </c>
      <c r="I270">
        <v>3261</v>
      </c>
      <c r="J270">
        <v>62</v>
      </c>
      <c r="K270" s="17">
        <f t="shared" si="33"/>
        <v>6739.4000000000005</v>
      </c>
      <c r="L270" t="str">
        <f t="shared" si="34"/>
        <v>High Risk</v>
      </c>
      <c r="P270" s="19">
        <f t="shared" si="35"/>
        <v>6325</v>
      </c>
      <c r="R270" s="19">
        <f t="shared" si="32"/>
        <v>1384732.25</v>
      </c>
      <c r="T270" s="19">
        <f t="shared" si="36"/>
        <v>790596.84</v>
      </c>
      <c r="U270" s="19">
        <f t="shared" si="37"/>
        <v>713930.73</v>
      </c>
      <c r="V270" s="21">
        <f t="shared" si="38"/>
        <v>-76666.109999999986</v>
      </c>
      <c r="W270" s="18">
        <f t="shared" si="39"/>
        <v>-9.697244679095858E-2</v>
      </c>
    </row>
    <row r="271" spans="1:23" x14ac:dyDescent="0.3">
      <c r="A271" t="s">
        <v>581</v>
      </c>
      <c r="B271" t="s">
        <v>2617</v>
      </c>
      <c r="C271" t="s">
        <v>50</v>
      </c>
      <c r="D271" t="s">
        <v>13</v>
      </c>
      <c r="E271">
        <v>418</v>
      </c>
      <c r="F271">
        <v>466.21</v>
      </c>
      <c r="G271">
        <v>430.73</v>
      </c>
      <c r="H271">
        <v>466.21</v>
      </c>
      <c r="I271">
        <v>3146</v>
      </c>
      <c r="J271">
        <v>29</v>
      </c>
      <c r="K271" s="17">
        <f t="shared" si="33"/>
        <v>3041.1333333333332</v>
      </c>
      <c r="L271" t="str">
        <f t="shared" si="34"/>
        <v>High Risk</v>
      </c>
      <c r="P271" s="19">
        <f t="shared" si="35"/>
        <v>2624</v>
      </c>
      <c r="R271" s="19">
        <f t="shared" si="32"/>
        <v>1223335.04</v>
      </c>
      <c r="T271" s="19">
        <f t="shared" si="36"/>
        <v>1355076.58</v>
      </c>
      <c r="U271" s="19">
        <f t="shared" si="37"/>
        <v>1466696.66</v>
      </c>
      <c r="V271" s="21">
        <f t="shared" si="38"/>
        <v>111620.07999999984</v>
      </c>
      <c r="W271" s="18">
        <f t="shared" si="39"/>
        <v>8.2371787430640886E-2</v>
      </c>
    </row>
    <row r="272" spans="1:23" x14ac:dyDescent="0.3">
      <c r="A272" t="s">
        <v>917</v>
      </c>
      <c r="B272" t="s">
        <v>1974</v>
      </c>
      <c r="C272" t="s">
        <v>12</v>
      </c>
      <c r="D272" t="s">
        <v>26</v>
      </c>
      <c r="E272">
        <v>418</v>
      </c>
      <c r="F272">
        <v>370.11</v>
      </c>
      <c r="G272">
        <v>392.4</v>
      </c>
      <c r="H272">
        <v>370.11</v>
      </c>
      <c r="I272">
        <v>947</v>
      </c>
      <c r="J272">
        <v>61</v>
      </c>
      <c r="K272" s="17">
        <f t="shared" si="33"/>
        <v>1925.5666666666666</v>
      </c>
      <c r="L272" t="str">
        <f t="shared" si="34"/>
        <v>High Risk</v>
      </c>
      <c r="P272" s="19">
        <f t="shared" si="35"/>
        <v>1508</v>
      </c>
      <c r="R272" s="19">
        <f t="shared" si="32"/>
        <v>558125.88</v>
      </c>
      <c r="T272" s="19">
        <f t="shared" si="36"/>
        <v>371602.8</v>
      </c>
      <c r="U272" s="19">
        <f t="shared" si="37"/>
        <v>350494.17000000004</v>
      </c>
      <c r="V272" s="21">
        <f t="shared" si="38"/>
        <v>-21108.629999999946</v>
      </c>
      <c r="W272" s="18">
        <f t="shared" si="39"/>
        <v>-5.6804281345565609E-2</v>
      </c>
    </row>
    <row r="273" spans="1:23" x14ac:dyDescent="0.3">
      <c r="A273" t="s">
        <v>525</v>
      </c>
      <c r="B273" t="s">
        <v>2063</v>
      </c>
      <c r="C273" t="s">
        <v>16</v>
      </c>
      <c r="D273" t="s">
        <v>69</v>
      </c>
      <c r="E273">
        <v>419</v>
      </c>
      <c r="F273">
        <v>301.44</v>
      </c>
      <c r="G273">
        <v>328.66</v>
      </c>
      <c r="H273">
        <v>301.44</v>
      </c>
      <c r="I273">
        <v>1688</v>
      </c>
      <c r="J273">
        <v>37</v>
      </c>
      <c r="K273" s="17">
        <f t="shared" si="33"/>
        <v>2081.8666666666668</v>
      </c>
      <c r="L273" t="str">
        <f t="shared" si="34"/>
        <v>High Risk</v>
      </c>
      <c r="P273" s="19">
        <f t="shared" si="35"/>
        <v>1663</v>
      </c>
      <c r="R273" s="19">
        <f t="shared" si="32"/>
        <v>501294.72</v>
      </c>
      <c r="T273" s="19">
        <f t="shared" si="36"/>
        <v>554778.08000000007</v>
      </c>
      <c r="U273" s="19">
        <f t="shared" si="37"/>
        <v>508830.71999999997</v>
      </c>
      <c r="V273" s="21">
        <f t="shared" si="38"/>
        <v>-45947.360000000102</v>
      </c>
      <c r="W273" s="18">
        <f t="shared" si="39"/>
        <v>-8.2821152558875608E-2</v>
      </c>
    </row>
    <row r="274" spans="1:23" x14ac:dyDescent="0.3">
      <c r="A274" t="s">
        <v>541</v>
      </c>
      <c r="B274" t="s">
        <v>785</v>
      </c>
      <c r="C274" t="s">
        <v>50</v>
      </c>
      <c r="D274" t="s">
        <v>69</v>
      </c>
      <c r="E274">
        <v>421</v>
      </c>
      <c r="F274">
        <v>160.76</v>
      </c>
      <c r="G274">
        <v>140</v>
      </c>
      <c r="H274">
        <v>160.76</v>
      </c>
      <c r="I274">
        <v>2689</v>
      </c>
      <c r="J274">
        <v>56</v>
      </c>
      <c r="K274" s="17">
        <f t="shared" si="33"/>
        <v>5019.4666666666672</v>
      </c>
      <c r="L274" t="str">
        <f t="shared" si="34"/>
        <v>High Risk</v>
      </c>
      <c r="P274" s="19">
        <f t="shared" si="35"/>
        <v>4599</v>
      </c>
      <c r="R274" s="19">
        <f t="shared" si="32"/>
        <v>739335.24</v>
      </c>
      <c r="T274" s="19">
        <f t="shared" si="36"/>
        <v>376460</v>
      </c>
      <c r="U274" s="19">
        <f t="shared" si="37"/>
        <v>432283.63999999996</v>
      </c>
      <c r="V274" s="21">
        <f t="shared" si="38"/>
        <v>55823.639999999956</v>
      </c>
      <c r="W274" s="18">
        <f t="shared" si="39"/>
        <v>0.14828571428571416</v>
      </c>
    </row>
    <row r="275" spans="1:23" x14ac:dyDescent="0.3">
      <c r="A275" t="s">
        <v>127</v>
      </c>
      <c r="B275" t="s">
        <v>1744</v>
      </c>
      <c r="C275" t="s">
        <v>12</v>
      </c>
      <c r="D275" t="s">
        <v>20</v>
      </c>
      <c r="E275">
        <v>427</v>
      </c>
      <c r="F275">
        <v>263.19</v>
      </c>
      <c r="G275">
        <v>280.10000000000002</v>
      </c>
      <c r="H275">
        <v>263.19</v>
      </c>
      <c r="I275">
        <v>2472</v>
      </c>
      <c r="J275">
        <v>65</v>
      </c>
      <c r="K275" s="17">
        <f t="shared" si="33"/>
        <v>5356</v>
      </c>
      <c r="L275" t="str">
        <f t="shared" si="34"/>
        <v>High Risk</v>
      </c>
      <c r="P275" s="19">
        <f t="shared" si="35"/>
        <v>4929</v>
      </c>
      <c r="R275" s="19">
        <f t="shared" si="32"/>
        <v>1297263.51</v>
      </c>
      <c r="T275" s="19">
        <f t="shared" si="36"/>
        <v>692407.20000000007</v>
      </c>
      <c r="U275" s="19">
        <f t="shared" si="37"/>
        <v>650605.68000000005</v>
      </c>
      <c r="V275" s="21">
        <f t="shared" si="38"/>
        <v>-41801.520000000019</v>
      </c>
      <c r="W275" s="18">
        <f t="shared" si="39"/>
        <v>-6.0371295965726546E-2</v>
      </c>
    </row>
    <row r="276" spans="1:23" x14ac:dyDescent="0.3">
      <c r="A276" t="s">
        <v>51</v>
      </c>
      <c r="B276" t="s">
        <v>52</v>
      </c>
      <c r="C276" t="s">
        <v>23</v>
      </c>
      <c r="D276" t="s">
        <v>17</v>
      </c>
      <c r="E276">
        <v>430</v>
      </c>
      <c r="F276">
        <v>515.15</v>
      </c>
      <c r="G276">
        <v>476.15</v>
      </c>
      <c r="H276">
        <v>515.15</v>
      </c>
      <c r="I276">
        <v>1226</v>
      </c>
      <c r="J276">
        <v>32</v>
      </c>
      <c r="K276" s="17">
        <f t="shared" si="33"/>
        <v>1307.7333333333333</v>
      </c>
      <c r="L276" t="str">
        <f t="shared" si="34"/>
        <v>High Risk</v>
      </c>
      <c r="P276" s="19">
        <f t="shared" si="35"/>
        <v>878</v>
      </c>
      <c r="R276" s="19">
        <f t="shared" si="32"/>
        <v>452301.69999999995</v>
      </c>
      <c r="T276" s="19">
        <f t="shared" si="36"/>
        <v>583759.9</v>
      </c>
      <c r="U276" s="19">
        <f t="shared" si="37"/>
        <v>631573.9</v>
      </c>
      <c r="V276" s="21">
        <f t="shared" si="38"/>
        <v>47814</v>
      </c>
      <c r="W276" s="18">
        <f t="shared" si="39"/>
        <v>8.1906962091777794E-2</v>
      </c>
    </row>
    <row r="277" spans="1:23" x14ac:dyDescent="0.3">
      <c r="A277" t="s">
        <v>597</v>
      </c>
      <c r="B277" t="s">
        <v>598</v>
      </c>
      <c r="C277" t="s">
        <v>50</v>
      </c>
      <c r="D277" t="s">
        <v>20</v>
      </c>
      <c r="E277">
        <v>432</v>
      </c>
      <c r="F277">
        <v>381.63</v>
      </c>
      <c r="G277">
        <v>340.04</v>
      </c>
      <c r="H277">
        <v>381.63</v>
      </c>
      <c r="I277">
        <v>2450</v>
      </c>
      <c r="J277">
        <v>38</v>
      </c>
      <c r="K277" s="17">
        <f t="shared" si="33"/>
        <v>3103.3333333333335</v>
      </c>
      <c r="L277" t="str">
        <f t="shared" si="34"/>
        <v>High Risk</v>
      </c>
      <c r="P277" s="19">
        <f t="shared" si="35"/>
        <v>2672</v>
      </c>
      <c r="R277" s="19">
        <f t="shared" si="32"/>
        <v>1019715.36</v>
      </c>
      <c r="T277" s="19">
        <f t="shared" si="36"/>
        <v>833098</v>
      </c>
      <c r="U277" s="19">
        <f t="shared" si="37"/>
        <v>934993.5</v>
      </c>
      <c r="V277" s="21">
        <f t="shared" si="38"/>
        <v>101895.5</v>
      </c>
      <c r="W277" s="18">
        <f t="shared" si="39"/>
        <v>0.12230914010116457</v>
      </c>
    </row>
    <row r="278" spans="1:23" x14ac:dyDescent="0.3">
      <c r="A278" t="s">
        <v>668</v>
      </c>
      <c r="B278" t="s">
        <v>1374</v>
      </c>
      <c r="C278" t="s">
        <v>16</v>
      </c>
      <c r="D278" t="s">
        <v>20</v>
      </c>
      <c r="E278">
        <v>433</v>
      </c>
      <c r="F278">
        <v>215.48</v>
      </c>
      <c r="G278">
        <v>197.81</v>
      </c>
      <c r="H278">
        <v>215.48</v>
      </c>
      <c r="I278">
        <v>1892</v>
      </c>
      <c r="J278">
        <v>30</v>
      </c>
      <c r="K278" s="17">
        <f t="shared" si="33"/>
        <v>1892</v>
      </c>
      <c r="L278" t="str">
        <f t="shared" si="34"/>
        <v>High Risk</v>
      </c>
      <c r="P278" s="19">
        <f t="shared" si="35"/>
        <v>1459</v>
      </c>
      <c r="R278" s="19">
        <f t="shared" si="32"/>
        <v>314385.32</v>
      </c>
      <c r="T278" s="19">
        <f t="shared" si="36"/>
        <v>374256.52</v>
      </c>
      <c r="U278" s="19">
        <f t="shared" si="37"/>
        <v>407688.16</v>
      </c>
      <c r="V278" s="21">
        <f t="shared" si="38"/>
        <v>33431.639999999956</v>
      </c>
      <c r="W278" s="18">
        <f t="shared" si="39"/>
        <v>8.9328143167686044E-2</v>
      </c>
    </row>
    <row r="279" spans="1:23" x14ac:dyDescent="0.3">
      <c r="A279" t="s">
        <v>739</v>
      </c>
      <c r="B279" t="s">
        <v>2360</v>
      </c>
      <c r="C279" t="s">
        <v>12</v>
      </c>
      <c r="D279" t="s">
        <v>26</v>
      </c>
      <c r="E279">
        <v>436</v>
      </c>
      <c r="F279">
        <v>157.97</v>
      </c>
      <c r="G279">
        <v>141.57</v>
      </c>
      <c r="H279">
        <v>157.97</v>
      </c>
      <c r="I279">
        <v>2488</v>
      </c>
      <c r="J279">
        <v>77</v>
      </c>
      <c r="K279" s="17">
        <f t="shared" si="33"/>
        <v>6385.8666666666668</v>
      </c>
      <c r="L279" t="str">
        <f t="shared" si="34"/>
        <v>High Risk</v>
      </c>
      <c r="P279" s="19">
        <f t="shared" si="35"/>
        <v>5950</v>
      </c>
      <c r="R279" s="19">
        <f t="shared" si="32"/>
        <v>939921.5</v>
      </c>
      <c r="T279" s="19">
        <f t="shared" si="36"/>
        <v>352226.16</v>
      </c>
      <c r="U279" s="19">
        <f t="shared" si="37"/>
        <v>393029.36</v>
      </c>
      <c r="V279" s="21">
        <f t="shared" si="38"/>
        <v>40803.200000000012</v>
      </c>
      <c r="W279" s="18">
        <f t="shared" si="39"/>
        <v>0.11584375220738861</v>
      </c>
    </row>
    <row r="280" spans="1:23" x14ac:dyDescent="0.3">
      <c r="A280" t="s">
        <v>535</v>
      </c>
      <c r="B280" t="s">
        <v>3115</v>
      </c>
      <c r="C280" t="s">
        <v>50</v>
      </c>
      <c r="D280" t="s">
        <v>69</v>
      </c>
      <c r="E280">
        <v>437</v>
      </c>
      <c r="F280">
        <v>15.15</v>
      </c>
      <c r="G280">
        <v>13.34</v>
      </c>
      <c r="H280">
        <v>15.15</v>
      </c>
      <c r="I280">
        <v>937</v>
      </c>
      <c r="J280">
        <v>84</v>
      </c>
      <c r="K280" s="17">
        <f t="shared" si="33"/>
        <v>2623.6</v>
      </c>
      <c r="L280" t="str">
        <f t="shared" si="34"/>
        <v>High Risk</v>
      </c>
      <c r="P280" s="19">
        <f t="shared" si="35"/>
        <v>2187</v>
      </c>
      <c r="R280" s="19">
        <f t="shared" si="32"/>
        <v>33133.050000000003</v>
      </c>
      <c r="T280" s="19">
        <f t="shared" si="36"/>
        <v>12499.58</v>
      </c>
      <c r="U280" s="19">
        <f t="shared" si="37"/>
        <v>14195.550000000001</v>
      </c>
      <c r="V280" s="21">
        <f t="shared" si="38"/>
        <v>1695.9700000000012</v>
      </c>
      <c r="W280" s="18">
        <f t="shared" si="39"/>
        <v>0.13568215892053984</v>
      </c>
    </row>
    <row r="281" spans="1:23" x14ac:dyDescent="0.3">
      <c r="A281" t="s">
        <v>138</v>
      </c>
      <c r="B281" t="s">
        <v>2720</v>
      </c>
      <c r="C281" t="s">
        <v>16</v>
      </c>
      <c r="D281" t="s">
        <v>13</v>
      </c>
      <c r="E281">
        <v>440</v>
      </c>
      <c r="F281">
        <v>360.22</v>
      </c>
      <c r="G281">
        <v>331.64</v>
      </c>
      <c r="H281">
        <v>360.22</v>
      </c>
      <c r="I281">
        <v>2890</v>
      </c>
      <c r="J281">
        <v>15</v>
      </c>
      <c r="K281" s="17">
        <f t="shared" si="33"/>
        <v>1445</v>
      </c>
      <c r="L281" t="str">
        <f t="shared" si="34"/>
        <v>High Risk</v>
      </c>
      <c r="P281" s="19">
        <f t="shared" si="35"/>
        <v>1005</v>
      </c>
      <c r="R281" s="19">
        <f t="shared" si="32"/>
        <v>362021.10000000003</v>
      </c>
      <c r="T281" s="19">
        <f t="shared" si="36"/>
        <v>958439.6</v>
      </c>
      <c r="U281" s="19">
        <f t="shared" si="37"/>
        <v>1041035.8</v>
      </c>
      <c r="V281" s="21">
        <f t="shared" si="38"/>
        <v>82596.20000000007</v>
      </c>
      <c r="W281" s="18">
        <f t="shared" si="39"/>
        <v>8.6177783138342859E-2</v>
      </c>
    </row>
    <row r="282" spans="1:23" x14ac:dyDescent="0.3">
      <c r="A282" t="s">
        <v>72</v>
      </c>
      <c r="B282" t="s">
        <v>2995</v>
      </c>
      <c r="C282" t="s">
        <v>16</v>
      </c>
      <c r="D282" t="s">
        <v>26</v>
      </c>
      <c r="E282">
        <v>442</v>
      </c>
      <c r="F282">
        <v>164.82</v>
      </c>
      <c r="G282">
        <v>152.84</v>
      </c>
      <c r="H282">
        <v>164.82</v>
      </c>
      <c r="I282">
        <v>1795</v>
      </c>
      <c r="J282">
        <v>44</v>
      </c>
      <c r="K282" s="17">
        <f t="shared" si="33"/>
        <v>2632.666666666667</v>
      </c>
      <c r="L282" t="str">
        <f t="shared" si="34"/>
        <v>High Risk</v>
      </c>
      <c r="P282" s="19">
        <f t="shared" si="35"/>
        <v>2191</v>
      </c>
      <c r="R282" s="19">
        <f t="shared" si="32"/>
        <v>361120.62</v>
      </c>
      <c r="T282" s="19">
        <f t="shared" si="36"/>
        <v>274347.8</v>
      </c>
      <c r="U282" s="19">
        <f t="shared" si="37"/>
        <v>295851.89999999997</v>
      </c>
      <c r="V282" s="21">
        <f t="shared" si="38"/>
        <v>21504.099999999977</v>
      </c>
      <c r="W282" s="18">
        <f t="shared" si="39"/>
        <v>7.8382622350170031E-2</v>
      </c>
    </row>
    <row r="283" spans="1:23" x14ac:dyDescent="0.3">
      <c r="A283" t="s">
        <v>231</v>
      </c>
      <c r="B283" t="s">
        <v>2957</v>
      </c>
      <c r="C283" t="s">
        <v>50</v>
      </c>
      <c r="D283" t="s">
        <v>13</v>
      </c>
      <c r="E283">
        <v>442</v>
      </c>
      <c r="F283">
        <v>118.93</v>
      </c>
      <c r="G283">
        <v>128.35</v>
      </c>
      <c r="H283">
        <v>118.93</v>
      </c>
      <c r="I283">
        <v>2975</v>
      </c>
      <c r="J283">
        <v>51</v>
      </c>
      <c r="K283" s="17">
        <f t="shared" si="33"/>
        <v>5057.5</v>
      </c>
      <c r="L283" t="str">
        <f t="shared" si="34"/>
        <v>High Risk</v>
      </c>
      <c r="P283" s="19">
        <f t="shared" si="35"/>
        <v>4616</v>
      </c>
      <c r="R283" s="19">
        <f t="shared" si="32"/>
        <v>548980.88</v>
      </c>
      <c r="T283" s="19">
        <f t="shared" si="36"/>
        <v>381841.25</v>
      </c>
      <c r="U283" s="19">
        <f t="shared" si="37"/>
        <v>353816.75</v>
      </c>
      <c r="V283" s="21">
        <f t="shared" si="38"/>
        <v>-28024.5</v>
      </c>
      <c r="W283" s="18">
        <f t="shared" si="39"/>
        <v>-7.3393065835605759E-2</v>
      </c>
    </row>
    <row r="284" spans="1:23" x14ac:dyDescent="0.3">
      <c r="A284" t="s">
        <v>668</v>
      </c>
      <c r="B284" t="s">
        <v>965</v>
      </c>
      <c r="C284" t="s">
        <v>23</v>
      </c>
      <c r="D284" t="s">
        <v>26</v>
      </c>
      <c r="E284">
        <v>442</v>
      </c>
      <c r="F284">
        <v>463.51</v>
      </c>
      <c r="G284">
        <v>411.38</v>
      </c>
      <c r="H284">
        <v>463.51</v>
      </c>
      <c r="I284">
        <v>657</v>
      </c>
      <c r="J284">
        <v>34</v>
      </c>
      <c r="K284" s="17">
        <f t="shared" si="33"/>
        <v>744.59999999999991</v>
      </c>
      <c r="L284" t="str">
        <f t="shared" si="34"/>
        <v>High Risk</v>
      </c>
      <c r="P284" s="19">
        <f t="shared" si="35"/>
        <v>303</v>
      </c>
      <c r="R284" s="19">
        <f t="shared" si="32"/>
        <v>140443.53</v>
      </c>
      <c r="T284" s="19">
        <f t="shared" si="36"/>
        <v>270276.65999999997</v>
      </c>
      <c r="U284" s="19">
        <f t="shared" si="37"/>
        <v>304526.07</v>
      </c>
      <c r="V284" s="21">
        <f t="shared" si="38"/>
        <v>34249.410000000033</v>
      </c>
      <c r="W284" s="18">
        <f t="shared" si="39"/>
        <v>0.12671982108998991</v>
      </c>
    </row>
    <row r="285" spans="1:23" x14ac:dyDescent="0.3">
      <c r="A285" t="s">
        <v>266</v>
      </c>
      <c r="B285" t="s">
        <v>3286</v>
      </c>
      <c r="C285" t="s">
        <v>12</v>
      </c>
      <c r="D285" t="s">
        <v>13</v>
      </c>
      <c r="E285">
        <v>443</v>
      </c>
      <c r="F285">
        <v>182.18</v>
      </c>
      <c r="G285">
        <v>165.33</v>
      </c>
      <c r="H285">
        <v>182.18</v>
      </c>
      <c r="I285">
        <v>3001</v>
      </c>
      <c r="J285">
        <v>68</v>
      </c>
      <c r="K285" s="17">
        <f t="shared" si="33"/>
        <v>6802.2666666666664</v>
      </c>
      <c r="L285" t="str">
        <f t="shared" si="34"/>
        <v>High Risk</v>
      </c>
      <c r="P285" s="19">
        <f t="shared" si="35"/>
        <v>6360</v>
      </c>
      <c r="R285" s="19">
        <f t="shared" si="32"/>
        <v>1158664.8</v>
      </c>
      <c r="T285" s="19">
        <f t="shared" si="36"/>
        <v>496155.33</v>
      </c>
      <c r="U285" s="19">
        <f t="shared" si="37"/>
        <v>546722.18000000005</v>
      </c>
      <c r="V285" s="21">
        <f t="shared" si="38"/>
        <v>50566.850000000035</v>
      </c>
      <c r="W285" s="18">
        <f t="shared" si="39"/>
        <v>0.10191737736647923</v>
      </c>
    </row>
    <row r="286" spans="1:23" x14ac:dyDescent="0.3">
      <c r="A286" t="s">
        <v>320</v>
      </c>
      <c r="B286" t="s">
        <v>2465</v>
      </c>
      <c r="C286" t="s">
        <v>23</v>
      </c>
      <c r="D286" t="s">
        <v>69</v>
      </c>
      <c r="E286">
        <v>444</v>
      </c>
      <c r="F286">
        <v>244.92</v>
      </c>
      <c r="G286">
        <v>224.25</v>
      </c>
      <c r="H286">
        <v>244.92</v>
      </c>
      <c r="I286">
        <v>3111</v>
      </c>
      <c r="J286">
        <v>27</v>
      </c>
      <c r="K286" s="17">
        <f t="shared" si="33"/>
        <v>2799.9</v>
      </c>
      <c r="L286" t="str">
        <f t="shared" si="34"/>
        <v>High Risk</v>
      </c>
      <c r="P286" s="19">
        <f t="shared" si="35"/>
        <v>2356</v>
      </c>
      <c r="R286" s="19">
        <f t="shared" si="32"/>
        <v>577031.52</v>
      </c>
      <c r="T286" s="19">
        <f t="shared" si="36"/>
        <v>697641.75</v>
      </c>
      <c r="U286" s="19">
        <f t="shared" si="37"/>
        <v>761946.12</v>
      </c>
      <c r="V286" s="21">
        <f t="shared" si="38"/>
        <v>64304.369999999995</v>
      </c>
      <c r="W286" s="18">
        <f t="shared" si="39"/>
        <v>9.2173913043478259E-2</v>
      </c>
    </row>
    <row r="287" spans="1:23" x14ac:dyDescent="0.3">
      <c r="A287" t="s">
        <v>1146</v>
      </c>
      <c r="B287" t="s">
        <v>2764</v>
      </c>
      <c r="C287" t="s">
        <v>50</v>
      </c>
      <c r="D287" t="s">
        <v>69</v>
      </c>
      <c r="E287">
        <v>444</v>
      </c>
      <c r="F287">
        <v>407.94</v>
      </c>
      <c r="G287">
        <v>432.36</v>
      </c>
      <c r="H287">
        <v>407.94</v>
      </c>
      <c r="I287">
        <v>3439</v>
      </c>
      <c r="J287">
        <v>48</v>
      </c>
      <c r="K287" s="17">
        <f t="shared" si="33"/>
        <v>5502.4000000000005</v>
      </c>
      <c r="L287" t="str">
        <f t="shared" si="34"/>
        <v>High Risk</v>
      </c>
      <c r="P287" s="19">
        <f t="shared" si="35"/>
        <v>5059</v>
      </c>
      <c r="R287" s="19">
        <f t="shared" si="32"/>
        <v>2063768.46</v>
      </c>
      <c r="T287" s="19">
        <f t="shared" si="36"/>
        <v>1486886.04</v>
      </c>
      <c r="U287" s="19">
        <f t="shared" si="37"/>
        <v>1402905.66</v>
      </c>
      <c r="V287" s="21">
        <f t="shared" si="38"/>
        <v>-83980.380000000121</v>
      </c>
      <c r="W287" s="18">
        <f t="shared" si="39"/>
        <v>-5.6480710519012017E-2</v>
      </c>
    </row>
    <row r="288" spans="1:23" x14ac:dyDescent="0.3">
      <c r="A288" t="s">
        <v>138</v>
      </c>
      <c r="B288" t="s">
        <v>139</v>
      </c>
      <c r="C288" t="s">
        <v>23</v>
      </c>
      <c r="D288" t="s">
        <v>20</v>
      </c>
      <c r="E288">
        <v>446</v>
      </c>
      <c r="F288">
        <v>322.63</v>
      </c>
      <c r="G288">
        <v>316.95</v>
      </c>
      <c r="H288">
        <v>322.63</v>
      </c>
      <c r="I288">
        <v>938</v>
      </c>
      <c r="J288">
        <v>12</v>
      </c>
      <c r="K288" s="17">
        <f t="shared" si="33"/>
        <v>375.2</v>
      </c>
      <c r="L288" t="str">
        <f t="shared" si="34"/>
        <v>Sufficuent Stock</v>
      </c>
      <c r="P288" s="19">
        <f t="shared" si="35"/>
        <v>0</v>
      </c>
      <c r="R288" s="19">
        <f t="shared" si="32"/>
        <v>0</v>
      </c>
      <c r="T288" s="19">
        <f t="shared" si="36"/>
        <v>297299.09999999998</v>
      </c>
      <c r="U288" s="19">
        <f t="shared" si="37"/>
        <v>302626.94</v>
      </c>
      <c r="V288" s="21">
        <f t="shared" si="38"/>
        <v>5327.8400000000256</v>
      </c>
      <c r="W288" s="18">
        <f t="shared" si="39"/>
        <v>1.7920807698375226E-2</v>
      </c>
    </row>
    <row r="289" spans="1:23" x14ac:dyDescent="0.3">
      <c r="A289" t="s">
        <v>629</v>
      </c>
      <c r="B289" t="s">
        <v>2887</v>
      </c>
      <c r="C289" t="s">
        <v>23</v>
      </c>
      <c r="D289" t="s">
        <v>20</v>
      </c>
      <c r="E289">
        <v>446</v>
      </c>
      <c r="F289">
        <v>117.67</v>
      </c>
      <c r="G289">
        <v>98.24</v>
      </c>
      <c r="H289">
        <v>117.67</v>
      </c>
      <c r="I289">
        <v>3490</v>
      </c>
      <c r="J289">
        <v>17</v>
      </c>
      <c r="K289" s="17">
        <f t="shared" si="33"/>
        <v>1977.6666666666665</v>
      </c>
      <c r="L289" t="str">
        <f t="shared" si="34"/>
        <v>High Risk</v>
      </c>
      <c r="P289" s="19">
        <f t="shared" si="35"/>
        <v>1532</v>
      </c>
      <c r="R289" s="19">
        <f t="shared" si="32"/>
        <v>180270.44</v>
      </c>
      <c r="T289" s="19">
        <f t="shared" si="36"/>
        <v>342857.6</v>
      </c>
      <c r="U289" s="19">
        <f t="shared" si="37"/>
        <v>410668.3</v>
      </c>
      <c r="V289" s="21">
        <f t="shared" si="38"/>
        <v>67810.700000000012</v>
      </c>
      <c r="W289" s="18">
        <f t="shared" si="39"/>
        <v>0.19778094462540721</v>
      </c>
    </row>
    <row r="290" spans="1:23" x14ac:dyDescent="0.3">
      <c r="A290" t="s">
        <v>721</v>
      </c>
      <c r="B290" t="s">
        <v>722</v>
      </c>
      <c r="C290" t="s">
        <v>50</v>
      </c>
      <c r="D290" t="s">
        <v>26</v>
      </c>
      <c r="E290">
        <v>448</v>
      </c>
      <c r="F290">
        <v>86.45</v>
      </c>
      <c r="G290">
        <v>80.5</v>
      </c>
      <c r="H290">
        <v>86.45</v>
      </c>
      <c r="I290">
        <v>700</v>
      </c>
      <c r="J290">
        <v>49</v>
      </c>
      <c r="K290" s="17">
        <f t="shared" si="33"/>
        <v>1143.3333333333333</v>
      </c>
      <c r="L290" t="str">
        <f t="shared" si="34"/>
        <v>High Risk</v>
      </c>
      <c r="P290" s="19">
        <f t="shared" si="35"/>
        <v>696</v>
      </c>
      <c r="R290" s="19">
        <f t="shared" si="32"/>
        <v>60169.200000000004</v>
      </c>
      <c r="T290" s="19">
        <f t="shared" si="36"/>
        <v>56350</v>
      </c>
      <c r="U290" s="19">
        <f t="shared" si="37"/>
        <v>60515</v>
      </c>
      <c r="V290" s="21">
        <f t="shared" si="38"/>
        <v>4165</v>
      </c>
      <c r="W290" s="18">
        <f t="shared" si="39"/>
        <v>7.3913043478260873E-2</v>
      </c>
    </row>
    <row r="291" spans="1:23" x14ac:dyDescent="0.3">
      <c r="A291" t="s">
        <v>927</v>
      </c>
      <c r="B291" t="s">
        <v>928</v>
      </c>
      <c r="C291" t="s">
        <v>37</v>
      </c>
      <c r="D291" t="s">
        <v>13</v>
      </c>
      <c r="E291">
        <v>448</v>
      </c>
      <c r="F291">
        <v>155.24</v>
      </c>
      <c r="G291">
        <v>160.62</v>
      </c>
      <c r="H291">
        <v>155.24</v>
      </c>
      <c r="I291">
        <v>2719</v>
      </c>
      <c r="J291">
        <v>23</v>
      </c>
      <c r="K291" s="17">
        <f t="shared" si="33"/>
        <v>2084.5666666666666</v>
      </c>
      <c r="L291" t="str">
        <f t="shared" si="34"/>
        <v>High Risk</v>
      </c>
      <c r="P291" s="19">
        <f t="shared" si="35"/>
        <v>1637</v>
      </c>
      <c r="R291" s="19">
        <f t="shared" si="32"/>
        <v>254127.88</v>
      </c>
      <c r="T291" s="19">
        <f t="shared" si="36"/>
        <v>436725.78</v>
      </c>
      <c r="U291" s="19">
        <f t="shared" si="37"/>
        <v>422097.56</v>
      </c>
      <c r="V291" s="21">
        <f t="shared" si="38"/>
        <v>-14628.22000000003</v>
      </c>
      <c r="W291" s="18">
        <f t="shared" si="39"/>
        <v>-3.3495206076453808E-2</v>
      </c>
    </row>
    <row r="292" spans="1:23" x14ac:dyDescent="0.3">
      <c r="A292" t="s">
        <v>494</v>
      </c>
      <c r="B292" t="s">
        <v>948</v>
      </c>
      <c r="C292" t="s">
        <v>12</v>
      </c>
      <c r="D292" t="s">
        <v>20</v>
      </c>
      <c r="E292">
        <v>449</v>
      </c>
      <c r="F292">
        <v>254.03</v>
      </c>
      <c r="G292">
        <v>233.21</v>
      </c>
      <c r="H292">
        <v>254.03</v>
      </c>
      <c r="I292">
        <v>495</v>
      </c>
      <c r="J292">
        <v>46</v>
      </c>
      <c r="K292" s="17">
        <f t="shared" si="33"/>
        <v>759</v>
      </c>
      <c r="L292" t="str">
        <f t="shared" si="34"/>
        <v>High Risk</v>
      </c>
      <c r="P292" s="19">
        <f t="shared" si="35"/>
        <v>310</v>
      </c>
      <c r="R292" s="19">
        <f t="shared" si="32"/>
        <v>78749.3</v>
      </c>
      <c r="T292" s="19">
        <f t="shared" si="36"/>
        <v>115438.95</v>
      </c>
      <c r="U292" s="19">
        <f t="shared" si="37"/>
        <v>125744.85</v>
      </c>
      <c r="V292" s="21">
        <f t="shared" si="38"/>
        <v>10305.900000000009</v>
      </c>
      <c r="W292" s="18">
        <f t="shared" si="39"/>
        <v>8.9275760044595073E-2</v>
      </c>
    </row>
    <row r="293" spans="1:23" x14ac:dyDescent="0.3">
      <c r="A293" t="s">
        <v>157</v>
      </c>
      <c r="B293" t="s">
        <v>1950</v>
      </c>
      <c r="C293" t="s">
        <v>50</v>
      </c>
      <c r="D293" t="s">
        <v>13</v>
      </c>
      <c r="E293">
        <v>450</v>
      </c>
      <c r="F293">
        <v>388.5</v>
      </c>
      <c r="G293">
        <v>349.93</v>
      </c>
      <c r="H293">
        <v>388.5</v>
      </c>
      <c r="I293">
        <v>241</v>
      </c>
      <c r="J293">
        <v>54</v>
      </c>
      <c r="K293" s="17">
        <f t="shared" si="33"/>
        <v>433.8</v>
      </c>
      <c r="L293" t="str">
        <f t="shared" si="34"/>
        <v>Sufficuent Stock</v>
      </c>
      <c r="P293" s="19">
        <f t="shared" si="35"/>
        <v>0</v>
      </c>
      <c r="R293" s="19">
        <f t="shared" si="32"/>
        <v>0</v>
      </c>
      <c r="T293" s="19">
        <f t="shared" si="36"/>
        <v>84333.13</v>
      </c>
      <c r="U293" s="19">
        <f t="shared" si="37"/>
        <v>93628.5</v>
      </c>
      <c r="V293" s="21">
        <f t="shared" si="38"/>
        <v>9295.3699999999953</v>
      </c>
      <c r="W293" s="18">
        <f t="shared" si="39"/>
        <v>0.11022204440888171</v>
      </c>
    </row>
    <row r="294" spans="1:23" x14ac:dyDescent="0.3">
      <c r="A294" t="s">
        <v>273</v>
      </c>
      <c r="B294" t="s">
        <v>2576</v>
      </c>
      <c r="C294" t="s">
        <v>12</v>
      </c>
      <c r="D294" t="s">
        <v>13</v>
      </c>
      <c r="E294">
        <v>450</v>
      </c>
      <c r="F294">
        <v>165.05</v>
      </c>
      <c r="G294">
        <v>150.77000000000001</v>
      </c>
      <c r="H294">
        <v>165.05</v>
      </c>
      <c r="I294">
        <v>3264</v>
      </c>
      <c r="J294">
        <v>9</v>
      </c>
      <c r="K294" s="17">
        <f t="shared" si="33"/>
        <v>979.19999999999993</v>
      </c>
      <c r="L294" t="str">
        <f t="shared" si="34"/>
        <v>High Risk</v>
      </c>
      <c r="P294" s="19">
        <f t="shared" si="35"/>
        <v>530</v>
      </c>
      <c r="R294" s="19">
        <f t="shared" si="32"/>
        <v>87476.5</v>
      </c>
      <c r="T294" s="19">
        <f t="shared" si="36"/>
        <v>492113.28</v>
      </c>
      <c r="U294" s="19">
        <f t="shared" si="37"/>
        <v>538723.20000000007</v>
      </c>
      <c r="V294" s="21">
        <f t="shared" si="38"/>
        <v>46609.920000000042</v>
      </c>
      <c r="W294" s="18">
        <f t="shared" si="39"/>
        <v>9.4713802480599671E-2</v>
      </c>
    </row>
    <row r="295" spans="1:23" x14ac:dyDescent="0.3">
      <c r="A295" t="s">
        <v>432</v>
      </c>
      <c r="B295" t="s">
        <v>2585</v>
      </c>
      <c r="C295" t="s">
        <v>37</v>
      </c>
      <c r="D295" t="s">
        <v>20</v>
      </c>
      <c r="E295">
        <v>451</v>
      </c>
      <c r="F295">
        <v>231.41</v>
      </c>
      <c r="G295">
        <v>238.66</v>
      </c>
      <c r="H295">
        <v>231.41</v>
      </c>
      <c r="I295">
        <v>1485</v>
      </c>
      <c r="J295">
        <v>17</v>
      </c>
      <c r="K295" s="17">
        <f t="shared" si="33"/>
        <v>841.5</v>
      </c>
      <c r="L295" t="str">
        <f t="shared" si="34"/>
        <v>High Risk</v>
      </c>
      <c r="P295" s="19">
        <f t="shared" si="35"/>
        <v>391</v>
      </c>
      <c r="R295" s="19">
        <f t="shared" si="32"/>
        <v>90481.31</v>
      </c>
      <c r="T295" s="19">
        <f t="shared" si="36"/>
        <v>354410.1</v>
      </c>
      <c r="U295" s="19">
        <f t="shared" si="37"/>
        <v>343643.85</v>
      </c>
      <c r="V295" s="21">
        <f t="shared" si="38"/>
        <v>-10766.25</v>
      </c>
      <c r="W295" s="18">
        <f t="shared" si="39"/>
        <v>-3.0377943517975365E-2</v>
      </c>
    </row>
    <row r="296" spans="1:23" x14ac:dyDescent="0.3">
      <c r="A296" t="s">
        <v>615</v>
      </c>
      <c r="B296" t="s">
        <v>2979</v>
      </c>
      <c r="C296" t="s">
        <v>16</v>
      </c>
      <c r="D296" t="s">
        <v>20</v>
      </c>
      <c r="E296">
        <v>452</v>
      </c>
      <c r="F296">
        <v>11.64</v>
      </c>
      <c r="G296">
        <v>10.37</v>
      </c>
      <c r="H296">
        <v>11.64</v>
      </c>
      <c r="I296">
        <v>3711</v>
      </c>
      <c r="J296">
        <v>12</v>
      </c>
      <c r="K296" s="17">
        <f t="shared" si="33"/>
        <v>1484.4</v>
      </c>
      <c r="L296" t="str">
        <f t="shared" si="34"/>
        <v>High Risk</v>
      </c>
      <c r="P296" s="19">
        <f t="shared" si="35"/>
        <v>1033</v>
      </c>
      <c r="R296" s="19">
        <f t="shared" si="32"/>
        <v>12024.12</v>
      </c>
      <c r="T296" s="19">
        <f t="shared" si="36"/>
        <v>38483.07</v>
      </c>
      <c r="U296" s="19">
        <f t="shared" si="37"/>
        <v>43196.04</v>
      </c>
      <c r="V296" s="21">
        <f t="shared" si="38"/>
        <v>4712.9700000000012</v>
      </c>
      <c r="W296" s="18">
        <f t="shared" si="39"/>
        <v>0.12246865959498557</v>
      </c>
    </row>
    <row r="297" spans="1:23" x14ac:dyDescent="0.3">
      <c r="A297" t="s">
        <v>867</v>
      </c>
      <c r="B297" t="s">
        <v>2958</v>
      </c>
      <c r="C297" t="s">
        <v>23</v>
      </c>
      <c r="D297" t="s">
        <v>20</v>
      </c>
      <c r="E297">
        <v>454</v>
      </c>
      <c r="F297">
        <v>323.56</v>
      </c>
      <c r="G297">
        <v>277.23</v>
      </c>
      <c r="H297">
        <v>323.56</v>
      </c>
      <c r="I297">
        <v>219</v>
      </c>
      <c r="J297">
        <v>42</v>
      </c>
      <c r="K297" s="17">
        <f t="shared" si="33"/>
        <v>306.59999999999997</v>
      </c>
      <c r="L297" t="str">
        <f t="shared" si="34"/>
        <v>Sufficuent Stock</v>
      </c>
      <c r="P297" s="19">
        <f t="shared" si="35"/>
        <v>0</v>
      </c>
      <c r="R297" s="19">
        <f t="shared" si="32"/>
        <v>0</v>
      </c>
      <c r="T297" s="19">
        <f t="shared" si="36"/>
        <v>60713.37</v>
      </c>
      <c r="U297" s="19">
        <f t="shared" si="37"/>
        <v>70859.64</v>
      </c>
      <c r="V297" s="21">
        <f t="shared" si="38"/>
        <v>10146.269999999997</v>
      </c>
      <c r="W297" s="18">
        <f t="shared" si="39"/>
        <v>0.16711755582007715</v>
      </c>
    </row>
    <row r="298" spans="1:23" x14ac:dyDescent="0.3">
      <c r="A298" t="s">
        <v>896</v>
      </c>
      <c r="B298" t="s">
        <v>2792</v>
      </c>
      <c r="C298" t="s">
        <v>12</v>
      </c>
      <c r="D298" t="s">
        <v>69</v>
      </c>
      <c r="E298">
        <v>454</v>
      </c>
      <c r="F298">
        <v>354.29</v>
      </c>
      <c r="G298">
        <v>356.91</v>
      </c>
      <c r="H298">
        <v>354.29</v>
      </c>
      <c r="I298">
        <v>2660</v>
      </c>
      <c r="J298">
        <v>81</v>
      </c>
      <c r="K298" s="17">
        <f t="shared" si="33"/>
        <v>7182</v>
      </c>
      <c r="L298" t="str">
        <f t="shared" si="34"/>
        <v>High Risk</v>
      </c>
      <c r="P298" s="19">
        <f t="shared" si="35"/>
        <v>6728</v>
      </c>
      <c r="R298" s="19">
        <f t="shared" si="32"/>
        <v>2383663.12</v>
      </c>
      <c r="T298" s="19">
        <f t="shared" si="36"/>
        <v>949380.60000000009</v>
      </c>
      <c r="U298" s="19">
        <f t="shared" si="37"/>
        <v>942411.4</v>
      </c>
      <c r="V298" s="21">
        <f t="shared" si="38"/>
        <v>-6969.2000000000698</v>
      </c>
      <c r="W298" s="18">
        <f t="shared" si="39"/>
        <v>-7.3407861925976464E-3</v>
      </c>
    </row>
    <row r="299" spans="1:23" x14ac:dyDescent="0.3">
      <c r="A299" t="s">
        <v>543</v>
      </c>
      <c r="B299" t="s">
        <v>945</v>
      </c>
      <c r="C299" t="s">
        <v>37</v>
      </c>
      <c r="D299" t="s">
        <v>13</v>
      </c>
      <c r="E299">
        <v>460</v>
      </c>
      <c r="F299">
        <v>377.09</v>
      </c>
      <c r="G299">
        <v>411.66</v>
      </c>
      <c r="H299">
        <v>377.09</v>
      </c>
      <c r="I299">
        <v>494</v>
      </c>
      <c r="J299">
        <v>85</v>
      </c>
      <c r="K299" s="17">
        <f t="shared" si="33"/>
        <v>1399.6666666666665</v>
      </c>
      <c r="L299" t="str">
        <f t="shared" si="34"/>
        <v>High Risk</v>
      </c>
      <c r="P299" s="19">
        <f t="shared" si="35"/>
        <v>940</v>
      </c>
      <c r="R299" s="19">
        <f t="shared" si="32"/>
        <v>354464.6</v>
      </c>
      <c r="T299" s="19">
        <f t="shared" si="36"/>
        <v>203360.04</v>
      </c>
      <c r="U299" s="19">
        <f t="shared" si="37"/>
        <v>186282.46</v>
      </c>
      <c r="V299" s="21">
        <f t="shared" si="38"/>
        <v>-17077.580000000016</v>
      </c>
      <c r="W299" s="18">
        <f t="shared" si="39"/>
        <v>-8.3977068454549941E-2</v>
      </c>
    </row>
    <row r="300" spans="1:23" x14ac:dyDescent="0.3">
      <c r="A300" t="s">
        <v>1939</v>
      </c>
      <c r="B300" t="s">
        <v>3312</v>
      </c>
      <c r="C300" t="s">
        <v>12</v>
      </c>
      <c r="D300" t="s">
        <v>17</v>
      </c>
      <c r="E300">
        <v>461</v>
      </c>
      <c r="F300">
        <v>373.41</v>
      </c>
      <c r="G300">
        <v>337.91</v>
      </c>
      <c r="H300">
        <v>373.41</v>
      </c>
      <c r="I300">
        <v>3236</v>
      </c>
      <c r="J300">
        <v>14</v>
      </c>
      <c r="K300" s="17">
        <f t="shared" si="33"/>
        <v>1510.1333333333332</v>
      </c>
      <c r="L300" t="str">
        <f t="shared" si="34"/>
        <v>High Risk</v>
      </c>
      <c r="P300" s="19">
        <f t="shared" si="35"/>
        <v>1050</v>
      </c>
      <c r="R300" s="19">
        <f t="shared" si="32"/>
        <v>392080.5</v>
      </c>
      <c r="T300" s="19">
        <f t="shared" si="36"/>
        <v>1093476.76</v>
      </c>
      <c r="U300" s="19">
        <f t="shared" si="37"/>
        <v>1208354.76</v>
      </c>
      <c r="V300" s="21">
        <f t="shared" si="38"/>
        <v>114878</v>
      </c>
      <c r="W300" s="18">
        <f t="shared" si="39"/>
        <v>0.10505755970524695</v>
      </c>
    </row>
    <row r="301" spans="1:23" x14ac:dyDescent="0.3">
      <c r="A301" t="s">
        <v>55</v>
      </c>
      <c r="B301" t="s">
        <v>2015</v>
      </c>
      <c r="C301" t="s">
        <v>23</v>
      </c>
      <c r="D301" t="s">
        <v>26</v>
      </c>
      <c r="E301">
        <v>461</v>
      </c>
      <c r="F301">
        <v>162.83000000000001</v>
      </c>
      <c r="G301">
        <v>146.83000000000001</v>
      </c>
      <c r="H301">
        <v>162.83000000000001</v>
      </c>
      <c r="I301">
        <v>2820</v>
      </c>
      <c r="J301">
        <v>41</v>
      </c>
      <c r="K301" s="17">
        <f t="shared" si="33"/>
        <v>3854</v>
      </c>
      <c r="L301" t="str">
        <f t="shared" si="34"/>
        <v>High Risk</v>
      </c>
      <c r="P301" s="19">
        <f t="shared" si="35"/>
        <v>3393</v>
      </c>
      <c r="R301" s="19">
        <f t="shared" si="32"/>
        <v>552482.19000000006</v>
      </c>
      <c r="T301" s="19">
        <f t="shared" si="36"/>
        <v>414060.60000000003</v>
      </c>
      <c r="U301" s="19">
        <f t="shared" si="37"/>
        <v>459180.60000000003</v>
      </c>
      <c r="V301" s="21">
        <f t="shared" si="38"/>
        <v>45120</v>
      </c>
      <c r="W301" s="18">
        <f t="shared" si="39"/>
        <v>0.10896955663011645</v>
      </c>
    </row>
    <row r="302" spans="1:23" x14ac:dyDescent="0.3">
      <c r="A302" t="s">
        <v>155</v>
      </c>
      <c r="B302" t="s">
        <v>1552</v>
      </c>
      <c r="C302" t="s">
        <v>50</v>
      </c>
      <c r="D302" t="s">
        <v>17</v>
      </c>
      <c r="E302">
        <v>463</v>
      </c>
      <c r="F302">
        <v>404.17</v>
      </c>
      <c r="G302">
        <v>444.27</v>
      </c>
      <c r="H302">
        <v>404.17</v>
      </c>
      <c r="I302">
        <v>1018</v>
      </c>
      <c r="J302">
        <v>50</v>
      </c>
      <c r="K302" s="17">
        <f t="shared" si="33"/>
        <v>1696.6666666666665</v>
      </c>
      <c r="L302" t="str">
        <f t="shared" si="34"/>
        <v>High Risk</v>
      </c>
      <c r="P302" s="19">
        <f t="shared" si="35"/>
        <v>1234</v>
      </c>
      <c r="R302" s="19">
        <f t="shared" si="32"/>
        <v>498745.78</v>
      </c>
      <c r="T302" s="19">
        <f t="shared" si="36"/>
        <v>452266.86</v>
      </c>
      <c r="U302" s="19">
        <f t="shared" si="37"/>
        <v>411445.06</v>
      </c>
      <c r="V302" s="21">
        <f t="shared" si="38"/>
        <v>-40821.799999999988</v>
      </c>
      <c r="W302" s="18">
        <f t="shared" si="39"/>
        <v>-9.0260427217682918E-2</v>
      </c>
    </row>
    <row r="303" spans="1:23" x14ac:dyDescent="0.3">
      <c r="A303" t="s">
        <v>141</v>
      </c>
      <c r="B303" t="s">
        <v>1935</v>
      </c>
      <c r="C303" t="s">
        <v>16</v>
      </c>
      <c r="D303" t="s">
        <v>13</v>
      </c>
      <c r="E303">
        <v>463</v>
      </c>
      <c r="F303">
        <v>134.41</v>
      </c>
      <c r="G303">
        <v>143.75</v>
      </c>
      <c r="H303">
        <v>134.41</v>
      </c>
      <c r="I303">
        <v>176</v>
      </c>
      <c r="J303">
        <v>73</v>
      </c>
      <c r="K303" s="17">
        <f t="shared" si="33"/>
        <v>428.26666666666665</v>
      </c>
      <c r="L303" t="str">
        <f t="shared" si="34"/>
        <v>Sufficuent Stock</v>
      </c>
      <c r="P303" s="19">
        <f t="shared" si="35"/>
        <v>0</v>
      </c>
      <c r="R303" s="19">
        <f t="shared" si="32"/>
        <v>0</v>
      </c>
      <c r="T303" s="19">
        <f t="shared" si="36"/>
        <v>25300</v>
      </c>
      <c r="U303" s="19">
        <f t="shared" si="37"/>
        <v>23656.16</v>
      </c>
      <c r="V303" s="21">
        <f t="shared" si="38"/>
        <v>-1643.8400000000001</v>
      </c>
      <c r="W303" s="18">
        <f t="shared" si="39"/>
        <v>-6.4973913043478271E-2</v>
      </c>
    </row>
    <row r="304" spans="1:23" x14ac:dyDescent="0.3">
      <c r="A304" t="s">
        <v>10</v>
      </c>
      <c r="B304" t="s">
        <v>3140</v>
      </c>
      <c r="C304" t="s">
        <v>37</v>
      </c>
      <c r="D304" t="s">
        <v>20</v>
      </c>
      <c r="E304">
        <v>468</v>
      </c>
      <c r="F304">
        <v>103.61</v>
      </c>
      <c r="G304">
        <v>89.36</v>
      </c>
      <c r="H304">
        <v>103.61</v>
      </c>
      <c r="I304">
        <v>927</v>
      </c>
      <c r="J304">
        <v>86</v>
      </c>
      <c r="K304" s="17">
        <f t="shared" si="33"/>
        <v>2657.4</v>
      </c>
      <c r="L304" t="str">
        <f t="shared" si="34"/>
        <v>High Risk</v>
      </c>
      <c r="P304" s="19">
        <f t="shared" si="35"/>
        <v>2190</v>
      </c>
      <c r="R304" s="19">
        <f t="shared" si="32"/>
        <v>226905.9</v>
      </c>
      <c r="T304" s="19">
        <f t="shared" si="36"/>
        <v>82836.72</v>
      </c>
      <c r="U304" s="19">
        <f t="shared" si="37"/>
        <v>96046.47</v>
      </c>
      <c r="V304" s="21">
        <f t="shared" si="38"/>
        <v>13209.75</v>
      </c>
      <c r="W304" s="18">
        <f t="shared" si="39"/>
        <v>0.15946732318710832</v>
      </c>
    </row>
    <row r="305" spans="1:23" x14ac:dyDescent="0.3">
      <c r="A305" t="s">
        <v>788</v>
      </c>
      <c r="B305" t="s">
        <v>812</v>
      </c>
      <c r="C305" t="s">
        <v>37</v>
      </c>
      <c r="D305" t="s">
        <v>26</v>
      </c>
      <c r="E305">
        <v>469</v>
      </c>
      <c r="F305">
        <v>396.06</v>
      </c>
      <c r="G305">
        <v>399.59</v>
      </c>
      <c r="H305">
        <v>396.06</v>
      </c>
      <c r="I305">
        <v>2157</v>
      </c>
      <c r="J305">
        <v>41</v>
      </c>
      <c r="K305" s="17">
        <f t="shared" si="33"/>
        <v>2947.9</v>
      </c>
      <c r="L305" t="str">
        <f t="shared" si="34"/>
        <v>High Risk</v>
      </c>
      <c r="P305" s="19">
        <f t="shared" si="35"/>
        <v>2479</v>
      </c>
      <c r="R305" s="19">
        <f t="shared" si="32"/>
        <v>981832.74</v>
      </c>
      <c r="T305" s="19">
        <f t="shared" si="36"/>
        <v>861915.62999999989</v>
      </c>
      <c r="U305" s="19">
        <f t="shared" si="37"/>
        <v>854301.42</v>
      </c>
      <c r="V305" s="21">
        <f t="shared" si="38"/>
        <v>-7614.2099999998463</v>
      </c>
      <c r="W305" s="18">
        <f t="shared" si="39"/>
        <v>-8.8340549062787595E-3</v>
      </c>
    </row>
    <row r="306" spans="1:23" x14ac:dyDescent="0.3">
      <c r="A306" t="s">
        <v>326</v>
      </c>
      <c r="B306" t="s">
        <v>1382</v>
      </c>
      <c r="C306" t="s">
        <v>16</v>
      </c>
      <c r="D306" t="s">
        <v>26</v>
      </c>
      <c r="E306">
        <v>469</v>
      </c>
      <c r="F306">
        <v>262.87</v>
      </c>
      <c r="G306">
        <v>245.58</v>
      </c>
      <c r="H306">
        <v>262.87</v>
      </c>
      <c r="I306">
        <v>3518</v>
      </c>
      <c r="J306">
        <v>40</v>
      </c>
      <c r="K306" s="17">
        <f t="shared" si="33"/>
        <v>4690.666666666667</v>
      </c>
      <c r="L306" t="str">
        <f t="shared" si="34"/>
        <v>High Risk</v>
      </c>
      <c r="P306" s="19">
        <f t="shared" si="35"/>
        <v>4222</v>
      </c>
      <c r="R306" s="19">
        <f t="shared" si="32"/>
        <v>1109837.1400000001</v>
      </c>
      <c r="T306" s="19">
        <f t="shared" si="36"/>
        <v>863950.44000000006</v>
      </c>
      <c r="U306" s="19">
        <f t="shared" si="37"/>
        <v>924776.66</v>
      </c>
      <c r="V306" s="21">
        <f t="shared" si="38"/>
        <v>60826.219999999972</v>
      </c>
      <c r="W306" s="18">
        <f t="shared" si="39"/>
        <v>7.040475608762925E-2</v>
      </c>
    </row>
    <row r="307" spans="1:23" x14ac:dyDescent="0.3">
      <c r="A307" t="s">
        <v>418</v>
      </c>
      <c r="B307" t="s">
        <v>2812</v>
      </c>
      <c r="C307" t="s">
        <v>12</v>
      </c>
      <c r="D307" t="s">
        <v>26</v>
      </c>
      <c r="E307">
        <v>469</v>
      </c>
      <c r="F307">
        <v>528.89</v>
      </c>
      <c r="G307">
        <v>450.78</v>
      </c>
      <c r="H307">
        <v>528.89</v>
      </c>
      <c r="I307">
        <v>749</v>
      </c>
      <c r="J307">
        <v>72</v>
      </c>
      <c r="K307" s="17">
        <f t="shared" si="33"/>
        <v>1797.6</v>
      </c>
      <c r="L307" t="str">
        <f t="shared" si="34"/>
        <v>High Risk</v>
      </c>
      <c r="P307" s="19">
        <f t="shared" si="35"/>
        <v>1329</v>
      </c>
      <c r="R307" s="19">
        <f t="shared" si="32"/>
        <v>702894.80999999994</v>
      </c>
      <c r="T307" s="19">
        <f t="shared" si="36"/>
        <v>337634.22</v>
      </c>
      <c r="U307" s="19">
        <f t="shared" si="37"/>
        <v>396138.61</v>
      </c>
      <c r="V307" s="21">
        <f t="shared" si="38"/>
        <v>58504.390000000014</v>
      </c>
      <c r="W307" s="18">
        <f t="shared" si="39"/>
        <v>0.17327743023204228</v>
      </c>
    </row>
    <row r="308" spans="1:23" x14ac:dyDescent="0.3">
      <c r="A308" t="s">
        <v>42</v>
      </c>
      <c r="B308" t="s">
        <v>43</v>
      </c>
      <c r="C308" t="s">
        <v>16</v>
      </c>
      <c r="D308" t="s">
        <v>26</v>
      </c>
      <c r="E308">
        <v>470</v>
      </c>
      <c r="F308">
        <v>388.93</v>
      </c>
      <c r="G308">
        <v>331.81</v>
      </c>
      <c r="H308">
        <v>388.93</v>
      </c>
      <c r="I308">
        <v>3016</v>
      </c>
      <c r="J308">
        <v>17</v>
      </c>
      <c r="K308" s="17">
        <f t="shared" si="33"/>
        <v>1709.0666666666666</v>
      </c>
      <c r="L308" t="str">
        <f t="shared" si="34"/>
        <v>High Risk</v>
      </c>
      <c r="P308" s="19">
        <f t="shared" si="35"/>
        <v>1240</v>
      </c>
      <c r="R308" s="19">
        <f t="shared" si="32"/>
        <v>482273.2</v>
      </c>
      <c r="T308" s="19">
        <f t="shared" si="36"/>
        <v>1000738.96</v>
      </c>
      <c r="U308" s="19">
        <f t="shared" si="37"/>
        <v>1173012.8800000001</v>
      </c>
      <c r="V308" s="21">
        <f t="shared" si="38"/>
        <v>172273.92000000016</v>
      </c>
      <c r="W308" s="18">
        <f t="shared" si="39"/>
        <v>0.17214671046683358</v>
      </c>
    </row>
    <row r="309" spans="1:23" x14ac:dyDescent="0.3">
      <c r="A309" t="s">
        <v>1096</v>
      </c>
      <c r="B309" t="s">
        <v>1547</v>
      </c>
      <c r="C309" t="s">
        <v>37</v>
      </c>
      <c r="D309" t="s">
        <v>69</v>
      </c>
      <c r="E309">
        <v>471</v>
      </c>
      <c r="F309">
        <v>293.8</v>
      </c>
      <c r="G309">
        <v>250.69</v>
      </c>
      <c r="H309">
        <v>293.8</v>
      </c>
      <c r="I309">
        <v>3344</v>
      </c>
      <c r="J309">
        <v>14</v>
      </c>
      <c r="K309" s="17">
        <f t="shared" si="33"/>
        <v>1560.5333333333333</v>
      </c>
      <c r="L309" t="str">
        <f t="shared" si="34"/>
        <v>High Risk</v>
      </c>
      <c r="P309" s="19">
        <f t="shared" si="35"/>
        <v>1090</v>
      </c>
      <c r="R309" s="19">
        <f t="shared" si="32"/>
        <v>320242</v>
      </c>
      <c r="T309" s="19">
        <f t="shared" si="36"/>
        <v>838307.36</v>
      </c>
      <c r="U309" s="19">
        <f t="shared" si="37"/>
        <v>982467.20000000007</v>
      </c>
      <c r="V309" s="21">
        <f t="shared" si="38"/>
        <v>144159.84000000008</v>
      </c>
      <c r="W309" s="18">
        <f t="shared" si="39"/>
        <v>0.17196537556344499</v>
      </c>
    </row>
    <row r="310" spans="1:23" x14ac:dyDescent="0.3">
      <c r="A310" t="s">
        <v>1375</v>
      </c>
      <c r="B310" t="s">
        <v>1376</v>
      </c>
      <c r="C310" t="s">
        <v>37</v>
      </c>
      <c r="D310" t="s">
        <v>20</v>
      </c>
      <c r="E310">
        <v>472</v>
      </c>
      <c r="F310">
        <v>381.87</v>
      </c>
      <c r="G310">
        <v>351.16</v>
      </c>
      <c r="H310">
        <v>381.87</v>
      </c>
      <c r="I310">
        <v>1749</v>
      </c>
      <c r="J310">
        <v>25</v>
      </c>
      <c r="K310" s="17">
        <f t="shared" si="33"/>
        <v>1457.5</v>
      </c>
      <c r="L310" t="str">
        <f t="shared" si="34"/>
        <v>High Risk</v>
      </c>
      <c r="P310" s="19">
        <f t="shared" si="35"/>
        <v>986</v>
      </c>
      <c r="R310" s="19">
        <f t="shared" si="32"/>
        <v>376523.82</v>
      </c>
      <c r="T310" s="19">
        <f t="shared" si="36"/>
        <v>614178.84000000008</v>
      </c>
      <c r="U310" s="19">
        <f t="shared" si="37"/>
        <v>667890.63</v>
      </c>
      <c r="V310" s="21">
        <f t="shared" si="38"/>
        <v>53711.789999999921</v>
      </c>
      <c r="W310" s="18">
        <f t="shared" si="39"/>
        <v>8.7453012871625324E-2</v>
      </c>
    </row>
    <row r="311" spans="1:23" x14ac:dyDescent="0.3">
      <c r="A311" t="s">
        <v>407</v>
      </c>
      <c r="B311" t="s">
        <v>2209</v>
      </c>
      <c r="C311" t="s">
        <v>23</v>
      </c>
      <c r="D311" t="s">
        <v>17</v>
      </c>
      <c r="E311">
        <v>473</v>
      </c>
      <c r="F311">
        <v>196.91</v>
      </c>
      <c r="G311">
        <v>208.94</v>
      </c>
      <c r="H311">
        <v>196.91</v>
      </c>
      <c r="I311">
        <v>2716</v>
      </c>
      <c r="J311">
        <v>63</v>
      </c>
      <c r="K311" s="17">
        <f t="shared" si="33"/>
        <v>5703.5999999999995</v>
      </c>
      <c r="L311" t="str">
        <f t="shared" si="34"/>
        <v>High Risk</v>
      </c>
      <c r="P311" s="19">
        <f t="shared" si="35"/>
        <v>5231</v>
      </c>
      <c r="R311" s="19">
        <f t="shared" si="32"/>
        <v>1030036.21</v>
      </c>
      <c r="T311" s="19">
        <f t="shared" si="36"/>
        <v>567481.04</v>
      </c>
      <c r="U311" s="19">
        <f t="shared" si="37"/>
        <v>534807.55999999994</v>
      </c>
      <c r="V311" s="21">
        <f t="shared" si="38"/>
        <v>-32673.480000000098</v>
      </c>
      <c r="W311" s="18">
        <f t="shared" si="39"/>
        <v>-5.7576337704604359E-2</v>
      </c>
    </row>
    <row r="312" spans="1:23" x14ac:dyDescent="0.3">
      <c r="A312" t="s">
        <v>197</v>
      </c>
      <c r="B312" t="s">
        <v>3368</v>
      </c>
      <c r="C312" t="s">
        <v>23</v>
      </c>
      <c r="D312" t="s">
        <v>26</v>
      </c>
      <c r="E312">
        <v>479</v>
      </c>
      <c r="F312">
        <v>279.52</v>
      </c>
      <c r="G312">
        <v>301.51</v>
      </c>
      <c r="H312">
        <v>279.52</v>
      </c>
      <c r="I312">
        <v>3613</v>
      </c>
      <c r="J312">
        <v>86</v>
      </c>
      <c r="K312" s="17">
        <f t="shared" si="33"/>
        <v>10357.266666666666</v>
      </c>
      <c r="L312" t="str">
        <f t="shared" si="34"/>
        <v>High Risk</v>
      </c>
      <c r="P312" s="19">
        <f t="shared" si="35"/>
        <v>9879</v>
      </c>
      <c r="R312" s="19">
        <f t="shared" si="32"/>
        <v>2761378.0799999996</v>
      </c>
      <c r="T312" s="19">
        <f t="shared" si="36"/>
        <v>1089355.6299999999</v>
      </c>
      <c r="U312" s="19">
        <f t="shared" si="37"/>
        <v>1009905.7599999999</v>
      </c>
      <c r="V312" s="21">
        <f t="shared" si="38"/>
        <v>-79449.87</v>
      </c>
      <c r="W312" s="18">
        <f t="shared" si="39"/>
        <v>-7.2932904381280889E-2</v>
      </c>
    </row>
    <row r="313" spans="1:23" x14ac:dyDescent="0.3">
      <c r="A313" t="s">
        <v>566</v>
      </c>
      <c r="B313" t="s">
        <v>800</v>
      </c>
      <c r="C313" t="s">
        <v>16</v>
      </c>
      <c r="D313" t="s">
        <v>13</v>
      </c>
      <c r="E313">
        <v>480</v>
      </c>
      <c r="F313">
        <v>408.34</v>
      </c>
      <c r="G313">
        <v>370.43</v>
      </c>
      <c r="H313">
        <v>408.34</v>
      </c>
      <c r="I313">
        <v>679</v>
      </c>
      <c r="J313">
        <v>69</v>
      </c>
      <c r="K313" s="17">
        <f t="shared" si="33"/>
        <v>1561.7</v>
      </c>
      <c r="L313" t="str">
        <f t="shared" si="34"/>
        <v>High Risk</v>
      </c>
      <c r="P313" s="19">
        <f t="shared" si="35"/>
        <v>1082</v>
      </c>
      <c r="R313" s="19">
        <f t="shared" si="32"/>
        <v>441823.87999999995</v>
      </c>
      <c r="T313" s="19">
        <f t="shared" si="36"/>
        <v>251521.97</v>
      </c>
      <c r="U313" s="19">
        <f t="shared" si="37"/>
        <v>277262.86</v>
      </c>
      <c r="V313" s="21">
        <f t="shared" si="38"/>
        <v>25740.889999999985</v>
      </c>
      <c r="W313" s="18">
        <f t="shared" si="39"/>
        <v>0.10234052317576864</v>
      </c>
    </row>
    <row r="314" spans="1:23" x14ac:dyDescent="0.3">
      <c r="A314" t="s">
        <v>884</v>
      </c>
      <c r="B314" t="s">
        <v>901</v>
      </c>
      <c r="C314" t="s">
        <v>12</v>
      </c>
      <c r="D314" t="s">
        <v>13</v>
      </c>
      <c r="E314">
        <v>484</v>
      </c>
      <c r="F314">
        <v>91.51</v>
      </c>
      <c r="G314">
        <v>81.13</v>
      </c>
      <c r="H314">
        <v>91.51</v>
      </c>
      <c r="I314">
        <v>1453</v>
      </c>
      <c r="J314">
        <v>30</v>
      </c>
      <c r="K314" s="17">
        <f t="shared" si="33"/>
        <v>1453</v>
      </c>
      <c r="L314" t="str">
        <f t="shared" si="34"/>
        <v>High Risk</v>
      </c>
      <c r="P314" s="19">
        <f t="shared" si="35"/>
        <v>969</v>
      </c>
      <c r="R314" s="19">
        <f t="shared" si="32"/>
        <v>88673.19</v>
      </c>
      <c r="T314" s="19">
        <f t="shared" si="36"/>
        <v>117881.89</v>
      </c>
      <c r="U314" s="19">
        <f t="shared" si="37"/>
        <v>132964.03</v>
      </c>
      <c r="V314" s="21">
        <f t="shared" si="38"/>
        <v>15082.14</v>
      </c>
      <c r="W314" s="18">
        <f t="shared" si="39"/>
        <v>0.12794280783927031</v>
      </c>
    </row>
    <row r="315" spans="1:23" x14ac:dyDescent="0.3">
      <c r="A315" t="s">
        <v>1281</v>
      </c>
      <c r="B315" t="s">
        <v>1463</v>
      </c>
      <c r="C315" t="s">
        <v>12</v>
      </c>
      <c r="D315" t="s">
        <v>20</v>
      </c>
      <c r="E315">
        <v>487</v>
      </c>
      <c r="F315">
        <v>496.03</v>
      </c>
      <c r="G315">
        <v>446.62</v>
      </c>
      <c r="H315">
        <v>496.03</v>
      </c>
      <c r="I315">
        <v>3184</v>
      </c>
      <c r="J315">
        <v>46</v>
      </c>
      <c r="K315" s="17">
        <f t="shared" si="33"/>
        <v>4882.1333333333332</v>
      </c>
      <c r="L315" t="str">
        <f t="shared" si="34"/>
        <v>High Risk</v>
      </c>
      <c r="P315" s="19">
        <f t="shared" si="35"/>
        <v>4396</v>
      </c>
      <c r="R315" s="19">
        <f t="shared" si="32"/>
        <v>2180547.88</v>
      </c>
      <c r="T315" s="19">
        <f t="shared" si="36"/>
        <v>1422038.08</v>
      </c>
      <c r="U315" s="19">
        <f t="shared" si="37"/>
        <v>1579359.52</v>
      </c>
      <c r="V315" s="21">
        <f t="shared" si="38"/>
        <v>157321.43999999994</v>
      </c>
      <c r="W315" s="18">
        <f t="shared" si="39"/>
        <v>0.11063096144373288</v>
      </c>
    </row>
    <row r="316" spans="1:23" x14ac:dyDescent="0.3">
      <c r="A316" t="s">
        <v>917</v>
      </c>
      <c r="B316" t="s">
        <v>2599</v>
      </c>
      <c r="C316" t="s">
        <v>23</v>
      </c>
      <c r="D316" t="s">
        <v>20</v>
      </c>
      <c r="E316">
        <v>488</v>
      </c>
      <c r="F316">
        <v>458.35</v>
      </c>
      <c r="G316">
        <v>456.07</v>
      </c>
      <c r="H316">
        <v>458.35</v>
      </c>
      <c r="I316">
        <v>2808</v>
      </c>
      <c r="J316">
        <v>76</v>
      </c>
      <c r="K316" s="17">
        <f t="shared" si="33"/>
        <v>7113.5999999999995</v>
      </c>
      <c r="L316" t="str">
        <f t="shared" si="34"/>
        <v>High Risk</v>
      </c>
      <c r="P316" s="19">
        <f t="shared" si="35"/>
        <v>6626</v>
      </c>
      <c r="R316" s="19">
        <f t="shared" si="32"/>
        <v>3037027.1</v>
      </c>
      <c r="T316" s="19">
        <f t="shared" si="36"/>
        <v>1280644.56</v>
      </c>
      <c r="U316" s="19">
        <f t="shared" si="37"/>
        <v>1287046.8</v>
      </c>
      <c r="V316" s="21">
        <f t="shared" si="38"/>
        <v>6402.2399999999907</v>
      </c>
      <c r="W316" s="18">
        <f t="shared" si="39"/>
        <v>4.9992325739469743E-3</v>
      </c>
    </row>
    <row r="317" spans="1:23" x14ac:dyDescent="0.3">
      <c r="A317" t="s">
        <v>1067</v>
      </c>
      <c r="B317" t="s">
        <v>2814</v>
      </c>
      <c r="C317" t="s">
        <v>12</v>
      </c>
      <c r="D317" t="s">
        <v>13</v>
      </c>
      <c r="E317">
        <v>490</v>
      </c>
      <c r="F317">
        <v>266.14</v>
      </c>
      <c r="G317">
        <v>256.5</v>
      </c>
      <c r="H317">
        <v>266.14</v>
      </c>
      <c r="I317">
        <v>2837</v>
      </c>
      <c r="J317">
        <v>55</v>
      </c>
      <c r="K317" s="17">
        <f t="shared" si="33"/>
        <v>5201.1666666666661</v>
      </c>
      <c r="L317" t="str">
        <f t="shared" si="34"/>
        <v>High Risk</v>
      </c>
      <c r="P317" s="19">
        <f t="shared" si="35"/>
        <v>4712</v>
      </c>
      <c r="R317" s="19">
        <f t="shared" si="32"/>
        <v>1254051.68</v>
      </c>
      <c r="T317" s="19">
        <f t="shared" si="36"/>
        <v>727690.5</v>
      </c>
      <c r="U317" s="19">
        <f t="shared" si="37"/>
        <v>755039.17999999993</v>
      </c>
      <c r="V317" s="21">
        <f t="shared" si="38"/>
        <v>27348.679999999935</v>
      </c>
      <c r="W317" s="18">
        <f t="shared" si="39"/>
        <v>3.7582846003898544E-2</v>
      </c>
    </row>
    <row r="318" spans="1:23" x14ac:dyDescent="0.3">
      <c r="A318" t="s">
        <v>395</v>
      </c>
      <c r="B318" t="s">
        <v>1955</v>
      </c>
      <c r="C318" t="s">
        <v>16</v>
      </c>
      <c r="D318" t="s">
        <v>26</v>
      </c>
      <c r="E318">
        <v>490</v>
      </c>
      <c r="F318">
        <v>424.62</v>
      </c>
      <c r="G318">
        <v>399.63</v>
      </c>
      <c r="H318">
        <v>424.62</v>
      </c>
      <c r="I318">
        <v>1827</v>
      </c>
      <c r="J318">
        <v>64</v>
      </c>
      <c r="K318" s="17">
        <f t="shared" si="33"/>
        <v>3897.6</v>
      </c>
      <c r="L318" t="str">
        <f t="shared" si="34"/>
        <v>High Risk</v>
      </c>
      <c r="P318" s="19">
        <f t="shared" si="35"/>
        <v>3408</v>
      </c>
      <c r="R318" s="19">
        <f t="shared" si="32"/>
        <v>1447104.96</v>
      </c>
      <c r="T318" s="19">
        <f t="shared" si="36"/>
        <v>730124.01</v>
      </c>
      <c r="U318" s="19">
        <f t="shared" si="37"/>
        <v>775780.74</v>
      </c>
      <c r="V318" s="21">
        <f t="shared" si="38"/>
        <v>45656.729999999981</v>
      </c>
      <c r="W318" s="18">
        <f t="shared" si="39"/>
        <v>6.2532842879663667E-2</v>
      </c>
    </row>
    <row r="319" spans="1:23" x14ac:dyDescent="0.3">
      <c r="A319" t="s">
        <v>216</v>
      </c>
      <c r="B319" t="s">
        <v>1306</v>
      </c>
      <c r="C319" t="s">
        <v>23</v>
      </c>
      <c r="D319" t="s">
        <v>13</v>
      </c>
      <c r="E319">
        <v>491</v>
      </c>
      <c r="F319">
        <v>207.27</v>
      </c>
      <c r="G319">
        <v>178.11</v>
      </c>
      <c r="H319">
        <v>207.27</v>
      </c>
      <c r="I319">
        <v>1336</v>
      </c>
      <c r="J319">
        <v>32</v>
      </c>
      <c r="K319" s="17">
        <f t="shared" si="33"/>
        <v>1425.0666666666666</v>
      </c>
      <c r="L319" t="str">
        <f t="shared" si="34"/>
        <v>High Risk</v>
      </c>
      <c r="P319" s="19">
        <f t="shared" si="35"/>
        <v>935</v>
      </c>
      <c r="R319" s="19">
        <f t="shared" si="32"/>
        <v>193797.45</v>
      </c>
      <c r="T319" s="19">
        <f t="shared" si="36"/>
        <v>237954.96000000002</v>
      </c>
      <c r="U319" s="19">
        <f t="shared" si="37"/>
        <v>276912.72000000003</v>
      </c>
      <c r="V319" s="21">
        <f t="shared" si="38"/>
        <v>38957.760000000009</v>
      </c>
      <c r="W319" s="18">
        <f t="shared" si="39"/>
        <v>0.16371905002526532</v>
      </c>
    </row>
    <row r="320" spans="1:23" x14ac:dyDescent="0.3">
      <c r="A320" t="s">
        <v>226</v>
      </c>
      <c r="B320" t="s">
        <v>611</v>
      </c>
      <c r="C320" t="s">
        <v>37</v>
      </c>
      <c r="D320" t="s">
        <v>13</v>
      </c>
      <c r="E320">
        <v>492</v>
      </c>
      <c r="F320">
        <v>455.38</v>
      </c>
      <c r="G320">
        <v>439.87</v>
      </c>
      <c r="H320">
        <v>455.38</v>
      </c>
      <c r="I320">
        <v>3055</v>
      </c>
      <c r="J320">
        <v>61</v>
      </c>
      <c r="K320" s="17">
        <f t="shared" si="33"/>
        <v>6211.833333333333</v>
      </c>
      <c r="L320" t="str">
        <f t="shared" si="34"/>
        <v>High Risk</v>
      </c>
      <c r="P320" s="19">
        <f t="shared" si="35"/>
        <v>5720</v>
      </c>
      <c r="R320" s="19">
        <f t="shared" si="32"/>
        <v>2604773.6</v>
      </c>
      <c r="T320" s="19">
        <f t="shared" si="36"/>
        <v>1343802.85</v>
      </c>
      <c r="U320" s="19">
        <f t="shared" si="37"/>
        <v>1391185.9</v>
      </c>
      <c r="V320" s="21">
        <f t="shared" si="38"/>
        <v>47383.049999999814</v>
      </c>
      <c r="W320" s="18">
        <f t="shared" si="39"/>
        <v>3.5260417850728483E-2</v>
      </c>
    </row>
    <row r="321" spans="1:23" x14ac:dyDescent="0.3">
      <c r="A321" t="s">
        <v>288</v>
      </c>
      <c r="B321" t="s">
        <v>1546</v>
      </c>
      <c r="C321" t="s">
        <v>16</v>
      </c>
      <c r="D321" t="s">
        <v>26</v>
      </c>
      <c r="E321">
        <v>493</v>
      </c>
      <c r="F321">
        <v>226.31</v>
      </c>
      <c r="G321">
        <v>215.87</v>
      </c>
      <c r="H321">
        <v>226.31</v>
      </c>
      <c r="I321">
        <v>2257</v>
      </c>
      <c r="J321">
        <v>77</v>
      </c>
      <c r="K321" s="17">
        <f t="shared" si="33"/>
        <v>5792.9666666666672</v>
      </c>
      <c r="L321" t="str">
        <f t="shared" si="34"/>
        <v>High Risk</v>
      </c>
      <c r="P321" s="19">
        <f t="shared" si="35"/>
        <v>5300</v>
      </c>
      <c r="R321" s="19">
        <f t="shared" si="32"/>
        <v>1199443</v>
      </c>
      <c r="T321" s="19">
        <f t="shared" si="36"/>
        <v>487218.59</v>
      </c>
      <c r="U321" s="19">
        <f t="shared" si="37"/>
        <v>510781.67</v>
      </c>
      <c r="V321" s="21">
        <f t="shared" si="38"/>
        <v>23563.079999999958</v>
      </c>
      <c r="W321" s="18">
        <f t="shared" si="39"/>
        <v>4.8362440357622556E-2</v>
      </c>
    </row>
    <row r="322" spans="1:23" x14ac:dyDescent="0.3">
      <c r="A322" t="s">
        <v>788</v>
      </c>
      <c r="B322" t="s">
        <v>1549</v>
      </c>
      <c r="C322" t="s">
        <v>16</v>
      </c>
      <c r="D322" t="s">
        <v>69</v>
      </c>
      <c r="E322">
        <v>496</v>
      </c>
      <c r="F322">
        <v>300.32</v>
      </c>
      <c r="G322">
        <v>316.67</v>
      </c>
      <c r="H322">
        <v>300.32</v>
      </c>
      <c r="I322">
        <v>3670</v>
      </c>
      <c r="J322">
        <v>83</v>
      </c>
      <c r="K322" s="17">
        <f t="shared" si="33"/>
        <v>10153.666666666666</v>
      </c>
      <c r="L322" t="str">
        <f t="shared" si="34"/>
        <v>High Risk</v>
      </c>
      <c r="P322" s="19">
        <f t="shared" si="35"/>
        <v>9658</v>
      </c>
      <c r="R322" s="19">
        <f t="shared" ref="R322:R385" si="40">P322*H322</f>
        <v>2900490.56</v>
      </c>
      <c r="T322" s="19">
        <f t="shared" si="36"/>
        <v>1162178.9000000001</v>
      </c>
      <c r="U322" s="19">
        <f t="shared" si="37"/>
        <v>1102174.3999999999</v>
      </c>
      <c r="V322" s="21">
        <f t="shared" si="38"/>
        <v>-60004.500000000233</v>
      </c>
      <c r="W322" s="18">
        <f t="shared" si="39"/>
        <v>-5.1631035462784795E-2</v>
      </c>
    </row>
    <row r="323" spans="1:23" x14ac:dyDescent="0.3">
      <c r="A323" t="s">
        <v>283</v>
      </c>
      <c r="B323" t="s">
        <v>2161</v>
      </c>
      <c r="C323" t="s">
        <v>12</v>
      </c>
      <c r="D323" t="s">
        <v>17</v>
      </c>
      <c r="E323">
        <v>496</v>
      </c>
      <c r="F323">
        <v>486.59</v>
      </c>
      <c r="G323">
        <v>457.39</v>
      </c>
      <c r="H323">
        <v>486.59</v>
      </c>
      <c r="I323">
        <v>2229</v>
      </c>
      <c r="J323">
        <v>51</v>
      </c>
      <c r="K323" s="17">
        <f t="shared" ref="K323:K386" si="41">(I323/30)*J323</f>
        <v>3789.2999999999997</v>
      </c>
      <c r="L323" t="str">
        <f t="shared" ref="L323:L386" si="42">IF(E323&lt;K323,"High Risk","Sufficuent Stock")</f>
        <v>High Risk</v>
      </c>
      <c r="P323" s="19">
        <f t="shared" ref="P323:P386" si="43">ROUNDUP(MAX(0,K323-E323),0)</f>
        <v>3294</v>
      </c>
      <c r="R323" s="19">
        <f t="shared" si="40"/>
        <v>1602827.46</v>
      </c>
      <c r="T323" s="19">
        <f t="shared" ref="T323:T386" si="44">I323*G323</f>
        <v>1019522.3099999999</v>
      </c>
      <c r="U323" s="19">
        <f t="shared" ref="U323:U386" si="45">I323*H323</f>
        <v>1084609.1099999999</v>
      </c>
      <c r="V323" s="21">
        <f t="shared" ref="V323:V386" si="46">U323-T323</f>
        <v>65086.79999999993</v>
      </c>
      <c r="W323" s="18">
        <f t="shared" ref="W323:W386" si="47">IFERROR(V323/T323,0)</f>
        <v>6.3840486237127986E-2</v>
      </c>
    </row>
    <row r="324" spans="1:23" x14ac:dyDescent="0.3">
      <c r="A324" t="s">
        <v>191</v>
      </c>
      <c r="B324" t="s">
        <v>1894</v>
      </c>
      <c r="C324" t="s">
        <v>37</v>
      </c>
      <c r="D324" t="s">
        <v>26</v>
      </c>
      <c r="E324">
        <v>498</v>
      </c>
      <c r="F324">
        <v>422.29</v>
      </c>
      <c r="G324">
        <v>390.66</v>
      </c>
      <c r="H324">
        <v>422.29</v>
      </c>
      <c r="I324">
        <v>338</v>
      </c>
      <c r="J324">
        <v>63</v>
      </c>
      <c r="K324" s="17">
        <f t="shared" si="41"/>
        <v>709.80000000000007</v>
      </c>
      <c r="L324" t="str">
        <f t="shared" si="42"/>
        <v>High Risk</v>
      </c>
      <c r="P324" s="19">
        <f t="shared" si="43"/>
        <v>212</v>
      </c>
      <c r="R324" s="19">
        <f t="shared" si="40"/>
        <v>89525.48000000001</v>
      </c>
      <c r="T324" s="19">
        <f t="shared" si="44"/>
        <v>132043.08000000002</v>
      </c>
      <c r="U324" s="19">
        <f t="shared" si="45"/>
        <v>142734.02000000002</v>
      </c>
      <c r="V324" s="21">
        <f t="shared" si="46"/>
        <v>10690.940000000002</v>
      </c>
      <c r="W324" s="18">
        <f t="shared" si="47"/>
        <v>8.0965545487124355E-2</v>
      </c>
    </row>
    <row r="325" spans="1:23" x14ac:dyDescent="0.3">
      <c r="A325" t="s">
        <v>363</v>
      </c>
      <c r="B325" t="s">
        <v>1416</v>
      </c>
      <c r="C325" t="s">
        <v>16</v>
      </c>
      <c r="D325" t="s">
        <v>17</v>
      </c>
      <c r="E325">
        <v>503</v>
      </c>
      <c r="F325">
        <v>241.34</v>
      </c>
      <c r="G325">
        <v>253.18</v>
      </c>
      <c r="H325">
        <v>241.34</v>
      </c>
      <c r="I325">
        <v>2864</v>
      </c>
      <c r="J325">
        <v>58</v>
      </c>
      <c r="K325" s="17">
        <f t="shared" si="41"/>
        <v>5537.0666666666666</v>
      </c>
      <c r="L325" t="str">
        <f t="shared" si="42"/>
        <v>High Risk</v>
      </c>
      <c r="P325" s="19">
        <f t="shared" si="43"/>
        <v>5035</v>
      </c>
      <c r="R325" s="19">
        <f t="shared" si="40"/>
        <v>1215146.8999999999</v>
      </c>
      <c r="T325" s="19">
        <f t="shared" si="44"/>
        <v>725107.52</v>
      </c>
      <c r="U325" s="19">
        <f t="shared" si="45"/>
        <v>691197.76</v>
      </c>
      <c r="V325" s="21">
        <f t="shared" si="46"/>
        <v>-33909.760000000009</v>
      </c>
      <c r="W325" s="18">
        <f t="shared" si="47"/>
        <v>-4.6765147326013126E-2</v>
      </c>
    </row>
    <row r="326" spans="1:23" x14ac:dyDescent="0.3">
      <c r="A326" t="s">
        <v>235</v>
      </c>
      <c r="B326" t="s">
        <v>236</v>
      </c>
      <c r="C326" t="s">
        <v>50</v>
      </c>
      <c r="D326" t="s">
        <v>69</v>
      </c>
      <c r="E326">
        <v>504</v>
      </c>
      <c r="F326">
        <v>460.61</v>
      </c>
      <c r="G326">
        <v>469.25</v>
      </c>
      <c r="H326">
        <v>460.61</v>
      </c>
      <c r="I326">
        <v>1408</v>
      </c>
      <c r="J326">
        <v>15</v>
      </c>
      <c r="K326" s="17">
        <f t="shared" si="41"/>
        <v>704</v>
      </c>
      <c r="L326" t="str">
        <f t="shared" si="42"/>
        <v>High Risk</v>
      </c>
      <c r="P326" s="19">
        <f t="shared" si="43"/>
        <v>200</v>
      </c>
      <c r="R326" s="19">
        <f t="shared" si="40"/>
        <v>92122</v>
      </c>
      <c r="T326" s="19">
        <f t="shared" si="44"/>
        <v>660704</v>
      </c>
      <c r="U326" s="19">
        <f t="shared" si="45"/>
        <v>648538.88</v>
      </c>
      <c r="V326" s="21">
        <f t="shared" si="46"/>
        <v>-12165.119999999995</v>
      </c>
      <c r="W326" s="18">
        <f t="shared" si="47"/>
        <v>-1.8412360149174207E-2</v>
      </c>
    </row>
    <row r="327" spans="1:23" x14ac:dyDescent="0.3">
      <c r="A327" t="s">
        <v>1067</v>
      </c>
      <c r="B327" t="s">
        <v>3231</v>
      </c>
      <c r="C327" t="s">
        <v>50</v>
      </c>
      <c r="D327" t="s">
        <v>17</v>
      </c>
      <c r="E327">
        <v>505</v>
      </c>
      <c r="F327">
        <v>425.47</v>
      </c>
      <c r="G327">
        <v>466.05</v>
      </c>
      <c r="H327">
        <v>425.47</v>
      </c>
      <c r="I327">
        <v>3956</v>
      </c>
      <c r="J327">
        <v>88</v>
      </c>
      <c r="K327" s="17">
        <f t="shared" si="41"/>
        <v>11604.266666666666</v>
      </c>
      <c r="L327" t="str">
        <f t="shared" si="42"/>
        <v>High Risk</v>
      </c>
      <c r="P327" s="19">
        <f t="shared" si="43"/>
        <v>11100</v>
      </c>
      <c r="R327" s="19">
        <f t="shared" si="40"/>
        <v>4722717</v>
      </c>
      <c r="T327" s="19">
        <f t="shared" si="44"/>
        <v>1843693.8</v>
      </c>
      <c r="U327" s="19">
        <f t="shared" si="45"/>
        <v>1683159.32</v>
      </c>
      <c r="V327" s="21">
        <f t="shared" si="46"/>
        <v>-160534.47999999998</v>
      </c>
      <c r="W327" s="18">
        <f t="shared" si="47"/>
        <v>-8.7072202553374084E-2</v>
      </c>
    </row>
    <row r="328" spans="1:23" x14ac:dyDescent="0.3">
      <c r="A328" t="s">
        <v>541</v>
      </c>
      <c r="B328" t="s">
        <v>1450</v>
      </c>
      <c r="C328" t="s">
        <v>16</v>
      </c>
      <c r="D328" t="s">
        <v>20</v>
      </c>
      <c r="E328">
        <v>505</v>
      </c>
      <c r="F328">
        <v>289.26</v>
      </c>
      <c r="G328">
        <v>256.77</v>
      </c>
      <c r="H328">
        <v>289.26</v>
      </c>
      <c r="I328">
        <v>1973</v>
      </c>
      <c r="J328">
        <v>65</v>
      </c>
      <c r="K328" s="17">
        <f t="shared" si="41"/>
        <v>4274.833333333333</v>
      </c>
      <c r="L328" t="str">
        <f t="shared" si="42"/>
        <v>High Risk</v>
      </c>
      <c r="P328" s="19">
        <f t="shared" si="43"/>
        <v>3770</v>
      </c>
      <c r="R328" s="19">
        <f t="shared" si="40"/>
        <v>1090510.2</v>
      </c>
      <c r="T328" s="19">
        <f t="shared" si="44"/>
        <v>506607.20999999996</v>
      </c>
      <c r="U328" s="19">
        <f t="shared" si="45"/>
        <v>570709.98</v>
      </c>
      <c r="V328" s="21">
        <f t="shared" si="46"/>
        <v>64102.770000000019</v>
      </c>
      <c r="W328" s="18">
        <f t="shared" si="47"/>
        <v>0.12653347353662817</v>
      </c>
    </row>
    <row r="329" spans="1:23" x14ac:dyDescent="0.3">
      <c r="A329" t="s">
        <v>612</v>
      </c>
      <c r="B329" t="s">
        <v>2859</v>
      </c>
      <c r="C329" t="s">
        <v>37</v>
      </c>
      <c r="D329" t="s">
        <v>17</v>
      </c>
      <c r="E329">
        <v>506</v>
      </c>
      <c r="F329">
        <v>349.09</v>
      </c>
      <c r="G329">
        <v>344.53</v>
      </c>
      <c r="H329">
        <v>349.09</v>
      </c>
      <c r="I329">
        <v>3814</v>
      </c>
      <c r="J329">
        <v>51</v>
      </c>
      <c r="K329" s="17">
        <f t="shared" si="41"/>
        <v>6483.8</v>
      </c>
      <c r="L329" t="str">
        <f t="shared" si="42"/>
        <v>High Risk</v>
      </c>
      <c r="P329" s="19">
        <f t="shared" si="43"/>
        <v>5978</v>
      </c>
      <c r="R329" s="19">
        <f t="shared" si="40"/>
        <v>2086860.0199999998</v>
      </c>
      <c r="T329" s="19">
        <f t="shared" si="44"/>
        <v>1314037.42</v>
      </c>
      <c r="U329" s="19">
        <f t="shared" si="45"/>
        <v>1331429.26</v>
      </c>
      <c r="V329" s="21">
        <f t="shared" si="46"/>
        <v>17391.840000000084</v>
      </c>
      <c r="W329" s="18">
        <f t="shared" si="47"/>
        <v>1.3235422169332198E-2</v>
      </c>
    </row>
    <row r="330" spans="1:23" x14ac:dyDescent="0.3">
      <c r="A330" t="s">
        <v>80</v>
      </c>
      <c r="B330" t="s">
        <v>2691</v>
      </c>
      <c r="C330" t="s">
        <v>23</v>
      </c>
      <c r="D330" t="s">
        <v>69</v>
      </c>
      <c r="E330">
        <v>509</v>
      </c>
      <c r="F330">
        <v>15.95</v>
      </c>
      <c r="G330">
        <v>17.64</v>
      </c>
      <c r="H330">
        <v>15.95</v>
      </c>
      <c r="I330">
        <v>815</v>
      </c>
      <c r="J330">
        <v>87</v>
      </c>
      <c r="K330" s="17">
        <f t="shared" si="41"/>
        <v>2363.5</v>
      </c>
      <c r="L330" t="str">
        <f t="shared" si="42"/>
        <v>High Risk</v>
      </c>
      <c r="P330" s="19">
        <f t="shared" si="43"/>
        <v>1855</v>
      </c>
      <c r="R330" s="19">
        <f t="shared" si="40"/>
        <v>29587.25</v>
      </c>
      <c r="T330" s="19">
        <f t="shared" si="44"/>
        <v>14376.6</v>
      </c>
      <c r="U330" s="19">
        <f t="shared" si="45"/>
        <v>12999.25</v>
      </c>
      <c r="V330" s="21">
        <f t="shared" si="46"/>
        <v>-1377.3500000000004</v>
      </c>
      <c r="W330" s="18">
        <f t="shared" si="47"/>
        <v>-9.5804988662131538E-2</v>
      </c>
    </row>
    <row r="331" spans="1:23" x14ac:dyDescent="0.3">
      <c r="A331" t="s">
        <v>829</v>
      </c>
      <c r="B331" t="s">
        <v>1141</v>
      </c>
      <c r="C331" t="s">
        <v>50</v>
      </c>
      <c r="D331" t="s">
        <v>13</v>
      </c>
      <c r="E331">
        <v>510</v>
      </c>
      <c r="F331">
        <v>269.77</v>
      </c>
      <c r="G331">
        <v>240.88</v>
      </c>
      <c r="H331">
        <v>269.77</v>
      </c>
      <c r="I331">
        <v>3585</v>
      </c>
      <c r="J331">
        <v>12</v>
      </c>
      <c r="K331" s="17">
        <f t="shared" si="41"/>
        <v>1434</v>
      </c>
      <c r="L331" t="str">
        <f t="shared" si="42"/>
        <v>High Risk</v>
      </c>
      <c r="P331" s="19">
        <f t="shared" si="43"/>
        <v>924</v>
      </c>
      <c r="R331" s="19">
        <f t="shared" si="40"/>
        <v>249267.47999999998</v>
      </c>
      <c r="T331" s="19">
        <f t="shared" si="44"/>
        <v>863554.79999999993</v>
      </c>
      <c r="U331" s="19">
        <f t="shared" si="45"/>
        <v>967125.45</v>
      </c>
      <c r="V331" s="21">
        <f t="shared" si="46"/>
        <v>103570.65000000002</v>
      </c>
      <c r="W331" s="18">
        <f t="shared" si="47"/>
        <v>0.11993523746263704</v>
      </c>
    </row>
    <row r="332" spans="1:23" x14ac:dyDescent="0.3">
      <c r="A332" t="s">
        <v>209</v>
      </c>
      <c r="B332" t="s">
        <v>3267</v>
      </c>
      <c r="C332" t="s">
        <v>37</v>
      </c>
      <c r="D332" t="s">
        <v>17</v>
      </c>
      <c r="E332">
        <v>511</v>
      </c>
      <c r="F332">
        <v>228.25</v>
      </c>
      <c r="G332">
        <v>231.16</v>
      </c>
      <c r="H332">
        <v>228.25</v>
      </c>
      <c r="I332">
        <v>3994</v>
      </c>
      <c r="J332">
        <v>53</v>
      </c>
      <c r="K332" s="17">
        <f t="shared" si="41"/>
        <v>7056.0666666666666</v>
      </c>
      <c r="L332" t="str">
        <f t="shared" si="42"/>
        <v>High Risk</v>
      </c>
      <c r="P332" s="19">
        <f t="shared" si="43"/>
        <v>6546</v>
      </c>
      <c r="R332" s="19">
        <f t="shared" si="40"/>
        <v>1494124.5</v>
      </c>
      <c r="T332" s="19">
        <f t="shared" si="44"/>
        <v>923253.04</v>
      </c>
      <c r="U332" s="19">
        <f t="shared" si="45"/>
        <v>911630.5</v>
      </c>
      <c r="V332" s="21">
        <f t="shared" si="46"/>
        <v>-11622.540000000037</v>
      </c>
      <c r="W332" s="18">
        <f t="shared" si="47"/>
        <v>-1.258868316317706E-2</v>
      </c>
    </row>
    <row r="333" spans="1:23" x14ac:dyDescent="0.3">
      <c r="A333" t="s">
        <v>673</v>
      </c>
      <c r="B333" t="s">
        <v>2819</v>
      </c>
      <c r="C333" t="s">
        <v>16</v>
      </c>
      <c r="D333" t="s">
        <v>20</v>
      </c>
      <c r="E333">
        <v>511</v>
      </c>
      <c r="F333">
        <v>271.58999999999997</v>
      </c>
      <c r="G333">
        <v>279.7</v>
      </c>
      <c r="H333">
        <v>271.58999999999997</v>
      </c>
      <c r="I333">
        <v>2447</v>
      </c>
      <c r="J333">
        <v>17</v>
      </c>
      <c r="K333" s="17">
        <f t="shared" si="41"/>
        <v>1386.6333333333332</v>
      </c>
      <c r="L333" t="str">
        <f t="shared" si="42"/>
        <v>High Risk</v>
      </c>
      <c r="P333" s="19">
        <f t="shared" si="43"/>
        <v>876</v>
      </c>
      <c r="R333" s="19">
        <f t="shared" si="40"/>
        <v>237912.83999999997</v>
      </c>
      <c r="T333" s="19">
        <f t="shared" si="44"/>
        <v>684425.9</v>
      </c>
      <c r="U333" s="19">
        <f t="shared" si="45"/>
        <v>664580.73</v>
      </c>
      <c r="V333" s="21">
        <f t="shared" si="46"/>
        <v>-19845.170000000042</v>
      </c>
      <c r="W333" s="18">
        <f t="shared" si="47"/>
        <v>-2.8995352163031882E-2</v>
      </c>
    </row>
    <row r="334" spans="1:23" x14ac:dyDescent="0.3">
      <c r="A334" t="s">
        <v>328</v>
      </c>
      <c r="B334" t="s">
        <v>3169</v>
      </c>
      <c r="C334" t="s">
        <v>16</v>
      </c>
      <c r="D334" t="s">
        <v>17</v>
      </c>
      <c r="E334">
        <v>512</v>
      </c>
      <c r="F334">
        <v>98.22</v>
      </c>
      <c r="G334">
        <v>102.54</v>
      </c>
      <c r="H334">
        <v>98.22</v>
      </c>
      <c r="I334">
        <v>3214</v>
      </c>
      <c r="J334">
        <v>83</v>
      </c>
      <c r="K334" s="17">
        <f t="shared" si="41"/>
        <v>8892.0666666666675</v>
      </c>
      <c r="L334" t="str">
        <f t="shared" si="42"/>
        <v>High Risk</v>
      </c>
      <c r="P334" s="19">
        <f t="shared" si="43"/>
        <v>8381</v>
      </c>
      <c r="R334" s="19">
        <f t="shared" si="40"/>
        <v>823181.82</v>
      </c>
      <c r="T334" s="19">
        <f t="shared" si="44"/>
        <v>329563.56</v>
      </c>
      <c r="U334" s="19">
        <f t="shared" si="45"/>
        <v>315679.08</v>
      </c>
      <c r="V334" s="21">
        <f t="shared" si="46"/>
        <v>-13884.479999999981</v>
      </c>
      <c r="W334" s="18">
        <f t="shared" si="47"/>
        <v>-4.2129900526623701E-2</v>
      </c>
    </row>
    <row r="335" spans="1:23" x14ac:dyDescent="0.3">
      <c r="A335" t="s">
        <v>96</v>
      </c>
      <c r="B335" t="s">
        <v>182</v>
      </c>
      <c r="C335" t="s">
        <v>23</v>
      </c>
      <c r="D335" t="s">
        <v>20</v>
      </c>
      <c r="E335">
        <v>514</v>
      </c>
      <c r="F335">
        <v>67.13</v>
      </c>
      <c r="G335">
        <v>62.25</v>
      </c>
      <c r="H335">
        <v>67.13</v>
      </c>
      <c r="I335">
        <v>2773</v>
      </c>
      <c r="J335">
        <v>70</v>
      </c>
      <c r="K335" s="17">
        <f t="shared" si="41"/>
        <v>6470.3333333333339</v>
      </c>
      <c r="L335" t="str">
        <f t="shared" si="42"/>
        <v>High Risk</v>
      </c>
      <c r="P335" s="19">
        <f t="shared" si="43"/>
        <v>5957</v>
      </c>
      <c r="R335" s="19">
        <f t="shared" si="40"/>
        <v>399893.41</v>
      </c>
      <c r="T335" s="19">
        <f t="shared" si="44"/>
        <v>172619.25</v>
      </c>
      <c r="U335" s="19">
        <f t="shared" si="45"/>
        <v>186151.49</v>
      </c>
      <c r="V335" s="21">
        <f t="shared" si="46"/>
        <v>13532.239999999991</v>
      </c>
      <c r="W335" s="18">
        <f t="shared" si="47"/>
        <v>7.8393574297188698E-2</v>
      </c>
    </row>
    <row r="336" spans="1:23" x14ac:dyDescent="0.3">
      <c r="A336" t="s">
        <v>273</v>
      </c>
      <c r="B336" t="s">
        <v>2965</v>
      </c>
      <c r="C336" t="s">
        <v>23</v>
      </c>
      <c r="D336" t="s">
        <v>20</v>
      </c>
      <c r="E336">
        <v>514</v>
      </c>
      <c r="F336">
        <v>498.91</v>
      </c>
      <c r="G336">
        <v>499.22</v>
      </c>
      <c r="H336">
        <v>498.91</v>
      </c>
      <c r="I336">
        <v>809</v>
      </c>
      <c r="J336">
        <v>24</v>
      </c>
      <c r="K336" s="17">
        <f t="shared" si="41"/>
        <v>647.19999999999993</v>
      </c>
      <c r="L336" t="str">
        <f t="shared" si="42"/>
        <v>High Risk</v>
      </c>
      <c r="P336" s="19">
        <f t="shared" si="43"/>
        <v>134</v>
      </c>
      <c r="R336" s="19">
        <f t="shared" si="40"/>
        <v>66853.94</v>
      </c>
      <c r="T336" s="19">
        <f t="shared" si="44"/>
        <v>403868.98000000004</v>
      </c>
      <c r="U336" s="19">
        <f t="shared" si="45"/>
        <v>403618.19</v>
      </c>
      <c r="V336" s="21">
        <f t="shared" si="46"/>
        <v>-250.79000000003725</v>
      </c>
      <c r="W336" s="18">
        <f t="shared" si="47"/>
        <v>-6.2096871118954775E-4</v>
      </c>
    </row>
    <row r="337" spans="1:23" x14ac:dyDescent="0.3">
      <c r="A337" t="s">
        <v>283</v>
      </c>
      <c r="B337" t="s">
        <v>1165</v>
      </c>
      <c r="C337" t="s">
        <v>23</v>
      </c>
      <c r="D337" t="s">
        <v>69</v>
      </c>
      <c r="E337">
        <v>515</v>
      </c>
      <c r="F337">
        <v>13.73</v>
      </c>
      <c r="G337">
        <v>13.63</v>
      </c>
      <c r="H337">
        <v>13.73</v>
      </c>
      <c r="I337">
        <v>1133</v>
      </c>
      <c r="J337">
        <v>55</v>
      </c>
      <c r="K337" s="17">
        <f t="shared" si="41"/>
        <v>2077.1666666666665</v>
      </c>
      <c r="L337" t="str">
        <f t="shared" si="42"/>
        <v>High Risk</v>
      </c>
      <c r="P337" s="19">
        <f t="shared" si="43"/>
        <v>1563</v>
      </c>
      <c r="R337" s="19">
        <f t="shared" si="40"/>
        <v>21459.99</v>
      </c>
      <c r="T337" s="19">
        <f t="shared" si="44"/>
        <v>15442.79</v>
      </c>
      <c r="U337" s="19">
        <f t="shared" si="45"/>
        <v>15556.09</v>
      </c>
      <c r="V337" s="21">
        <f t="shared" si="46"/>
        <v>113.29999999999927</v>
      </c>
      <c r="W337" s="18">
        <f t="shared" si="47"/>
        <v>7.3367571533381774E-3</v>
      </c>
    </row>
    <row r="338" spans="1:23" x14ac:dyDescent="0.3">
      <c r="A338" t="s">
        <v>173</v>
      </c>
      <c r="B338" t="s">
        <v>3059</v>
      </c>
      <c r="C338" t="s">
        <v>16</v>
      </c>
      <c r="D338" t="s">
        <v>13</v>
      </c>
      <c r="E338">
        <v>515</v>
      </c>
      <c r="F338">
        <v>196.37</v>
      </c>
      <c r="G338">
        <v>194.25</v>
      </c>
      <c r="H338">
        <v>196.37</v>
      </c>
      <c r="I338">
        <v>2217</v>
      </c>
      <c r="J338">
        <v>81</v>
      </c>
      <c r="K338" s="17">
        <f t="shared" si="41"/>
        <v>5985.9000000000005</v>
      </c>
      <c r="L338" t="str">
        <f t="shared" si="42"/>
        <v>High Risk</v>
      </c>
      <c r="P338" s="19">
        <f t="shared" si="43"/>
        <v>5471</v>
      </c>
      <c r="R338" s="19">
        <f t="shared" si="40"/>
        <v>1074340.27</v>
      </c>
      <c r="T338" s="19">
        <f t="shared" si="44"/>
        <v>430652.25</v>
      </c>
      <c r="U338" s="19">
        <f t="shared" si="45"/>
        <v>435352.29000000004</v>
      </c>
      <c r="V338" s="21">
        <f t="shared" si="46"/>
        <v>4700.0400000000373</v>
      </c>
      <c r="W338" s="18">
        <f t="shared" si="47"/>
        <v>1.0913770913771E-2</v>
      </c>
    </row>
    <row r="339" spans="1:23" x14ac:dyDescent="0.3">
      <c r="A339" t="s">
        <v>129</v>
      </c>
      <c r="B339" t="s">
        <v>130</v>
      </c>
      <c r="C339" t="s">
        <v>37</v>
      </c>
      <c r="D339" t="s">
        <v>69</v>
      </c>
      <c r="E339">
        <v>520</v>
      </c>
      <c r="F339">
        <v>365.2</v>
      </c>
      <c r="G339">
        <v>336.38</v>
      </c>
      <c r="H339">
        <v>365.2</v>
      </c>
      <c r="I339">
        <v>3829</v>
      </c>
      <c r="J339">
        <v>41</v>
      </c>
      <c r="K339" s="17">
        <f t="shared" si="41"/>
        <v>5232.9666666666672</v>
      </c>
      <c r="L339" t="str">
        <f t="shared" si="42"/>
        <v>High Risk</v>
      </c>
      <c r="P339" s="19">
        <f t="shared" si="43"/>
        <v>4713</v>
      </c>
      <c r="R339" s="19">
        <f t="shared" si="40"/>
        <v>1721187.5999999999</v>
      </c>
      <c r="T339" s="19">
        <f t="shared" si="44"/>
        <v>1287999.02</v>
      </c>
      <c r="U339" s="19">
        <f t="shared" si="45"/>
        <v>1398350.8</v>
      </c>
      <c r="V339" s="21">
        <f t="shared" si="46"/>
        <v>110351.78000000003</v>
      </c>
      <c r="W339" s="18">
        <f t="shared" si="47"/>
        <v>8.567691301504253E-2</v>
      </c>
    </row>
    <row r="340" spans="1:23" x14ac:dyDescent="0.3">
      <c r="A340" t="s">
        <v>266</v>
      </c>
      <c r="B340" t="s">
        <v>3175</v>
      </c>
      <c r="C340" t="s">
        <v>16</v>
      </c>
      <c r="D340" t="s">
        <v>17</v>
      </c>
      <c r="E340">
        <v>524</v>
      </c>
      <c r="F340">
        <v>205.28</v>
      </c>
      <c r="G340">
        <v>209.87</v>
      </c>
      <c r="H340">
        <v>205.28</v>
      </c>
      <c r="I340">
        <v>1004</v>
      </c>
      <c r="J340">
        <v>43</v>
      </c>
      <c r="K340" s="17">
        <f t="shared" si="41"/>
        <v>1439.0666666666668</v>
      </c>
      <c r="L340" t="str">
        <f t="shared" si="42"/>
        <v>High Risk</v>
      </c>
      <c r="P340" s="19">
        <f t="shared" si="43"/>
        <v>916</v>
      </c>
      <c r="R340" s="19">
        <f t="shared" si="40"/>
        <v>188036.48000000001</v>
      </c>
      <c r="T340" s="19">
        <f t="shared" si="44"/>
        <v>210709.48</v>
      </c>
      <c r="U340" s="19">
        <f t="shared" si="45"/>
        <v>206101.12</v>
      </c>
      <c r="V340" s="21">
        <f t="shared" si="46"/>
        <v>-4608.3600000000151</v>
      </c>
      <c r="W340" s="18">
        <f t="shared" si="47"/>
        <v>-2.1870681850669534E-2</v>
      </c>
    </row>
    <row r="341" spans="1:23" x14ac:dyDescent="0.3">
      <c r="A341" t="s">
        <v>363</v>
      </c>
      <c r="B341" t="s">
        <v>1638</v>
      </c>
      <c r="C341" t="s">
        <v>12</v>
      </c>
      <c r="D341" t="s">
        <v>69</v>
      </c>
      <c r="E341">
        <v>526</v>
      </c>
      <c r="F341">
        <v>211.9</v>
      </c>
      <c r="G341">
        <v>190.64</v>
      </c>
      <c r="H341">
        <v>211.9</v>
      </c>
      <c r="I341">
        <v>1421</v>
      </c>
      <c r="J341">
        <v>56</v>
      </c>
      <c r="K341" s="17">
        <f t="shared" si="41"/>
        <v>2652.5333333333333</v>
      </c>
      <c r="L341" t="str">
        <f t="shared" si="42"/>
        <v>High Risk</v>
      </c>
      <c r="P341" s="19">
        <f t="shared" si="43"/>
        <v>2127</v>
      </c>
      <c r="R341" s="19">
        <f t="shared" si="40"/>
        <v>450711.3</v>
      </c>
      <c r="T341" s="19">
        <f t="shared" si="44"/>
        <v>270899.44</v>
      </c>
      <c r="U341" s="19">
        <f t="shared" si="45"/>
        <v>301109.90000000002</v>
      </c>
      <c r="V341" s="21">
        <f t="shared" si="46"/>
        <v>30210.460000000021</v>
      </c>
      <c r="W341" s="18">
        <f t="shared" si="47"/>
        <v>0.11151909357952169</v>
      </c>
    </row>
    <row r="342" spans="1:23" x14ac:dyDescent="0.3">
      <c r="A342" t="s">
        <v>349</v>
      </c>
      <c r="B342" t="s">
        <v>1156</v>
      </c>
      <c r="C342" t="s">
        <v>16</v>
      </c>
      <c r="D342" t="s">
        <v>69</v>
      </c>
      <c r="E342">
        <v>529</v>
      </c>
      <c r="F342">
        <v>357.31</v>
      </c>
      <c r="G342">
        <v>319.13</v>
      </c>
      <c r="H342">
        <v>357.31</v>
      </c>
      <c r="I342">
        <v>3948</v>
      </c>
      <c r="J342">
        <v>55</v>
      </c>
      <c r="K342" s="17">
        <f t="shared" si="41"/>
        <v>7238</v>
      </c>
      <c r="L342" t="str">
        <f t="shared" si="42"/>
        <v>High Risk</v>
      </c>
      <c r="P342" s="19">
        <f t="shared" si="43"/>
        <v>6709</v>
      </c>
      <c r="R342" s="19">
        <f t="shared" si="40"/>
        <v>2397192.79</v>
      </c>
      <c r="T342" s="19">
        <f t="shared" si="44"/>
        <v>1259925.24</v>
      </c>
      <c r="U342" s="19">
        <f t="shared" si="45"/>
        <v>1410659.8800000001</v>
      </c>
      <c r="V342" s="21">
        <f t="shared" si="46"/>
        <v>150734.64000000013</v>
      </c>
      <c r="W342" s="18">
        <f t="shared" si="47"/>
        <v>0.1196377651740671</v>
      </c>
    </row>
    <row r="343" spans="1:23" x14ac:dyDescent="0.3">
      <c r="A343" t="s">
        <v>1019</v>
      </c>
      <c r="B343" t="s">
        <v>1020</v>
      </c>
      <c r="C343" t="s">
        <v>16</v>
      </c>
      <c r="D343" t="s">
        <v>26</v>
      </c>
      <c r="E343">
        <v>529</v>
      </c>
      <c r="F343">
        <v>256.11</v>
      </c>
      <c r="G343">
        <v>267.52</v>
      </c>
      <c r="H343">
        <v>256.11</v>
      </c>
      <c r="I343">
        <v>2617</v>
      </c>
      <c r="J343">
        <v>71</v>
      </c>
      <c r="K343" s="17">
        <f t="shared" si="41"/>
        <v>6193.5666666666666</v>
      </c>
      <c r="L343" t="str">
        <f t="shared" si="42"/>
        <v>High Risk</v>
      </c>
      <c r="P343" s="19">
        <f t="shared" si="43"/>
        <v>5665</v>
      </c>
      <c r="R343" s="19">
        <f t="shared" si="40"/>
        <v>1450863.1500000001</v>
      </c>
      <c r="T343" s="19">
        <f t="shared" si="44"/>
        <v>700099.84</v>
      </c>
      <c r="U343" s="19">
        <f t="shared" si="45"/>
        <v>670239.87</v>
      </c>
      <c r="V343" s="21">
        <f t="shared" si="46"/>
        <v>-29859.969999999972</v>
      </c>
      <c r="W343" s="18">
        <f t="shared" si="47"/>
        <v>-4.2651016746411446E-2</v>
      </c>
    </row>
    <row r="344" spans="1:23" x14ac:dyDescent="0.3">
      <c r="A344" t="s">
        <v>94</v>
      </c>
      <c r="B344" t="s">
        <v>215</v>
      </c>
      <c r="C344" t="s">
        <v>37</v>
      </c>
      <c r="D344" t="s">
        <v>26</v>
      </c>
      <c r="E344">
        <v>531</v>
      </c>
      <c r="F344">
        <v>133.19999999999999</v>
      </c>
      <c r="G344">
        <v>143.46</v>
      </c>
      <c r="H344">
        <v>133.19999999999999</v>
      </c>
      <c r="I344">
        <v>3130</v>
      </c>
      <c r="J344">
        <v>31</v>
      </c>
      <c r="K344" s="17">
        <f t="shared" si="41"/>
        <v>3234.333333333333</v>
      </c>
      <c r="L344" t="str">
        <f t="shared" si="42"/>
        <v>High Risk</v>
      </c>
      <c r="P344" s="19">
        <f t="shared" si="43"/>
        <v>2704</v>
      </c>
      <c r="R344" s="19">
        <f t="shared" si="40"/>
        <v>360172.79999999999</v>
      </c>
      <c r="T344" s="19">
        <f t="shared" si="44"/>
        <v>449029.80000000005</v>
      </c>
      <c r="U344" s="19">
        <f t="shared" si="45"/>
        <v>416915.99999999994</v>
      </c>
      <c r="V344" s="21">
        <f t="shared" si="46"/>
        <v>-32113.800000000105</v>
      </c>
      <c r="W344" s="18">
        <f t="shared" si="47"/>
        <v>-7.151819322459245E-2</v>
      </c>
    </row>
    <row r="345" spans="1:23" x14ac:dyDescent="0.3">
      <c r="A345" t="s">
        <v>240</v>
      </c>
      <c r="B345" t="s">
        <v>1608</v>
      </c>
      <c r="C345" t="s">
        <v>16</v>
      </c>
      <c r="D345" t="s">
        <v>26</v>
      </c>
      <c r="E345">
        <v>531</v>
      </c>
      <c r="F345">
        <v>138.91999999999999</v>
      </c>
      <c r="G345">
        <v>140.30000000000001</v>
      </c>
      <c r="H345">
        <v>138.91999999999999</v>
      </c>
      <c r="I345">
        <v>310</v>
      </c>
      <c r="J345">
        <v>30</v>
      </c>
      <c r="K345" s="17">
        <f t="shared" si="41"/>
        <v>310</v>
      </c>
      <c r="L345" t="str">
        <f t="shared" si="42"/>
        <v>Sufficuent Stock</v>
      </c>
      <c r="P345" s="19">
        <f t="shared" si="43"/>
        <v>0</v>
      </c>
      <c r="R345" s="19">
        <f t="shared" si="40"/>
        <v>0</v>
      </c>
      <c r="T345" s="19">
        <f t="shared" si="44"/>
        <v>43493</v>
      </c>
      <c r="U345" s="19">
        <f t="shared" si="45"/>
        <v>43065.2</v>
      </c>
      <c r="V345" s="21">
        <f t="shared" si="46"/>
        <v>-427.80000000000291</v>
      </c>
      <c r="W345" s="18">
        <f t="shared" si="47"/>
        <v>-9.8360655737705586E-3</v>
      </c>
    </row>
    <row r="346" spans="1:23" x14ac:dyDescent="0.3">
      <c r="A346" t="s">
        <v>1939</v>
      </c>
      <c r="B346" t="s">
        <v>2377</v>
      </c>
      <c r="C346" t="s">
        <v>37</v>
      </c>
      <c r="D346" t="s">
        <v>13</v>
      </c>
      <c r="E346">
        <v>534</v>
      </c>
      <c r="F346">
        <v>321.58999999999997</v>
      </c>
      <c r="G346">
        <v>293.07</v>
      </c>
      <c r="H346">
        <v>321.58999999999997</v>
      </c>
      <c r="I346">
        <v>3620</v>
      </c>
      <c r="J346">
        <v>35</v>
      </c>
      <c r="K346" s="17">
        <f t="shared" si="41"/>
        <v>4223.3333333333339</v>
      </c>
      <c r="L346" t="str">
        <f t="shared" si="42"/>
        <v>High Risk</v>
      </c>
      <c r="P346" s="19">
        <f t="shared" si="43"/>
        <v>3690</v>
      </c>
      <c r="R346" s="19">
        <f t="shared" si="40"/>
        <v>1186667.0999999999</v>
      </c>
      <c r="T346" s="19">
        <f t="shared" si="44"/>
        <v>1060913.3999999999</v>
      </c>
      <c r="U346" s="19">
        <f t="shared" si="45"/>
        <v>1164155.7999999998</v>
      </c>
      <c r="V346" s="21">
        <f t="shared" si="46"/>
        <v>103242.39999999991</v>
      </c>
      <c r="W346" s="18">
        <f t="shared" si="47"/>
        <v>9.7314634728904281E-2</v>
      </c>
    </row>
    <row r="347" spans="1:23" x14ac:dyDescent="0.3">
      <c r="A347" t="s">
        <v>943</v>
      </c>
      <c r="B347" t="s">
        <v>1460</v>
      </c>
      <c r="C347" t="s">
        <v>12</v>
      </c>
      <c r="D347" t="s">
        <v>13</v>
      </c>
      <c r="E347">
        <v>535</v>
      </c>
      <c r="F347">
        <v>297.61</v>
      </c>
      <c r="G347">
        <v>280.82</v>
      </c>
      <c r="H347">
        <v>297.61</v>
      </c>
      <c r="I347">
        <v>2761</v>
      </c>
      <c r="J347">
        <v>62</v>
      </c>
      <c r="K347" s="17">
        <f t="shared" si="41"/>
        <v>5706.0666666666666</v>
      </c>
      <c r="L347" t="str">
        <f t="shared" si="42"/>
        <v>High Risk</v>
      </c>
      <c r="P347" s="19">
        <f t="shared" si="43"/>
        <v>5172</v>
      </c>
      <c r="R347" s="19">
        <f t="shared" si="40"/>
        <v>1539238.9200000002</v>
      </c>
      <c r="T347" s="19">
        <f t="shared" si="44"/>
        <v>775344.02</v>
      </c>
      <c r="U347" s="19">
        <f t="shared" si="45"/>
        <v>821701.21000000008</v>
      </c>
      <c r="V347" s="21">
        <f t="shared" si="46"/>
        <v>46357.190000000061</v>
      </c>
      <c r="W347" s="18">
        <f t="shared" si="47"/>
        <v>5.9789188804216298E-2</v>
      </c>
    </row>
    <row r="348" spans="1:23" x14ac:dyDescent="0.3">
      <c r="A348" t="s">
        <v>382</v>
      </c>
      <c r="B348" t="s">
        <v>468</v>
      </c>
      <c r="C348" t="s">
        <v>50</v>
      </c>
      <c r="D348" t="s">
        <v>13</v>
      </c>
      <c r="E348">
        <v>536</v>
      </c>
      <c r="F348">
        <v>207.12</v>
      </c>
      <c r="G348">
        <v>178.21</v>
      </c>
      <c r="H348">
        <v>207.12</v>
      </c>
      <c r="I348">
        <v>3492</v>
      </c>
      <c r="J348">
        <v>82</v>
      </c>
      <c r="K348" s="17">
        <f t="shared" si="41"/>
        <v>9544.8000000000011</v>
      </c>
      <c r="L348" t="str">
        <f t="shared" si="42"/>
        <v>High Risk</v>
      </c>
      <c r="P348" s="19">
        <f t="shared" si="43"/>
        <v>9009</v>
      </c>
      <c r="R348" s="19">
        <f t="shared" si="40"/>
        <v>1865944.08</v>
      </c>
      <c r="T348" s="19">
        <f t="shared" si="44"/>
        <v>622309.32000000007</v>
      </c>
      <c r="U348" s="19">
        <f t="shared" si="45"/>
        <v>723263.04</v>
      </c>
      <c r="V348" s="21">
        <f t="shared" si="46"/>
        <v>100953.71999999997</v>
      </c>
      <c r="W348" s="18">
        <f t="shared" si="47"/>
        <v>0.16222434206834627</v>
      </c>
    </row>
    <row r="349" spans="1:23" x14ac:dyDescent="0.3">
      <c r="A349" t="s">
        <v>829</v>
      </c>
      <c r="B349" t="s">
        <v>1947</v>
      </c>
      <c r="C349" t="s">
        <v>16</v>
      </c>
      <c r="D349" t="s">
        <v>26</v>
      </c>
      <c r="E349">
        <v>536</v>
      </c>
      <c r="F349">
        <v>128.33000000000001</v>
      </c>
      <c r="G349">
        <v>108.86</v>
      </c>
      <c r="H349">
        <v>128.33000000000001</v>
      </c>
      <c r="I349">
        <v>3974</v>
      </c>
      <c r="J349">
        <v>58</v>
      </c>
      <c r="K349" s="17">
        <f t="shared" si="41"/>
        <v>7683.0666666666666</v>
      </c>
      <c r="L349" t="str">
        <f t="shared" si="42"/>
        <v>High Risk</v>
      </c>
      <c r="P349" s="19">
        <f t="shared" si="43"/>
        <v>7148</v>
      </c>
      <c r="R349" s="19">
        <f t="shared" si="40"/>
        <v>917302.84000000008</v>
      </c>
      <c r="T349" s="19">
        <f t="shared" si="44"/>
        <v>432609.64</v>
      </c>
      <c r="U349" s="19">
        <f t="shared" si="45"/>
        <v>509983.42000000004</v>
      </c>
      <c r="V349" s="21">
        <f t="shared" si="46"/>
        <v>77373.780000000028</v>
      </c>
      <c r="W349" s="18">
        <f t="shared" si="47"/>
        <v>0.17885357339702376</v>
      </c>
    </row>
    <row r="350" spans="1:23" x14ac:dyDescent="0.3">
      <c r="A350" t="s">
        <v>323</v>
      </c>
      <c r="B350" t="s">
        <v>1456</v>
      </c>
      <c r="C350" t="s">
        <v>37</v>
      </c>
      <c r="D350" t="s">
        <v>26</v>
      </c>
      <c r="E350">
        <v>538</v>
      </c>
      <c r="F350">
        <v>386.9</v>
      </c>
      <c r="G350">
        <v>354.4</v>
      </c>
      <c r="H350">
        <v>386.9</v>
      </c>
      <c r="I350">
        <v>3137</v>
      </c>
      <c r="J350">
        <v>85</v>
      </c>
      <c r="K350" s="17">
        <f t="shared" si="41"/>
        <v>8888.1666666666661</v>
      </c>
      <c r="L350" t="str">
        <f t="shared" si="42"/>
        <v>High Risk</v>
      </c>
      <c r="P350" s="19">
        <f t="shared" si="43"/>
        <v>8351</v>
      </c>
      <c r="R350" s="19">
        <f t="shared" si="40"/>
        <v>3231001.9</v>
      </c>
      <c r="T350" s="19">
        <f t="shared" si="44"/>
        <v>1111752.7999999998</v>
      </c>
      <c r="U350" s="19">
        <f t="shared" si="45"/>
        <v>1213705.2999999998</v>
      </c>
      <c r="V350" s="21">
        <f t="shared" si="46"/>
        <v>101952.5</v>
      </c>
      <c r="W350" s="18">
        <f t="shared" si="47"/>
        <v>9.1704288939051928E-2</v>
      </c>
    </row>
    <row r="351" spans="1:23" x14ac:dyDescent="0.3">
      <c r="A351" t="s">
        <v>438</v>
      </c>
      <c r="B351" t="s">
        <v>2590</v>
      </c>
      <c r="C351" t="s">
        <v>23</v>
      </c>
      <c r="D351" t="s">
        <v>26</v>
      </c>
      <c r="E351">
        <v>539</v>
      </c>
      <c r="F351">
        <v>119.64</v>
      </c>
      <c r="G351">
        <v>113.39</v>
      </c>
      <c r="H351">
        <v>119.64</v>
      </c>
      <c r="I351">
        <v>2085</v>
      </c>
      <c r="J351">
        <v>52</v>
      </c>
      <c r="K351" s="17">
        <f t="shared" si="41"/>
        <v>3614</v>
      </c>
      <c r="L351" t="str">
        <f t="shared" si="42"/>
        <v>High Risk</v>
      </c>
      <c r="P351" s="19">
        <f t="shared" si="43"/>
        <v>3075</v>
      </c>
      <c r="R351" s="19">
        <f t="shared" si="40"/>
        <v>367893</v>
      </c>
      <c r="T351" s="19">
        <f t="shared" si="44"/>
        <v>236418.15</v>
      </c>
      <c r="U351" s="19">
        <f t="shared" si="45"/>
        <v>249449.4</v>
      </c>
      <c r="V351" s="21">
        <f t="shared" si="46"/>
        <v>13031.25</v>
      </c>
      <c r="W351" s="18">
        <f t="shared" si="47"/>
        <v>5.5119499073992419E-2</v>
      </c>
    </row>
    <row r="352" spans="1:23" x14ac:dyDescent="0.3">
      <c r="A352" t="s">
        <v>92</v>
      </c>
      <c r="B352" t="s">
        <v>322</v>
      </c>
      <c r="C352" t="s">
        <v>23</v>
      </c>
      <c r="D352" t="s">
        <v>17</v>
      </c>
      <c r="E352">
        <v>540</v>
      </c>
      <c r="F352">
        <v>240.86</v>
      </c>
      <c r="G352">
        <v>210.15</v>
      </c>
      <c r="H352">
        <v>240.86</v>
      </c>
      <c r="I352">
        <v>3728</v>
      </c>
      <c r="J352">
        <v>14</v>
      </c>
      <c r="K352" s="17">
        <f t="shared" si="41"/>
        <v>1739.7333333333333</v>
      </c>
      <c r="L352" t="str">
        <f t="shared" si="42"/>
        <v>High Risk</v>
      </c>
      <c r="P352" s="19">
        <f t="shared" si="43"/>
        <v>1200</v>
      </c>
      <c r="R352" s="19">
        <f t="shared" si="40"/>
        <v>289032</v>
      </c>
      <c r="T352" s="19">
        <f t="shared" si="44"/>
        <v>783439.20000000007</v>
      </c>
      <c r="U352" s="19">
        <f t="shared" si="45"/>
        <v>897926.08000000007</v>
      </c>
      <c r="V352" s="21">
        <f t="shared" si="46"/>
        <v>114486.88</v>
      </c>
      <c r="W352" s="18">
        <f t="shared" si="47"/>
        <v>0.14613371401379965</v>
      </c>
    </row>
    <row r="353" spans="1:23" x14ac:dyDescent="0.3">
      <c r="A353" t="s">
        <v>10</v>
      </c>
      <c r="B353" t="s">
        <v>2270</v>
      </c>
      <c r="C353" t="s">
        <v>23</v>
      </c>
      <c r="D353" t="s">
        <v>26</v>
      </c>
      <c r="E353">
        <v>542</v>
      </c>
      <c r="F353">
        <v>375.11</v>
      </c>
      <c r="G353">
        <v>416.69</v>
      </c>
      <c r="H353">
        <v>375.11</v>
      </c>
      <c r="I353">
        <v>1048</v>
      </c>
      <c r="J353">
        <v>64</v>
      </c>
      <c r="K353" s="17">
        <f t="shared" si="41"/>
        <v>2235.7333333333331</v>
      </c>
      <c r="L353" t="str">
        <f t="shared" si="42"/>
        <v>High Risk</v>
      </c>
      <c r="P353" s="19">
        <f t="shared" si="43"/>
        <v>1694</v>
      </c>
      <c r="R353" s="19">
        <f t="shared" si="40"/>
        <v>635436.34</v>
      </c>
      <c r="T353" s="19">
        <f t="shared" si="44"/>
        <v>436691.12</v>
      </c>
      <c r="U353" s="19">
        <f t="shared" si="45"/>
        <v>393115.28</v>
      </c>
      <c r="V353" s="21">
        <f t="shared" si="46"/>
        <v>-43575.839999999967</v>
      </c>
      <c r="W353" s="18">
        <f t="shared" si="47"/>
        <v>-9.9786411960930119E-2</v>
      </c>
    </row>
    <row r="354" spans="1:23" x14ac:dyDescent="0.3">
      <c r="A354" t="s">
        <v>96</v>
      </c>
      <c r="B354" t="s">
        <v>2567</v>
      </c>
      <c r="C354" t="s">
        <v>37</v>
      </c>
      <c r="D354" t="s">
        <v>17</v>
      </c>
      <c r="E354">
        <v>544</v>
      </c>
      <c r="F354">
        <v>251.79</v>
      </c>
      <c r="G354">
        <v>243.3</v>
      </c>
      <c r="H354">
        <v>251.79</v>
      </c>
      <c r="I354">
        <v>422</v>
      </c>
      <c r="J354">
        <v>68</v>
      </c>
      <c r="K354" s="17">
        <f t="shared" si="41"/>
        <v>956.5333333333333</v>
      </c>
      <c r="L354" t="str">
        <f t="shared" si="42"/>
        <v>High Risk</v>
      </c>
      <c r="P354" s="19">
        <f t="shared" si="43"/>
        <v>413</v>
      </c>
      <c r="R354" s="19">
        <f t="shared" si="40"/>
        <v>103989.26999999999</v>
      </c>
      <c r="T354" s="19">
        <f t="shared" si="44"/>
        <v>102672.6</v>
      </c>
      <c r="U354" s="19">
        <f t="shared" si="45"/>
        <v>106255.37999999999</v>
      </c>
      <c r="V354" s="21">
        <f t="shared" si="46"/>
        <v>3582.7799999999843</v>
      </c>
      <c r="W354" s="18">
        <f t="shared" si="47"/>
        <v>3.4895191122071359E-2</v>
      </c>
    </row>
    <row r="355" spans="1:23" x14ac:dyDescent="0.3">
      <c r="A355" t="s">
        <v>21</v>
      </c>
      <c r="B355" t="s">
        <v>2614</v>
      </c>
      <c r="C355" t="s">
        <v>16</v>
      </c>
      <c r="D355" t="s">
        <v>13</v>
      </c>
      <c r="E355">
        <v>546</v>
      </c>
      <c r="F355">
        <v>302.62</v>
      </c>
      <c r="G355">
        <v>258.95999999999998</v>
      </c>
      <c r="H355">
        <v>302.62</v>
      </c>
      <c r="I355">
        <v>1388</v>
      </c>
      <c r="J355">
        <v>73</v>
      </c>
      <c r="K355" s="17">
        <f t="shared" si="41"/>
        <v>3377.4666666666667</v>
      </c>
      <c r="L355" t="str">
        <f t="shared" si="42"/>
        <v>High Risk</v>
      </c>
      <c r="P355" s="19">
        <f t="shared" si="43"/>
        <v>2832</v>
      </c>
      <c r="R355" s="19">
        <f t="shared" si="40"/>
        <v>857019.84</v>
      </c>
      <c r="T355" s="19">
        <f t="shared" si="44"/>
        <v>359436.48</v>
      </c>
      <c r="U355" s="19">
        <f t="shared" si="45"/>
        <v>420036.56</v>
      </c>
      <c r="V355" s="21">
        <f t="shared" si="46"/>
        <v>60600.080000000016</v>
      </c>
      <c r="W355" s="18">
        <f t="shared" si="47"/>
        <v>0.16859746679023793</v>
      </c>
    </row>
    <row r="356" spans="1:23" x14ac:dyDescent="0.3">
      <c r="A356" t="s">
        <v>220</v>
      </c>
      <c r="B356" t="s">
        <v>1523</v>
      </c>
      <c r="C356" t="s">
        <v>50</v>
      </c>
      <c r="D356" t="s">
        <v>69</v>
      </c>
      <c r="E356">
        <v>548</v>
      </c>
      <c r="F356">
        <v>206.98</v>
      </c>
      <c r="G356">
        <v>206.49</v>
      </c>
      <c r="H356">
        <v>206.98</v>
      </c>
      <c r="I356">
        <v>1725</v>
      </c>
      <c r="J356">
        <v>75</v>
      </c>
      <c r="K356" s="17">
        <f t="shared" si="41"/>
        <v>4312.5</v>
      </c>
      <c r="L356" t="str">
        <f t="shared" si="42"/>
        <v>High Risk</v>
      </c>
      <c r="P356" s="19">
        <f t="shared" si="43"/>
        <v>3765</v>
      </c>
      <c r="R356" s="19">
        <f t="shared" si="40"/>
        <v>779279.7</v>
      </c>
      <c r="T356" s="19">
        <f t="shared" si="44"/>
        <v>356195.25</v>
      </c>
      <c r="U356" s="19">
        <f t="shared" si="45"/>
        <v>357040.5</v>
      </c>
      <c r="V356" s="21">
        <f t="shared" si="46"/>
        <v>845.25</v>
      </c>
      <c r="W356" s="18">
        <f t="shared" si="47"/>
        <v>2.3729962710058597E-3</v>
      </c>
    </row>
    <row r="357" spans="1:23" x14ac:dyDescent="0.3">
      <c r="A357" t="s">
        <v>432</v>
      </c>
      <c r="B357" t="s">
        <v>2286</v>
      </c>
      <c r="C357" t="s">
        <v>37</v>
      </c>
      <c r="D357" t="s">
        <v>20</v>
      </c>
      <c r="E357">
        <v>549</v>
      </c>
      <c r="F357">
        <v>361.69</v>
      </c>
      <c r="G357">
        <v>325.11</v>
      </c>
      <c r="H357">
        <v>361.69</v>
      </c>
      <c r="I357">
        <v>3791</v>
      </c>
      <c r="J357">
        <v>89</v>
      </c>
      <c r="K357" s="17">
        <f t="shared" si="41"/>
        <v>11246.633333333333</v>
      </c>
      <c r="L357" t="str">
        <f t="shared" si="42"/>
        <v>High Risk</v>
      </c>
      <c r="P357" s="19">
        <f t="shared" si="43"/>
        <v>10698</v>
      </c>
      <c r="R357" s="19">
        <f t="shared" si="40"/>
        <v>3869359.62</v>
      </c>
      <c r="T357" s="19">
        <f t="shared" si="44"/>
        <v>1232492.01</v>
      </c>
      <c r="U357" s="19">
        <f t="shared" si="45"/>
        <v>1371166.79</v>
      </c>
      <c r="V357" s="21">
        <f t="shared" si="46"/>
        <v>138674.78000000003</v>
      </c>
      <c r="W357" s="18">
        <f t="shared" si="47"/>
        <v>0.11251576389529699</v>
      </c>
    </row>
    <row r="358" spans="1:23" x14ac:dyDescent="0.3">
      <c r="A358" t="s">
        <v>696</v>
      </c>
      <c r="B358" t="s">
        <v>2729</v>
      </c>
      <c r="C358" t="s">
        <v>16</v>
      </c>
      <c r="D358" t="s">
        <v>26</v>
      </c>
      <c r="E358">
        <v>549</v>
      </c>
      <c r="F358">
        <v>137.09</v>
      </c>
      <c r="G358">
        <v>115.35</v>
      </c>
      <c r="H358">
        <v>137.09</v>
      </c>
      <c r="I358">
        <v>336</v>
      </c>
      <c r="J358">
        <v>15</v>
      </c>
      <c r="K358" s="17">
        <f t="shared" si="41"/>
        <v>168</v>
      </c>
      <c r="L358" t="str">
        <f t="shared" si="42"/>
        <v>Sufficuent Stock</v>
      </c>
      <c r="P358" s="19">
        <f t="shared" si="43"/>
        <v>0</v>
      </c>
      <c r="R358" s="19">
        <f t="shared" si="40"/>
        <v>0</v>
      </c>
      <c r="T358" s="19">
        <f t="shared" si="44"/>
        <v>38757.599999999999</v>
      </c>
      <c r="U358" s="19">
        <f t="shared" si="45"/>
        <v>46062.239999999998</v>
      </c>
      <c r="V358" s="21">
        <f t="shared" si="46"/>
        <v>7304.6399999999994</v>
      </c>
      <c r="W358" s="18">
        <f t="shared" si="47"/>
        <v>0.18846987429562201</v>
      </c>
    </row>
    <row r="359" spans="1:23" x14ac:dyDescent="0.3">
      <c r="A359" t="s">
        <v>573</v>
      </c>
      <c r="B359" t="s">
        <v>3067</v>
      </c>
      <c r="C359" t="s">
        <v>50</v>
      </c>
      <c r="D359" t="s">
        <v>20</v>
      </c>
      <c r="E359">
        <v>550</v>
      </c>
      <c r="F359">
        <v>231.49</v>
      </c>
      <c r="G359">
        <v>218.67</v>
      </c>
      <c r="H359">
        <v>231.49</v>
      </c>
      <c r="I359">
        <v>1150</v>
      </c>
      <c r="J359">
        <v>46</v>
      </c>
      <c r="K359" s="17">
        <f t="shared" si="41"/>
        <v>1763.3333333333335</v>
      </c>
      <c r="L359" t="str">
        <f t="shared" si="42"/>
        <v>High Risk</v>
      </c>
      <c r="P359" s="19">
        <f t="shared" si="43"/>
        <v>1214</v>
      </c>
      <c r="R359" s="19">
        <f t="shared" si="40"/>
        <v>281028.86</v>
      </c>
      <c r="T359" s="19">
        <f t="shared" si="44"/>
        <v>251470.5</v>
      </c>
      <c r="U359" s="19">
        <f t="shared" si="45"/>
        <v>266213.5</v>
      </c>
      <c r="V359" s="21">
        <f t="shared" si="46"/>
        <v>14743</v>
      </c>
      <c r="W359" s="18">
        <f t="shared" si="47"/>
        <v>5.8627155073855582E-2</v>
      </c>
    </row>
    <row r="360" spans="1:23" x14ac:dyDescent="0.3">
      <c r="A360" t="s">
        <v>929</v>
      </c>
      <c r="B360" t="s">
        <v>2197</v>
      </c>
      <c r="C360" t="s">
        <v>16</v>
      </c>
      <c r="D360" t="s">
        <v>17</v>
      </c>
      <c r="E360">
        <v>552</v>
      </c>
      <c r="F360">
        <v>321.70999999999998</v>
      </c>
      <c r="G360">
        <v>285.63</v>
      </c>
      <c r="H360">
        <v>321.70999999999998</v>
      </c>
      <c r="I360">
        <v>3192</v>
      </c>
      <c r="J360">
        <v>42</v>
      </c>
      <c r="K360" s="17">
        <f t="shared" si="41"/>
        <v>4468.8</v>
      </c>
      <c r="L360" t="str">
        <f t="shared" si="42"/>
        <v>High Risk</v>
      </c>
      <c r="P360" s="19">
        <f t="shared" si="43"/>
        <v>3917</v>
      </c>
      <c r="R360" s="19">
        <f t="shared" si="40"/>
        <v>1260138.0699999998</v>
      </c>
      <c r="T360" s="19">
        <f t="shared" si="44"/>
        <v>911730.96</v>
      </c>
      <c r="U360" s="19">
        <f t="shared" si="45"/>
        <v>1026898.32</v>
      </c>
      <c r="V360" s="21">
        <f t="shared" si="46"/>
        <v>115167.35999999999</v>
      </c>
      <c r="W360" s="18">
        <f t="shared" si="47"/>
        <v>0.12631726359275985</v>
      </c>
    </row>
    <row r="361" spans="1:23" x14ac:dyDescent="0.3">
      <c r="A361" t="s">
        <v>432</v>
      </c>
      <c r="B361" t="s">
        <v>1069</v>
      </c>
      <c r="C361" t="s">
        <v>50</v>
      </c>
      <c r="D361" t="s">
        <v>20</v>
      </c>
      <c r="E361">
        <v>553</v>
      </c>
      <c r="F361">
        <v>67.05</v>
      </c>
      <c r="G361">
        <v>69.89</v>
      </c>
      <c r="H361">
        <v>67.05</v>
      </c>
      <c r="I361">
        <v>3623</v>
      </c>
      <c r="J361">
        <v>6</v>
      </c>
      <c r="K361" s="17">
        <f t="shared" si="41"/>
        <v>724.6</v>
      </c>
      <c r="L361" t="str">
        <f t="shared" si="42"/>
        <v>High Risk</v>
      </c>
      <c r="P361" s="19">
        <f t="shared" si="43"/>
        <v>172</v>
      </c>
      <c r="R361" s="19">
        <f t="shared" si="40"/>
        <v>11532.6</v>
      </c>
      <c r="T361" s="19">
        <f t="shared" si="44"/>
        <v>253211.47</v>
      </c>
      <c r="U361" s="19">
        <f t="shared" si="45"/>
        <v>242922.15</v>
      </c>
      <c r="V361" s="21">
        <f t="shared" si="46"/>
        <v>-10289.320000000007</v>
      </c>
      <c r="W361" s="18">
        <f t="shared" si="47"/>
        <v>-4.063528401774219E-2</v>
      </c>
    </row>
    <row r="362" spans="1:23" x14ac:dyDescent="0.3">
      <c r="A362" t="s">
        <v>712</v>
      </c>
      <c r="B362" t="s">
        <v>1110</v>
      </c>
      <c r="C362" t="s">
        <v>16</v>
      </c>
      <c r="D362" t="s">
        <v>69</v>
      </c>
      <c r="E362">
        <v>556</v>
      </c>
      <c r="F362">
        <v>231.94</v>
      </c>
      <c r="G362">
        <v>225.08</v>
      </c>
      <c r="H362">
        <v>231.94</v>
      </c>
      <c r="I362">
        <v>386</v>
      </c>
      <c r="J362">
        <v>61</v>
      </c>
      <c r="K362" s="17">
        <f t="shared" si="41"/>
        <v>784.86666666666667</v>
      </c>
      <c r="L362" t="str">
        <f t="shared" si="42"/>
        <v>High Risk</v>
      </c>
      <c r="P362" s="19">
        <f t="shared" si="43"/>
        <v>229</v>
      </c>
      <c r="R362" s="19">
        <f t="shared" si="40"/>
        <v>53114.26</v>
      </c>
      <c r="T362" s="19">
        <f t="shared" si="44"/>
        <v>86880.88</v>
      </c>
      <c r="U362" s="19">
        <f t="shared" si="45"/>
        <v>89528.84</v>
      </c>
      <c r="V362" s="21">
        <f t="shared" si="46"/>
        <v>2647.9599999999919</v>
      </c>
      <c r="W362" s="18">
        <f t="shared" si="47"/>
        <v>3.0478052248089471E-2</v>
      </c>
    </row>
    <row r="363" spans="1:23" x14ac:dyDescent="0.3">
      <c r="A363" t="s">
        <v>18</v>
      </c>
      <c r="B363" t="s">
        <v>702</v>
      </c>
      <c r="C363" t="s">
        <v>12</v>
      </c>
      <c r="D363" t="s">
        <v>69</v>
      </c>
      <c r="E363">
        <v>556</v>
      </c>
      <c r="F363">
        <v>321.27999999999997</v>
      </c>
      <c r="G363">
        <v>307.08999999999997</v>
      </c>
      <c r="H363">
        <v>321.27999999999997</v>
      </c>
      <c r="I363">
        <v>1895</v>
      </c>
      <c r="J363">
        <v>80</v>
      </c>
      <c r="K363" s="17">
        <f t="shared" si="41"/>
        <v>5053.333333333333</v>
      </c>
      <c r="L363" t="str">
        <f t="shared" si="42"/>
        <v>High Risk</v>
      </c>
      <c r="P363" s="19">
        <f t="shared" si="43"/>
        <v>4498</v>
      </c>
      <c r="R363" s="19">
        <f t="shared" si="40"/>
        <v>1445117.44</v>
      </c>
      <c r="T363" s="19">
        <f t="shared" si="44"/>
        <v>581935.54999999993</v>
      </c>
      <c r="U363" s="19">
        <f t="shared" si="45"/>
        <v>608825.59999999998</v>
      </c>
      <c r="V363" s="21">
        <f t="shared" si="46"/>
        <v>26890.050000000047</v>
      </c>
      <c r="W363" s="18">
        <f t="shared" si="47"/>
        <v>4.6207952066169615E-2</v>
      </c>
    </row>
    <row r="364" spans="1:23" x14ac:dyDescent="0.3">
      <c r="A364" t="s">
        <v>480</v>
      </c>
      <c r="B364" t="s">
        <v>2273</v>
      </c>
      <c r="C364" t="s">
        <v>50</v>
      </c>
      <c r="D364" t="s">
        <v>20</v>
      </c>
      <c r="E364">
        <v>559</v>
      </c>
      <c r="F364">
        <v>320.02999999999997</v>
      </c>
      <c r="G364">
        <v>350.76</v>
      </c>
      <c r="H364">
        <v>320.02999999999997</v>
      </c>
      <c r="I364">
        <v>2115</v>
      </c>
      <c r="J364">
        <v>44</v>
      </c>
      <c r="K364" s="17">
        <f t="shared" si="41"/>
        <v>3102</v>
      </c>
      <c r="L364" t="str">
        <f t="shared" si="42"/>
        <v>High Risk</v>
      </c>
      <c r="P364" s="19">
        <f t="shared" si="43"/>
        <v>2543</v>
      </c>
      <c r="R364" s="19">
        <f t="shared" si="40"/>
        <v>813836.28999999992</v>
      </c>
      <c r="T364" s="19">
        <f t="shared" si="44"/>
        <v>741857.4</v>
      </c>
      <c r="U364" s="19">
        <f t="shared" si="45"/>
        <v>676863.45</v>
      </c>
      <c r="V364" s="21">
        <f t="shared" si="46"/>
        <v>-64993.95000000007</v>
      </c>
      <c r="W364" s="18">
        <f t="shared" si="47"/>
        <v>-8.7609761660394664E-2</v>
      </c>
    </row>
    <row r="365" spans="1:23" x14ac:dyDescent="0.3">
      <c r="A365" t="s">
        <v>218</v>
      </c>
      <c r="B365" t="s">
        <v>2376</v>
      </c>
      <c r="C365" t="s">
        <v>37</v>
      </c>
      <c r="D365" t="s">
        <v>20</v>
      </c>
      <c r="E365">
        <v>559</v>
      </c>
      <c r="F365">
        <v>343.78</v>
      </c>
      <c r="G365">
        <v>301.88</v>
      </c>
      <c r="H365">
        <v>343.78</v>
      </c>
      <c r="I365">
        <v>3834</v>
      </c>
      <c r="J365">
        <v>54</v>
      </c>
      <c r="K365" s="17">
        <f t="shared" si="41"/>
        <v>6901.2</v>
      </c>
      <c r="L365" t="str">
        <f t="shared" si="42"/>
        <v>High Risk</v>
      </c>
      <c r="P365" s="19">
        <f t="shared" si="43"/>
        <v>6343</v>
      </c>
      <c r="R365" s="19">
        <f t="shared" si="40"/>
        <v>2180596.54</v>
      </c>
      <c r="T365" s="19">
        <f t="shared" si="44"/>
        <v>1157407.92</v>
      </c>
      <c r="U365" s="19">
        <f t="shared" si="45"/>
        <v>1318052.5199999998</v>
      </c>
      <c r="V365" s="21">
        <f t="shared" si="46"/>
        <v>160644.59999999986</v>
      </c>
      <c r="W365" s="18">
        <f t="shared" si="47"/>
        <v>0.1387968729296408</v>
      </c>
    </row>
    <row r="366" spans="1:23" x14ac:dyDescent="0.3">
      <c r="A366" t="s">
        <v>1170</v>
      </c>
      <c r="B366" t="s">
        <v>1913</v>
      </c>
      <c r="C366" t="s">
        <v>37</v>
      </c>
      <c r="D366" t="s">
        <v>13</v>
      </c>
      <c r="E366">
        <v>559</v>
      </c>
      <c r="F366">
        <v>300.33</v>
      </c>
      <c r="G366">
        <v>283.01</v>
      </c>
      <c r="H366">
        <v>300.33</v>
      </c>
      <c r="I366">
        <v>1658</v>
      </c>
      <c r="J366">
        <v>29</v>
      </c>
      <c r="K366" s="17">
        <f t="shared" si="41"/>
        <v>1602.7333333333333</v>
      </c>
      <c r="L366" t="str">
        <f t="shared" si="42"/>
        <v>High Risk</v>
      </c>
      <c r="P366" s="19">
        <f t="shared" si="43"/>
        <v>1044</v>
      </c>
      <c r="R366" s="19">
        <f t="shared" si="40"/>
        <v>313544.51999999996</v>
      </c>
      <c r="T366" s="19">
        <f t="shared" si="44"/>
        <v>469230.57999999996</v>
      </c>
      <c r="U366" s="19">
        <f t="shared" si="45"/>
        <v>497947.13999999996</v>
      </c>
      <c r="V366" s="21">
        <f t="shared" si="46"/>
        <v>28716.559999999998</v>
      </c>
      <c r="W366" s="18">
        <f t="shared" si="47"/>
        <v>6.1199250909861842E-2</v>
      </c>
    </row>
    <row r="367" spans="1:23" x14ac:dyDescent="0.3">
      <c r="A367" t="s">
        <v>979</v>
      </c>
      <c r="B367" t="s">
        <v>980</v>
      </c>
      <c r="C367" t="s">
        <v>23</v>
      </c>
      <c r="D367" t="s">
        <v>17</v>
      </c>
      <c r="E367">
        <v>560</v>
      </c>
      <c r="F367">
        <v>309.79000000000002</v>
      </c>
      <c r="G367">
        <v>267.73</v>
      </c>
      <c r="H367">
        <v>309.79000000000002</v>
      </c>
      <c r="I367">
        <v>3488</v>
      </c>
      <c r="J367">
        <v>40</v>
      </c>
      <c r="K367" s="17">
        <f t="shared" si="41"/>
        <v>4650.666666666667</v>
      </c>
      <c r="L367" t="str">
        <f t="shared" si="42"/>
        <v>High Risk</v>
      </c>
      <c r="P367" s="19">
        <f t="shared" si="43"/>
        <v>4091</v>
      </c>
      <c r="R367" s="19">
        <f t="shared" si="40"/>
        <v>1267350.8900000001</v>
      </c>
      <c r="T367" s="19">
        <f t="shared" si="44"/>
        <v>933842.24000000011</v>
      </c>
      <c r="U367" s="19">
        <f t="shared" si="45"/>
        <v>1080547.52</v>
      </c>
      <c r="V367" s="21">
        <f t="shared" si="46"/>
        <v>146705.27999999991</v>
      </c>
      <c r="W367" s="18">
        <f t="shared" si="47"/>
        <v>0.15709856945430087</v>
      </c>
    </row>
    <row r="368" spans="1:23" x14ac:dyDescent="0.3">
      <c r="A368" t="s">
        <v>992</v>
      </c>
      <c r="B368" t="s">
        <v>2139</v>
      </c>
      <c r="C368" t="s">
        <v>12</v>
      </c>
      <c r="D368" t="s">
        <v>13</v>
      </c>
      <c r="E368">
        <v>560</v>
      </c>
      <c r="F368">
        <v>228.89</v>
      </c>
      <c r="G368">
        <v>199.03</v>
      </c>
      <c r="H368">
        <v>228.89</v>
      </c>
      <c r="I368">
        <v>3277</v>
      </c>
      <c r="J368">
        <v>84</v>
      </c>
      <c r="K368" s="17">
        <f t="shared" si="41"/>
        <v>9175.6</v>
      </c>
      <c r="L368" t="str">
        <f t="shared" si="42"/>
        <v>High Risk</v>
      </c>
      <c r="P368" s="19">
        <f t="shared" si="43"/>
        <v>8616</v>
      </c>
      <c r="R368" s="19">
        <f t="shared" si="40"/>
        <v>1972116.24</v>
      </c>
      <c r="T368" s="19">
        <f t="shared" si="44"/>
        <v>652221.31000000006</v>
      </c>
      <c r="U368" s="19">
        <f t="shared" si="45"/>
        <v>750072.52999999991</v>
      </c>
      <c r="V368" s="21">
        <f t="shared" si="46"/>
        <v>97851.219999999856</v>
      </c>
      <c r="W368" s="18">
        <f t="shared" si="47"/>
        <v>0.15002763402502112</v>
      </c>
    </row>
    <row r="369" spans="1:23" x14ac:dyDescent="0.3">
      <c r="A369" t="s">
        <v>455</v>
      </c>
      <c r="B369" t="s">
        <v>1801</v>
      </c>
      <c r="C369" t="s">
        <v>50</v>
      </c>
      <c r="D369" t="s">
        <v>26</v>
      </c>
      <c r="E369">
        <v>560</v>
      </c>
      <c r="F369">
        <v>95.72</v>
      </c>
      <c r="G369">
        <v>89.54</v>
      </c>
      <c r="H369">
        <v>95.72</v>
      </c>
      <c r="I369">
        <v>277</v>
      </c>
      <c r="J369">
        <v>71</v>
      </c>
      <c r="K369" s="17">
        <f t="shared" si="41"/>
        <v>655.56666666666661</v>
      </c>
      <c r="L369" t="str">
        <f t="shared" si="42"/>
        <v>High Risk</v>
      </c>
      <c r="P369" s="19">
        <f t="shared" si="43"/>
        <v>96</v>
      </c>
      <c r="R369" s="19">
        <f t="shared" si="40"/>
        <v>9189.119999999999</v>
      </c>
      <c r="T369" s="19">
        <f t="shared" si="44"/>
        <v>24802.58</v>
      </c>
      <c r="U369" s="19">
        <f t="shared" si="45"/>
        <v>26514.44</v>
      </c>
      <c r="V369" s="21">
        <f t="shared" si="46"/>
        <v>1711.8599999999969</v>
      </c>
      <c r="W369" s="18">
        <f t="shared" si="47"/>
        <v>6.9019432655796159E-2</v>
      </c>
    </row>
    <row r="370" spans="1:23" x14ac:dyDescent="0.3">
      <c r="A370" t="s">
        <v>869</v>
      </c>
      <c r="B370" t="s">
        <v>2359</v>
      </c>
      <c r="C370" t="s">
        <v>37</v>
      </c>
      <c r="D370" t="s">
        <v>20</v>
      </c>
      <c r="E370">
        <v>564</v>
      </c>
      <c r="F370">
        <v>312.27999999999997</v>
      </c>
      <c r="G370">
        <v>320.14</v>
      </c>
      <c r="H370">
        <v>312.27999999999997</v>
      </c>
      <c r="I370">
        <v>914</v>
      </c>
      <c r="J370">
        <v>59</v>
      </c>
      <c r="K370" s="17">
        <f t="shared" si="41"/>
        <v>1797.5333333333333</v>
      </c>
      <c r="L370" t="str">
        <f t="shared" si="42"/>
        <v>High Risk</v>
      </c>
      <c r="P370" s="19">
        <f t="shared" si="43"/>
        <v>1234</v>
      </c>
      <c r="R370" s="19">
        <f t="shared" si="40"/>
        <v>385353.51999999996</v>
      </c>
      <c r="T370" s="19">
        <f t="shared" si="44"/>
        <v>292607.95999999996</v>
      </c>
      <c r="U370" s="19">
        <f t="shared" si="45"/>
        <v>285423.92</v>
      </c>
      <c r="V370" s="21">
        <f t="shared" si="46"/>
        <v>-7184.039999999979</v>
      </c>
      <c r="W370" s="18">
        <f t="shared" si="47"/>
        <v>-2.4551758605609979E-2</v>
      </c>
    </row>
    <row r="371" spans="1:23" x14ac:dyDescent="0.3">
      <c r="A371" t="s">
        <v>1481</v>
      </c>
      <c r="B371" t="s">
        <v>1482</v>
      </c>
      <c r="C371" t="s">
        <v>37</v>
      </c>
      <c r="D371" t="s">
        <v>26</v>
      </c>
      <c r="E371">
        <v>564</v>
      </c>
      <c r="F371">
        <v>584.75</v>
      </c>
      <c r="G371">
        <v>488.13</v>
      </c>
      <c r="H371">
        <v>584.75</v>
      </c>
      <c r="I371">
        <v>3551</v>
      </c>
      <c r="J371">
        <v>77</v>
      </c>
      <c r="K371" s="17">
        <f t="shared" si="41"/>
        <v>9114.2333333333336</v>
      </c>
      <c r="L371" t="str">
        <f t="shared" si="42"/>
        <v>High Risk</v>
      </c>
      <c r="P371" s="19">
        <f t="shared" si="43"/>
        <v>8551</v>
      </c>
      <c r="R371" s="19">
        <f t="shared" si="40"/>
        <v>5000197.25</v>
      </c>
      <c r="T371" s="19">
        <f t="shared" si="44"/>
        <v>1733349.63</v>
      </c>
      <c r="U371" s="19">
        <f t="shared" si="45"/>
        <v>2076447.25</v>
      </c>
      <c r="V371" s="21">
        <f t="shared" si="46"/>
        <v>343097.62000000011</v>
      </c>
      <c r="W371" s="18">
        <f t="shared" si="47"/>
        <v>0.19793907360744073</v>
      </c>
    </row>
    <row r="372" spans="1:23" x14ac:dyDescent="0.3">
      <c r="A372" t="s">
        <v>712</v>
      </c>
      <c r="B372" t="s">
        <v>3160</v>
      </c>
      <c r="C372" t="s">
        <v>37</v>
      </c>
      <c r="D372" t="s">
        <v>13</v>
      </c>
      <c r="E372">
        <v>565</v>
      </c>
      <c r="F372">
        <v>123.7</v>
      </c>
      <c r="G372">
        <v>112.27</v>
      </c>
      <c r="H372">
        <v>123.7</v>
      </c>
      <c r="I372">
        <v>3560</v>
      </c>
      <c r="J372">
        <v>52</v>
      </c>
      <c r="K372" s="17">
        <f t="shared" si="41"/>
        <v>6170.666666666667</v>
      </c>
      <c r="L372" t="str">
        <f t="shared" si="42"/>
        <v>High Risk</v>
      </c>
      <c r="P372" s="19">
        <f t="shared" si="43"/>
        <v>5606</v>
      </c>
      <c r="R372" s="19">
        <f t="shared" si="40"/>
        <v>693462.20000000007</v>
      </c>
      <c r="T372" s="19">
        <f t="shared" si="44"/>
        <v>399681.2</v>
      </c>
      <c r="U372" s="19">
        <f t="shared" si="45"/>
        <v>440372</v>
      </c>
      <c r="V372" s="21">
        <f t="shared" si="46"/>
        <v>40690.799999999988</v>
      </c>
      <c r="W372" s="18">
        <f t="shared" si="47"/>
        <v>0.10180814108844746</v>
      </c>
    </row>
    <row r="373" spans="1:23" x14ac:dyDescent="0.3">
      <c r="A373" t="s">
        <v>92</v>
      </c>
      <c r="B373" t="s">
        <v>2618</v>
      </c>
      <c r="C373" t="s">
        <v>37</v>
      </c>
      <c r="D373" t="s">
        <v>26</v>
      </c>
      <c r="E373">
        <v>568</v>
      </c>
      <c r="F373">
        <v>208.62</v>
      </c>
      <c r="G373">
        <v>199.19</v>
      </c>
      <c r="H373">
        <v>208.62</v>
      </c>
      <c r="I373">
        <v>611</v>
      </c>
      <c r="J373">
        <v>74</v>
      </c>
      <c r="K373" s="17">
        <f t="shared" si="41"/>
        <v>1507.1333333333334</v>
      </c>
      <c r="L373" t="str">
        <f t="shared" si="42"/>
        <v>High Risk</v>
      </c>
      <c r="P373" s="19">
        <f t="shared" si="43"/>
        <v>940</v>
      </c>
      <c r="R373" s="19">
        <f t="shared" si="40"/>
        <v>196102.80000000002</v>
      </c>
      <c r="T373" s="19">
        <f t="shared" si="44"/>
        <v>121705.09</v>
      </c>
      <c r="U373" s="19">
        <f t="shared" si="45"/>
        <v>127466.82</v>
      </c>
      <c r="V373" s="21">
        <f t="shared" si="46"/>
        <v>5761.7300000000105</v>
      </c>
      <c r="W373" s="18">
        <f t="shared" si="47"/>
        <v>4.7341734022792396E-2</v>
      </c>
    </row>
    <row r="374" spans="1:23" x14ac:dyDescent="0.3">
      <c r="A374" t="s">
        <v>201</v>
      </c>
      <c r="B374" t="s">
        <v>3069</v>
      </c>
      <c r="C374" t="s">
        <v>16</v>
      </c>
      <c r="D374" t="s">
        <v>20</v>
      </c>
      <c r="E374">
        <v>568</v>
      </c>
      <c r="F374">
        <v>289.33999999999997</v>
      </c>
      <c r="G374">
        <v>312.16000000000003</v>
      </c>
      <c r="H374">
        <v>289.33999999999997</v>
      </c>
      <c r="I374">
        <v>3956</v>
      </c>
      <c r="J374">
        <v>12</v>
      </c>
      <c r="K374" s="17">
        <f t="shared" si="41"/>
        <v>1582.4</v>
      </c>
      <c r="L374" t="str">
        <f t="shared" si="42"/>
        <v>High Risk</v>
      </c>
      <c r="P374" s="19">
        <f t="shared" si="43"/>
        <v>1015</v>
      </c>
      <c r="R374" s="19">
        <f t="shared" si="40"/>
        <v>293680.09999999998</v>
      </c>
      <c r="T374" s="19">
        <f t="shared" si="44"/>
        <v>1234904.9600000002</v>
      </c>
      <c r="U374" s="19">
        <f t="shared" si="45"/>
        <v>1144629.0399999998</v>
      </c>
      <c r="V374" s="21">
        <f t="shared" si="46"/>
        <v>-90275.920000000391</v>
      </c>
      <c r="W374" s="18">
        <f t="shared" si="47"/>
        <v>-7.3103536647873196E-2</v>
      </c>
    </row>
    <row r="375" spans="1:23" x14ac:dyDescent="0.3">
      <c r="A375" t="s">
        <v>1445</v>
      </c>
      <c r="B375" t="s">
        <v>1446</v>
      </c>
      <c r="C375" t="s">
        <v>12</v>
      </c>
      <c r="D375" t="s">
        <v>17</v>
      </c>
      <c r="E375">
        <v>569</v>
      </c>
      <c r="F375">
        <v>381.07</v>
      </c>
      <c r="G375">
        <v>360.65</v>
      </c>
      <c r="H375">
        <v>381.07</v>
      </c>
      <c r="I375">
        <v>3008</v>
      </c>
      <c r="J375">
        <v>65</v>
      </c>
      <c r="K375" s="17">
        <f t="shared" si="41"/>
        <v>6517.333333333333</v>
      </c>
      <c r="L375" t="str">
        <f t="shared" si="42"/>
        <v>High Risk</v>
      </c>
      <c r="P375" s="19">
        <f t="shared" si="43"/>
        <v>5949</v>
      </c>
      <c r="R375" s="19">
        <f t="shared" si="40"/>
        <v>2266985.4300000002</v>
      </c>
      <c r="T375" s="19">
        <f t="shared" si="44"/>
        <v>1084835.2</v>
      </c>
      <c r="U375" s="19">
        <f t="shared" si="45"/>
        <v>1146258.56</v>
      </c>
      <c r="V375" s="21">
        <f t="shared" si="46"/>
        <v>61423.360000000102</v>
      </c>
      <c r="W375" s="18">
        <f t="shared" si="47"/>
        <v>5.6619991681685945E-2</v>
      </c>
    </row>
    <row r="376" spans="1:23" x14ac:dyDescent="0.3">
      <c r="A376" t="s">
        <v>737</v>
      </c>
      <c r="B376" t="s">
        <v>2301</v>
      </c>
      <c r="C376" t="s">
        <v>12</v>
      </c>
      <c r="D376" t="s">
        <v>69</v>
      </c>
      <c r="E376">
        <v>573</v>
      </c>
      <c r="F376">
        <v>80.91</v>
      </c>
      <c r="G376">
        <v>83.44</v>
      </c>
      <c r="H376">
        <v>80.91</v>
      </c>
      <c r="I376">
        <v>3101</v>
      </c>
      <c r="J376">
        <v>30</v>
      </c>
      <c r="K376" s="17">
        <f t="shared" si="41"/>
        <v>3101</v>
      </c>
      <c r="L376" t="str">
        <f t="shared" si="42"/>
        <v>High Risk</v>
      </c>
      <c r="P376" s="19">
        <f t="shared" si="43"/>
        <v>2528</v>
      </c>
      <c r="R376" s="19">
        <f t="shared" si="40"/>
        <v>204540.47999999998</v>
      </c>
      <c r="T376" s="19">
        <f t="shared" si="44"/>
        <v>258747.44</v>
      </c>
      <c r="U376" s="19">
        <f t="shared" si="45"/>
        <v>250901.91</v>
      </c>
      <c r="V376" s="21">
        <f t="shared" si="46"/>
        <v>-7845.5299999999988</v>
      </c>
      <c r="W376" s="18">
        <f t="shared" si="47"/>
        <v>-3.0321188878235854E-2</v>
      </c>
    </row>
    <row r="377" spans="1:23" x14ac:dyDescent="0.3">
      <c r="A377" t="s">
        <v>51</v>
      </c>
      <c r="B377" t="s">
        <v>1291</v>
      </c>
      <c r="C377" t="s">
        <v>23</v>
      </c>
      <c r="D377" t="s">
        <v>17</v>
      </c>
      <c r="E377">
        <v>576</v>
      </c>
      <c r="F377">
        <v>586.86</v>
      </c>
      <c r="G377">
        <v>491.8</v>
      </c>
      <c r="H377">
        <v>586.86</v>
      </c>
      <c r="I377">
        <v>2496</v>
      </c>
      <c r="J377">
        <v>18</v>
      </c>
      <c r="K377" s="17">
        <f t="shared" si="41"/>
        <v>1497.6000000000001</v>
      </c>
      <c r="L377" t="str">
        <f t="shared" si="42"/>
        <v>High Risk</v>
      </c>
      <c r="P377" s="19">
        <f t="shared" si="43"/>
        <v>922</v>
      </c>
      <c r="R377" s="19">
        <f t="shared" si="40"/>
        <v>541084.92000000004</v>
      </c>
      <c r="T377" s="19">
        <f t="shared" si="44"/>
        <v>1227532.8</v>
      </c>
      <c r="U377" s="19">
        <f t="shared" si="45"/>
        <v>1464802.56</v>
      </c>
      <c r="V377" s="21">
        <f t="shared" si="46"/>
        <v>237269.76000000001</v>
      </c>
      <c r="W377" s="18">
        <f t="shared" si="47"/>
        <v>0.19328995526636844</v>
      </c>
    </row>
    <row r="378" spans="1:23" x14ac:dyDescent="0.3">
      <c r="A378" t="s">
        <v>590</v>
      </c>
      <c r="B378" t="s">
        <v>591</v>
      </c>
      <c r="C378" t="s">
        <v>37</v>
      </c>
      <c r="D378" t="s">
        <v>17</v>
      </c>
      <c r="E378">
        <v>578</v>
      </c>
      <c r="F378">
        <v>385.11</v>
      </c>
      <c r="G378">
        <v>326.68</v>
      </c>
      <c r="H378">
        <v>385.11</v>
      </c>
      <c r="I378">
        <v>1315</v>
      </c>
      <c r="J378">
        <v>42</v>
      </c>
      <c r="K378" s="17">
        <f t="shared" si="41"/>
        <v>1841</v>
      </c>
      <c r="L378" t="str">
        <f t="shared" si="42"/>
        <v>High Risk</v>
      </c>
      <c r="P378" s="19">
        <f t="shared" si="43"/>
        <v>1263</v>
      </c>
      <c r="R378" s="19">
        <f t="shared" si="40"/>
        <v>486393.93</v>
      </c>
      <c r="T378" s="19">
        <f t="shared" si="44"/>
        <v>429584.2</v>
      </c>
      <c r="U378" s="19">
        <f t="shared" si="45"/>
        <v>506419.65</v>
      </c>
      <c r="V378" s="21">
        <f t="shared" si="46"/>
        <v>76835.450000000012</v>
      </c>
      <c r="W378" s="18">
        <f t="shared" si="47"/>
        <v>0.17886004652871312</v>
      </c>
    </row>
    <row r="379" spans="1:23" x14ac:dyDescent="0.3">
      <c r="A379" t="s">
        <v>338</v>
      </c>
      <c r="B379" t="s">
        <v>339</v>
      </c>
      <c r="C379" t="s">
        <v>12</v>
      </c>
      <c r="D379" t="s">
        <v>13</v>
      </c>
      <c r="E379">
        <v>579</v>
      </c>
      <c r="F379">
        <v>422.63</v>
      </c>
      <c r="G379">
        <v>384.08</v>
      </c>
      <c r="H379">
        <v>422.63</v>
      </c>
      <c r="I379">
        <v>418</v>
      </c>
      <c r="J379">
        <v>54</v>
      </c>
      <c r="K379" s="17">
        <f t="shared" si="41"/>
        <v>752.4</v>
      </c>
      <c r="L379" t="str">
        <f t="shared" si="42"/>
        <v>High Risk</v>
      </c>
      <c r="P379" s="19">
        <f t="shared" si="43"/>
        <v>174</v>
      </c>
      <c r="R379" s="19">
        <f t="shared" si="40"/>
        <v>73537.62</v>
      </c>
      <c r="T379" s="19">
        <f t="shared" si="44"/>
        <v>160545.44</v>
      </c>
      <c r="U379" s="19">
        <f t="shared" si="45"/>
        <v>176659.34</v>
      </c>
      <c r="V379" s="21">
        <f t="shared" si="46"/>
        <v>16113.899999999994</v>
      </c>
      <c r="W379" s="18">
        <f t="shared" si="47"/>
        <v>0.10036971464278271</v>
      </c>
    </row>
    <row r="380" spans="1:23" x14ac:dyDescent="0.3">
      <c r="A380" t="s">
        <v>312</v>
      </c>
      <c r="B380" t="s">
        <v>2675</v>
      </c>
      <c r="C380" t="s">
        <v>16</v>
      </c>
      <c r="D380" t="s">
        <v>69</v>
      </c>
      <c r="E380">
        <v>582</v>
      </c>
      <c r="F380">
        <v>514.84</v>
      </c>
      <c r="G380">
        <v>446.4</v>
      </c>
      <c r="H380">
        <v>514.84</v>
      </c>
      <c r="I380">
        <v>2294</v>
      </c>
      <c r="J380">
        <v>18</v>
      </c>
      <c r="K380" s="17">
        <f t="shared" si="41"/>
        <v>1376.4</v>
      </c>
      <c r="L380" t="str">
        <f t="shared" si="42"/>
        <v>High Risk</v>
      </c>
      <c r="P380" s="19">
        <f t="shared" si="43"/>
        <v>795</v>
      </c>
      <c r="R380" s="19">
        <f t="shared" si="40"/>
        <v>409297.80000000005</v>
      </c>
      <c r="T380" s="19">
        <f t="shared" si="44"/>
        <v>1024041.6</v>
      </c>
      <c r="U380" s="19">
        <f t="shared" si="45"/>
        <v>1181042.96</v>
      </c>
      <c r="V380" s="21">
        <f t="shared" si="46"/>
        <v>157001.35999999999</v>
      </c>
      <c r="W380" s="18">
        <f t="shared" si="47"/>
        <v>0.15331541218637992</v>
      </c>
    </row>
    <row r="381" spans="1:23" x14ac:dyDescent="0.3">
      <c r="A381" t="s">
        <v>312</v>
      </c>
      <c r="B381" t="s">
        <v>2861</v>
      </c>
      <c r="C381" t="s">
        <v>12</v>
      </c>
      <c r="D381" t="s">
        <v>17</v>
      </c>
      <c r="E381">
        <v>584</v>
      </c>
      <c r="F381">
        <v>481.22</v>
      </c>
      <c r="G381">
        <v>467.13</v>
      </c>
      <c r="H381">
        <v>481.22</v>
      </c>
      <c r="I381">
        <v>2765</v>
      </c>
      <c r="J381">
        <v>34</v>
      </c>
      <c r="K381" s="17">
        <f t="shared" si="41"/>
        <v>3133.666666666667</v>
      </c>
      <c r="L381" t="str">
        <f t="shared" si="42"/>
        <v>High Risk</v>
      </c>
      <c r="P381" s="19">
        <f t="shared" si="43"/>
        <v>2550</v>
      </c>
      <c r="R381" s="19">
        <f t="shared" si="40"/>
        <v>1227111</v>
      </c>
      <c r="T381" s="19">
        <f t="shared" si="44"/>
        <v>1291614.45</v>
      </c>
      <c r="U381" s="19">
        <f t="shared" si="45"/>
        <v>1330573.3</v>
      </c>
      <c r="V381" s="21">
        <f t="shared" si="46"/>
        <v>38958.850000000093</v>
      </c>
      <c r="W381" s="18">
        <f t="shared" si="47"/>
        <v>3.0162909682529562E-2</v>
      </c>
    </row>
    <row r="382" spans="1:23" x14ac:dyDescent="0.3">
      <c r="A382" t="s">
        <v>193</v>
      </c>
      <c r="B382" t="s">
        <v>2741</v>
      </c>
      <c r="C382" t="s">
        <v>50</v>
      </c>
      <c r="D382" t="s">
        <v>26</v>
      </c>
      <c r="E382">
        <v>585</v>
      </c>
      <c r="F382">
        <v>79.42</v>
      </c>
      <c r="G382">
        <v>85.22</v>
      </c>
      <c r="H382">
        <v>79.42</v>
      </c>
      <c r="I382">
        <v>1887</v>
      </c>
      <c r="J382">
        <v>22</v>
      </c>
      <c r="K382" s="17">
        <f t="shared" si="41"/>
        <v>1383.8</v>
      </c>
      <c r="L382" t="str">
        <f t="shared" si="42"/>
        <v>High Risk</v>
      </c>
      <c r="P382" s="19">
        <f t="shared" si="43"/>
        <v>799</v>
      </c>
      <c r="R382" s="19">
        <f t="shared" si="40"/>
        <v>63456.58</v>
      </c>
      <c r="T382" s="19">
        <f t="shared" si="44"/>
        <v>160810.13999999998</v>
      </c>
      <c r="U382" s="19">
        <f t="shared" si="45"/>
        <v>149865.54</v>
      </c>
      <c r="V382" s="21">
        <f t="shared" si="46"/>
        <v>-10944.599999999977</v>
      </c>
      <c r="W382" s="18">
        <f t="shared" si="47"/>
        <v>-6.805914104670252E-2</v>
      </c>
    </row>
    <row r="383" spans="1:23" x14ac:dyDescent="0.3">
      <c r="A383" t="s">
        <v>573</v>
      </c>
      <c r="B383" t="s">
        <v>1095</v>
      </c>
      <c r="C383" t="s">
        <v>16</v>
      </c>
      <c r="D383" t="s">
        <v>69</v>
      </c>
      <c r="E383">
        <v>587</v>
      </c>
      <c r="F383">
        <v>414.59</v>
      </c>
      <c r="G383">
        <v>347.29</v>
      </c>
      <c r="H383">
        <v>414.59</v>
      </c>
      <c r="I383">
        <v>552</v>
      </c>
      <c r="J383">
        <v>79</v>
      </c>
      <c r="K383" s="17">
        <f t="shared" si="41"/>
        <v>1453.6</v>
      </c>
      <c r="L383" t="str">
        <f t="shared" si="42"/>
        <v>High Risk</v>
      </c>
      <c r="P383" s="19">
        <f t="shared" si="43"/>
        <v>867</v>
      </c>
      <c r="R383" s="19">
        <f t="shared" si="40"/>
        <v>359449.52999999997</v>
      </c>
      <c r="T383" s="19">
        <f t="shared" si="44"/>
        <v>191704.08000000002</v>
      </c>
      <c r="U383" s="19">
        <f t="shared" si="45"/>
        <v>228853.68</v>
      </c>
      <c r="V383" s="21">
        <f t="shared" si="46"/>
        <v>37149.599999999977</v>
      </c>
      <c r="W383" s="18">
        <f t="shared" si="47"/>
        <v>0.19378617293904216</v>
      </c>
    </row>
    <row r="384" spans="1:23" x14ac:dyDescent="0.3">
      <c r="A384" t="s">
        <v>1148</v>
      </c>
      <c r="B384" t="s">
        <v>3318</v>
      </c>
      <c r="C384" t="s">
        <v>16</v>
      </c>
      <c r="D384" t="s">
        <v>26</v>
      </c>
      <c r="E384">
        <v>587</v>
      </c>
      <c r="F384">
        <v>38.76</v>
      </c>
      <c r="G384">
        <v>40.24</v>
      </c>
      <c r="H384">
        <v>38.76</v>
      </c>
      <c r="I384">
        <v>3579</v>
      </c>
      <c r="J384">
        <v>58</v>
      </c>
      <c r="K384" s="17">
        <f t="shared" si="41"/>
        <v>6919.4</v>
      </c>
      <c r="L384" t="str">
        <f t="shared" si="42"/>
        <v>High Risk</v>
      </c>
      <c r="P384" s="19">
        <f t="shared" si="43"/>
        <v>6333</v>
      </c>
      <c r="R384" s="19">
        <f t="shared" si="40"/>
        <v>245467.08</v>
      </c>
      <c r="T384" s="19">
        <f t="shared" si="44"/>
        <v>144018.96000000002</v>
      </c>
      <c r="U384" s="19">
        <f t="shared" si="45"/>
        <v>138722.03999999998</v>
      </c>
      <c r="V384" s="21">
        <f t="shared" si="46"/>
        <v>-5296.9200000000419</v>
      </c>
      <c r="W384" s="18">
        <f t="shared" si="47"/>
        <v>-3.6779324055666286E-2</v>
      </c>
    </row>
    <row r="385" spans="1:23" x14ac:dyDescent="0.3">
      <c r="A385" t="s">
        <v>442</v>
      </c>
      <c r="B385" t="s">
        <v>3375</v>
      </c>
      <c r="C385" t="s">
        <v>23</v>
      </c>
      <c r="D385" t="s">
        <v>13</v>
      </c>
      <c r="E385">
        <v>588</v>
      </c>
      <c r="F385">
        <v>131.58000000000001</v>
      </c>
      <c r="G385">
        <v>119.78</v>
      </c>
      <c r="H385">
        <v>131.58000000000001</v>
      </c>
      <c r="I385">
        <v>3444</v>
      </c>
      <c r="J385">
        <v>16</v>
      </c>
      <c r="K385" s="17">
        <f t="shared" si="41"/>
        <v>1836.8</v>
      </c>
      <c r="L385" t="str">
        <f t="shared" si="42"/>
        <v>High Risk</v>
      </c>
      <c r="P385" s="19">
        <f t="shared" si="43"/>
        <v>1249</v>
      </c>
      <c r="R385" s="19">
        <f t="shared" si="40"/>
        <v>164343.42000000001</v>
      </c>
      <c r="T385" s="19">
        <f t="shared" si="44"/>
        <v>412522.32</v>
      </c>
      <c r="U385" s="19">
        <f t="shared" si="45"/>
        <v>453161.52</v>
      </c>
      <c r="V385" s="21">
        <f t="shared" si="46"/>
        <v>40639.200000000012</v>
      </c>
      <c r="W385" s="18">
        <f t="shared" si="47"/>
        <v>9.8513942227416954E-2</v>
      </c>
    </row>
    <row r="386" spans="1:23" x14ac:dyDescent="0.3">
      <c r="A386" t="s">
        <v>1148</v>
      </c>
      <c r="B386" t="s">
        <v>2384</v>
      </c>
      <c r="C386" t="s">
        <v>50</v>
      </c>
      <c r="D386" t="s">
        <v>26</v>
      </c>
      <c r="E386">
        <v>588</v>
      </c>
      <c r="F386">
        <v>159.33000000000001</v>
      </c>
      <c r="G386">
        <v>150.9</v>
      </c>
      <c r="H386">
        <v>159.33000000000001</v>
      </c>
      <c r="I386">
        <v>2665</v>
      </c>
      <c r="J386">
        <v>71</v>
      </c>
      <c r="K386" s="17">
        <f t="shared" si="41"/>
        <v>6307.1666666666661</v>
      </c>
      <c r="L386" t="str">
        <f t="shared" si="42"/>
        <v>High Risk</v>
      </c>
      <c r="P386" s="19">
        <f t="shared" si="43"/>
        <v>5720</v>
      </c>
      <c r="R386" s="19">
        <f t="shared" ref="R386:R449" si="48">P386*H386</f>
        <v>911367.60000000009</v>
      </c>
      <c r="T386" s="19">
        <f t="shared" si="44"/>
        <v>402148.5</v>
      </c>
      <c r="U386" s="19">
        <f t="shared" si="45"/>
        <v>424614.45</v>
      </c>
      <c r="V386" s="21">
        <f t="shared" si="46"/>
        <v>22465.950000000012</v>
      </c>
      <c r="W386" s="18">
        <f t="shared" si="47"/>
        <v>5.5864811133200826E-2</v>
      </c>
    </row>
    <row r="387" spans="1:23" x14ac:dyDescent="0.3">
      <c r="A387" t="s">
        <v>57</v>
      </c>
      <c r="B387" t="s">
        <v>1300</v>
      </c>
      <c r="C387" t="s">
        <v>23</v>
      </c>
      <c r="D387" t="s">
        <v>20</v>
      </c>
      <c r="E387">
        <v>589</v>
      </c>
      <c r="F387">
        <v>189.8</v>
      </c>
      <c r="G387">
        <v>192.82</v>
      </c>
      <c r="H387">
        <v>189.8</v>
      </c>
      <c r="I387">
        <v>1431</v>
      </c>
      <c r="J387">
        <v>67</v>
      </c>
      <c r="K387" s="17">
        <f t="shared" ref="K387:K450" si="49">(I387/30)*J387</f>
        <v>3195.9</v>
      </c>
      <c r="L387" t="str">
        <f t="shared" ref="L387:L450" si="50">IF(E387&lt;K387,"High Risk","Sufficuent Stock")</f>
        <v>High Risk</v>
      </c>
      <c r="P387" s="19">
        <f t="shared" ref="P387:P450" si="51">ROUNDUP(MAX(0,K387-E387),0)</f>
        <v>2607</v>
      </c>
      <c r="R387" s="19">
        <f t="shared" si="48"/>
        <v>494808.60000000003</v>
      </c>
      <c r="T387" s="19">
        <f t="shared" ref="T387:T450" si="52">I387*G387</f>
        <v>275925.42</v>
      </c>
      <c r="U387" s="19">
        <f t="shared" ref="U387:U450" si="53">I387*H387</f>
        <v>271603.8</v>
      </c>
      <c r="V387" s="21">
        <f t="shared" ref="V387:V450" si="54">U387-T387</f>
        <v>-4321.6199999999953</v>
      </c>
      <c r="W387" s="18">
        <f t="shared" ref="W387:W450" si="55">IFERROR(V387/T387,0)</f>
        <v>-1.5662275697541733E-2</v>
      </c>
    </row>
    <row r="388" spans="1:23" x14ac:dyDescent="0.3">
      <c r="A388" t="s">
        <v>1531</v>
      </c>
      <c r="B388" t="s">
        <v>2009</v>
      </c>
      <c r="C388" t="s">
        <v>12</v>
      </c>
      <c r="D388" t="s">
        <v>20</v>
      </c>
      <c r="E388">
        <v>590</v>
      </c>
      <c r="F388">
        <v>438.09</v>
      </c>
      <c r="G388">
        <v>417.71</v>
      </c>
      <c r="H388">
        <v>438.09</v>
      </c>
      <c r="I388">
        <v>3602</v>
      </c>
      <c r="J388">
        <v>39</v>
      </c>
      <c r="K388" s="17">
        <f t="shared" si="49"/>
        <v>4682.5999999999995</v>
      </c>
      <c r="L388" t="str">
        <f t="shared" si="50"/>
        <v>High Risk</v>
      </c>
      <c r="P388" s="19">
        <f t="shared" si="51"/>
        <v>4093</v>
      </c>
      <c r="R388" s="19">
        <f t="shared" si="48"/>
        <v>1793102.3699999999</v>
      </c>
      <c r="T388" s="19">
        <f t="shared" si="52"/>
        <v>1504591.42</v>
      </c>
      <c r="U388" s="19">
        <f t="shared" si="53"/>
        <v>1578000.18</v>
      </c>
      <c r="V388" s="21">
        <f t="shared" si="54"/>
        <v>73408.760000000009</v>
      </c>
      <c r="W388" s="18">
        <f t="shared" si="55"/>
        <v>4.8789830265016411E-2</v>
      </c>
    </row>
    <row r="389" spans="1:23" x14ac:dyDescent="0.3">
      <c r="A389" t="s">
        <v>147</v>
      </c>
      <c r="B389" t="s">
        <v>837</v>
      </c>
      <c r="C389" t="s">
        <v>12</v>
      </c>
      <c r="D389" t="s">
        <v>20</v>
      </c>
      <c r="E389">
        <v>591</v>
      </c>
      <c r="F389">
        <v>357.31</v>
      </c>
      <c r="G389">
        <v>393.97</v>
      </c>
      <c r="H389">
        <v>357.31</v>
      </c>
      <c r="I389">
        <v>2750</v>
      </c>
      <c r="J389">
        <v>30</v>
      </c>
      <c r="K389" s="17">
        <f t="shared" si="49"/>
        <v>2750</v>
      </c>
      <c r="L389" t="str">
        <f t="shared" si="50"/>
        <v>High Risk</v>
      </c>
      <c r="P389" s="19">
        <f t="shared" si="51"/>
        <v>2159</v>
      </c>
      <c r="R389" s="19">
        <f t="shared" si="48"/>
        <v>771432.29</v>
      </c>
      <c r="T389" s="19">
        <f t="shared" si="52"/>
        <v>1083417.5</v>
      </c>
      <c r="U389" s="19">
        <f t="shared" si="53"/>
        <v>982602.5</v>
      </c>
      <c r="V389" s="21">
        <f t="shared" si="54"/>
        <v>-100815</v>
      </c>
      <c r="W389" s="18">
        <f t="shared" si="55"/>
        <v>-9.305277051552148E-2</v>
      </c>
    </row>
    <row r="390" spans="1:23" x14ac:dyDescent="0.3">
      <c r="A390" t="s">
        <v>229</v>
      </c>
      <c r="B390" t="s">
        <v>763</v>
      </c>
      <c r="C390" t="s">
        <v>50</v>
      </c>
      <c r="D390" t="s">
        <v>69</v>
      </c>
      <c r="E390">
        <v>593</v>
      </c>
      <c r="F390">
        <v>102.3</v>
      </c>
      <c r="G390">
        <v>109.5</v>
      </c>
      <c r="H390">
        <v>102.3</v>
      </c>
      <c r="I390">
        <v>1779</v>
      </c>
      <c r="J390">
        <v>82</v>
      </c>
      <c r="K390" s="17">
        <f t="shared" si="49"/>
        <v>4862.5999999999995</v>
      </c>
      <c r="L390" t="str">
        <f t="shared" si="50"/>
        <v>High Risk</v>
      </c>
      <c r="P390" s="19">
        <f t="shared" si="51"/>
        <v>4270</v>
      </c>
      <c r="R390" s="19">
        <f t="shared" si="48"/>
        <v>436821</v>
      </c>
      <c r="T390" s="19">
        <f t="shared" si="52"/>
        <v>194800.5</v>
      </c>
      <c r="U390" s="19">
        <f t="shared" si="53"/>
        <v>181991.69999999998</v>
      </c>
      <c r="V390" s="21">
        <f t="shared" si="54"/>
        <v>-12808.800000000017</v>
      </c>
      <c r="W390" s="18">
        <f t="shared" si="55"/>
        <v>-6.5753424657534337E-2</v>
      </c>
    </row>
    <row r="391" spans="1:23" x14ac:dyDescent="0.3">
      <c r="A391" t="s">
        <v>229</v>
      </c>
      <c r="B391" t="s">
        <v>3226</v>
      </c>
      <c r="C391" t="s">
        <v>12</v>
      </c>
      <c r="D391" t="s">
        <v>17</v>
      </c>
      <c r="E391">
        <v>594</v>
      </c>
      <c r="F391">
        <v>71.41</v>
      </c>
      <c r="G391">
        <v>59.98</v>
      </c>
      <c r="H391">
        <v>71.41</v>
      </c>
      <c r="I391">
        <v>190</v>
      </c>
      <c r="J391">
        <v>87</v>
      </c>
      <c r="K391" s="17">
        <f t="shared" si="49"/>
        <v>551</v>
      </c>
      <c r="L391" t="str">
        <f t="shared" si="50"/>
        <v>Sufficuent Stock</v>
      </c>
      <c r="P391" s="19">
        <f t="shared" si="51"/>
        <v>0</v>
      </c>
      <c r="R391" s="19">
        <f t="shared" si="48"/>
        <v>0</v>
      </c>
      <c r="T391" s="19">
        <f t="shared" si="52"/>
        <v>11396.199999999999</v>
      </c>
      <c r="U391" s="19">
        <f t="shared" si="53"/>
        <v>13567.9</v>
      </c>
      <c r="V391" s="21">
        <f t="shared" si="54"/>
        <v>2171.7000000000007</v>
      </c>
      <c r="W391" s="18">
        <f t="shared" si="55"/>
        <v>0.19056352117372466</v>
      </c>
    </row>
    <row r="392" spans="1:23" x14ac:dyDescent="0.3">
      <c r="A392" t="s">
        <v>850</v>
      </c>
      <c r="B392" t="s">
        <v>1234</v>
      </c>
      <c r="C392" t="s">
        <v>50</v>
      </c>
      <c r="D392" t="s">
        <v>17</v>
      </c>
      <c r="E392">
        <v>599</v>
      </c>
      <c r="F392">
        <v>507.16</v>
      </c>
      <c r="G392">
        <v>472.85</v>
      </c>
      <c r="H392">
        <v>507.16</v>
      </c>
      <c r="I392">
        <v>3806</v>
      </c>
      <c r="J392">
        <v>62</v>
      </c>
      <c r="K392" s="17">
        <f t="shared" si="49"/>
        <v>7865.7333333333327</v>
      </c>
      <c r="L392" t="str">
        <f t="shared" si="50"/>
        <v>High Risk</v>
      </c>
      <c r="P392" s="19">
        <f t="shared" si="51"/>
        <v>7267</v>
      </c>
      <c r="R392" s="19">
        <f t="shared" si="48"/>
        <v>3685531.72</v>
      </c>
      <c r="T392" s="19">
        <f t="shared" si="52"/>
        <v>1799667.1</v>
      </c>
      <c r="U392" s="19">
        <f t="shared" si="53"/>
        <v>1930250.9600000002</v>
      </c>
      <c r="V392" s="21">
        <f t="shared" si="54"/>
        <v>130583.8600000001</v>
      </c>
      <c r="W392" s="18">
        <f t="shared" si="55"/>
        <v>7.2560008459342337E-2</v>
      </c>
    </row>
    <row r="393" spans="1:23" x14ac:dyDescent="0.3">
      <c r="A393" t="s">
        <v>533</v>
      </c>
      <c r="B393" t="s">
        <v>1205</v>
      </c>
      <c r="C393" t="s">
        <v>16</v>
      </c>
      <c r="D393" t="s">
        <v>13</v>
      </c>
      <c r="E393">
        <v>601</v>
      </c>
      <c r="F393">
        <v>263.3</v>
      </c>
      <c r="G393">
        <v>229.96</v>
      </c>
      <c r="H393">
        <v>263.3</v>
      </c>
      <c r="I393">
        <v>2618</v>
      </c>
      <c r="J393">
        <v>21</v>
      </c>
      <c r="K393" s="17">
        <f t="shared" si="49"/>
        <v>1832.6</v>
      </c>
      <c r="L393" t="str">
        <f t="shared" si="50"/>
        <v>High Risk</v>
      </c>
      <c r="P393" s="19">
        <f t="shared" si="51"/>
        <v>1232</v>
      </c>
      <c r="R393" s="19">
        <f t="shared" si="48"/>
        <v>324385.60000000003</v>
      </c>
      <c r="T393" s="19">
        <f t="shared" si="52"/>
        <v>602035.28</v>
      </c>
      <c r="U393" s="19">
        <f t="shared" si="53"/>
        <v>689319.4</v>
      </c>
      <c r="V393" s="21">
        <f t="shared" si="54"/>
        <v>87284.12</v>
      </c>
      <c r="W393" s="18">
        <f t="shared" si="55"/>
        <v>0.14498173595407896</v>
      </c>
    </row>
    <row r="394" spans="1:23" x14ac:dyDescent="0.3">
      <c r="A394" t="s">
        <v>1481</v>
      </c>
      <c r="B394" t="s">
        <v>3272</v>
      </c>
      <c r="C394" t="s">
        <v>37</v>
      </c>
      <c r="D394" t="s">
        <v>17</v>
      </c>
      <c r="E394">
        <v>601</v>
      </c>
      <c r="F394">
        <v>351.68</v>
      </c>
      <c r="G394">
        <v>339.28</v>
      </c>
      <c r="H394">
        <v>351.68</v>
      </c>
      <c r="I394">
        <v>2174</v>
      </c>
      <c r="J394">
        <v>32</v>
      </c>
      <c r="K394" s="17">
        <f t="shared" si="49"/>
        <v>2318.9333333333334</v>
      </c>
      <c r="L394" t="str">
        <f t="shared" si="50"/>
        <v>High Risk</v>
      </c>
      <c r="P394" s="19">
        <f t="shared" si="51"/>
        <v>1718</v>
      </c>
      <c r="R394" s="19">
        <f t="shared" si="48"/>
        <v>604186.24</v>
      </c>
      <c r="T394" s="19">
        <f t="shared" si="52"/>
        <v>737594.72</v>
      </c>
      <c r="U394" s="19">
        <f t="shared" si="53"/>
        <v>764552.32000000007</v>
      </c>
      <c r="V394" s="21">
        <f t="shared" si="54"/>
        <v>26957.600000000093</v>
      </c>
      <c r="W394" s="18">
        <f t="shared" si="55"/>
        <v>3.6547983966045874E-2</v>
      </c>
    </row>
    <row r="395" spans="1:23" x14ac:dyDescent="0.3">
      <c r="A395" t="s">
        <v>872</v>
      </c>
      <c r="B395" t="s">
        <v>2649</v>
      </c>
      <c r="C395" t="s">
        <v>12</v>
      </c>
      <c r="D395" t="s">
        <v>17</v>
      </c>
      <c r="E395">
        <v>604</v>
      </c>
      <c r="F395">
        <v>16.14</v>
      </c>
      <c r="G395">
        <v>15.93</v>
      </c>
      <c r="H395">
        <v>16.14</v>
      </c>
      <c r="I395">
        <v>2666</v>
      </c>
      <c r="J395">
        <v>23</v>
      </c>
      <c r="K395" s="17">
        <f t="shared" si="49"/>
        <v>2043.9333333333332</v>
      </c>
      <c r="L395" t="str">
        <f t="shared" si="50"/>
        <v>High Risk</v>
      </c>
      <c r="P395" s="19">
        <f t="shared" si="51"/>
        <v>1440</v>
      </c>
      <c r="R395" s="19">
        <f t="shared" si="48"/>
        <v>23241.600000000002</v>
      </c>
      <c r="T395" s="19">
        <f t="shared" si="52"/>
        <v>42469.38</v>
      </c>
      <c r="U395" s="19">
        <f t="shared" si="53"/>
        <v>43029.24</v>
      </c>
      <c r="V395" s="21">
        <f t="shared" si="54"/>
        <v>559.86000000000058</v>
      </c>
      <c r="W395" s="18">
        <f t="shared" si="55"/>
        <v>1.3182674199623367E-2</v>
      </c>
    </row>
    <row r="396" spans="1:23" x14ac:dyDescent="0.3">
      <c r="A396" t="s">
        <v>270</v>
      </c>
      <c r="B396" t="s">
        <v>2371</v>
      </c>
      <c r="C396" t="s">
        <v>12</v>
      </c>
      <c r="D396" t="s">
        <v>17</v>
      </c>
      <c r="E396">
        <v>604</v>
      </c>
      <c r="F396">
        <v>119.77</v>
      </c>
      <c r="G396">
        <v>117.07</v>
      </c>
      <c r="H396">
        <v>119.77</v>
      </c>
      <c r="I396">
        <v>1165</v>
      </c>
      <c r="J396">
        <v>36</v>
      </c>
      <c r="K396" s="17">
        <f t="shared" si="49"/>
        <v>1398</v>
      </c>
      <c r="L396" t="str">
        <f t="shared" si="50"/>
        <v>High Risk</v>
      </c>
      <c r="P396" s="19">
        <f t="shared" si="51"/>
        <v>794</v>
      </c>
      <c r="R396" s="19">
        <f t="shared" si="48"/>
        <v>95097.37999999999</v>
      </c>
      <c r="T396" s="19">
        <f t="shared" si="52"/>
        <v>136386.54999999999</v>
      </c>
      <c r="U396" s="19">
        <f t="shared" si="53"/>
        <v>139532.04999999999</v>
      </c>
      <c r="V396" s="21">
        <f t="shared" si="54"/>
        <v>3145.5</v>
      </c>
      <c r="W396" s="18">
        <f t="shared" si="55"/>
        <v>2.3063124626291964E-2</v>
      </c>
    </row>
    <row r="397" spans="1:23" x14ac:dyDescent="0.3">
      <c r="A397" t="s">
        <v>320</v>
      </c>
      <c r="B397" t="s">
        <v>2413</v>
      </c>
      <c r="C397" t="s">
        <v>16</v>
      </c>
      <c r="D397" t="s">
        <v>69</v>
      </c>
      <c r="E397">
        <v>605</v>
      </c>
      <c r="F397">
        <v>279.56</v>
      </c>
      <c r="G397">
        <v>310.58999999999997</v>
      </c>
      <c r="H397">
        <v>279.56</v>
      </c>
      <c r="I397">
        <v>1679</v>
      </c>
      <c r="J397">
        <v>22</v>
      </c>
      <c r="K397" s="17">
        <f t="shared" si="49"/>
        <v>1231.2666666666667</v>
      </c>
      <c r="L397" t="str">
        <f t="shared" si="50"/>
        <v>High Risk</v>
      </c>
      <c r="P397" s="19">
        <f t="shared" si="51"/>
        <v>627</v>
      </c>
      <c r="R397" s="19">
        <f t="shared" si="48"/>
        <v>175284.12</v>
      </c>
      <c r="T397" s="19">
        <f t="shared" si="52"/>
        <v>521480.61</v>
      </c>
      <c r="U397" s="19">
        <f t="shared" si="53"/>
        <v>469381.24</v>
      </c>
      <c r="V397" s="21">
        <f t="shared" si="54"/>
        <v>-52099.369999999995</v>
      </c>
      <c r="W397" s="18">
        <f t="shared" si="55"/>
        <v>-9.9906629318394016E-2</v>
      </c>
    </row>
    <row r="398" spans="1:23" x14ac:dyDescent="0.3">
      <c r="A398" t="s">
        <v>1379</v>
      </c>
      <c r="B398" t="s">
        <v>1380</v>
      </c>
      <c r="C398" t="s">
        <v>23</v>
      </c>
      <c r="D398" t="s">
        <v>69</v>
      </c>
      <c r="E398">
        <v>606</v>
      </c>
      <c r="F398">
        <v>238.14</v>
      </c>
      <c r="G398">
        <v>210.47</v>
      </c>
      <c r="H398">
        <v>238.14</v>
      </c>
      <c r="I398">
        <v>2914</v>
      </c>
      <c r="J398">
        <v>83</v>
      </c>
      <c r="K398" s="17">
        <f t="shared" si="49"/>
        <v>8062.0666666666675</v>
      </c>
      <c r="L398" t="str">
        <f t="shared" si="50"/>
        <v>High Risk</v>
      </c>
      <c r="P398" s="19">
        <f t="shared" si="51"/>
        <v>7457</v>
      </c>
      <c r="R398" s="19">
        <f t="shared" si="48"/>
        <v>1775809.98</v>
      </c>
      <c r="T398" s="19">
        <f t="shared" si="52"/>
        <v>613309.57999999996</v>
      </c>
      <c r="U398" s="19">
        <f t="shared" si="53"/>
        <v>693939.96</v>
      </c>
      <c r="V398" s="21">
        <f t="shared" si="54"/>
        <v>80630.38</v>
      </c>
      <c r="W398" s="18">
        <f t="shared" si="55"/>
        <v>0.1314676676010833</v>
      </c>
    </row>
    <row r="399" spans="1:23" x14ac:dyDescent="0.3">
      <c r="A399" t="s">
        <v>175</v>
      </c>
      <c r="B399" t="s">
        <v>3322</v>
      </c>
      <c r="C399" t="s">
        <v>23</v>
      </c>
      <c r="D399" t="s">
        <v>20</v>
      </c>
      <c r="E399">
        <v>606</v>
      </c>
      <c r="F399">
        <v>107.74</v>
      </c>
      <c r="G399">
        <v>99.93</v>
      </c>
      <c r="H399">
        <v>107.74</v>
      </c>
      <c r="I399">
        <v>2700</v>
      </c>
      <c r="J399">
        <v>59</v>
      </c>
      <c r="K399" s="17">
        <f t="shared" si="49"/>
        <v>5310</v>
      </c>
      <c r="L399" t="str">
        <f t="shared" si="50"/>
        <v>High Risk</v>
      </c>
      <c r="P399" s="19">
        <f t="shared" si="51"/>
        <v>4704</v>
      </c>
      <c r="R399" s="19">
        <f t="shared" si="48"/>
        <v>506808.95999999996</v>
      </c>
      <c r="T399" s="19">
        <f t="shared" si="52"/>
        <v>269811</v>
      </c>
      <c r="U399" s="19">
        <f t="shared" si="53"/>
        <v>290898</v>
      </c>
      <c r="V399" s="21">
        <f t="shared" si="54"/>
        <v>21087</v>
      </c>
      <c r="W399" s="18">
        <f t="shared" si="55"/>
        <v>7.8154708295807063E-2</v>
      </c>
    </row>
    <row r="400" spans="1:23" x14ac:dyDescent="0.3">
      <c r="A400" t="s">
        <v>952</v>
      </c>
      <c r="B400" t="s">
        <v>2522</v>
      </c>
      <c r="C400" t="s">
        <v>23</v>
      </c>
      <c r="D400" t="s">
        <v>69</v>
      </c>
      <c r="E400">
        <v>609</v>
      </c>
      <c r="F400">
        <v>432.02</v>
      </c>
      <c r="G400">
        <v>438.22</v>
      </c>
      <c r="H400">
        <v>432.02</v>
      </c>
      <c r="I400">
        <v>3789</v>
      </c>
      <c r="J400">
        <v>53</v>
      </c>
      <c r="K400" s="17">
        <f t="shared" si="49"/>
        <v>6693.9</v>
      </c>
      <c r="L400" t="str">
        <f t="shared" si="50"/>
        <v>High Risk</v>
      </c>
      <c r="P400" s="19">
        <f t="shared" si="51"/>
        <v>6085</v>
      </c>
      <c r="R400" s="19">
        <f t="shared" si="48"/>
        <v>2628841.6999999997</v>
      </c>
      <c r="T400" s="19">
        <f t="shared" si="52"/>
        <v>1660415.58</v>
      </c>
      <c r="U400" s="19">
        <f t="shared" si="53"/>
        <v>1636923.78</v>
      </c>
      <c r="V400" s="21">
        <f t="shared" si="54"/>
        <v>-23491.800000000047</v>
      </c>
      <c r="W400" s="18">
        <f t="shared" si="55"/>
        <v>-1.4148144767468422E-2</v>
      </c>
    </row>
    <row r="401" spans="1:23" x14ac:dyDescent="0.3">
      <c r="A401" t="s">
        <v>1534</v>
      </c>
      <c r="B401" t="s">
        <v>3217</v>
      </c>
      <c r="C401" t="s">
        <v>50</v>
      </c>
      <c r="D401" t="s">
        <v>26</v>
      </c>
      <c r="E401">
        <v>610</v>
      </c>
      <c r="F401">
        <v>308.62</v>
      </c>
      <c r="G401">
        <v>271.58999999999997</v>
      </c>
      <c r="H401">
        <v>308.62</v>
      </c>
      <c r="I401">
        <v>3781</v>
      </c>
      <c r="J401">
        <v>27</v>
      </c>
      <c r="K401" s="17">
        <f t="shared" si="49"/>
        <v>3402.9</v>
      </c>
      <c r="L401" t="str">
        <f t="shared" si="50"/>
        <v>High Risk</v>
      </c>
      <c r="P401" s="19">
        <f t="shared" si="51"/>
        <v>2793</v>
      </c>
      <c r="R401" s="19">
        <f t="shared" si="48"/>
        <v>861975.66</v>
      </c>
      <c r="T401" s="19">
        <f t="shared" si="52"/>
        <v>1026881.7899999999</v>
      </c>
      <c r="U401" s="19">
        <f t="shared" si="53"/>
        <v>1166892.22</v>
      </c>
      <c r="V401" s="21">
        <f t="shared" si="54"/>
        <v>140010.43000000005</v>
      </c>
      <c r="W401" s="18">
        <f t="shared" si="55"/>
        <v>0.13634522626017165</v>
      </c>
    </row>
    <row r="402" spans="1:23" x14ac:dyDescent="0.3">
      <c r="A402" t="s">
        <v>243</v>
      </c>
      <c r="B402" t="s">
        <v>2706</v>
      </c>
      <c r="C402" t="s">
        <v>12</v>
      </c>
      <c r="D402" t="s">
        <v>13</v>
      </c>
      <c r="E402">
        <v>615</v>
      </c>
      <c r="F402">
        <v>118.29</v>
      </c>
      <c r="G402">
        <v>114.69</v>
      </c>
      <c r="H402">
        <v>118.29</v>
      </c>
      <c r="I402">
        <v>2483</v>
      </c>
      <c r="J402">
        <v>73</v>
      </c>
      <c r="K402" s="17">
        <f t="shared" si="49"/>
        <v>6041.9666666666662</v>
      </c>
      <c r="L402" t="str">
        <f t="shared" si="50"/>
        <v>High Risk</v>
      </c>
      <c r="P402" s="19">
        <f t="shared" si="51"/>
        <v>5427</v>
      </c>
      <c r="R402" s="19">
        <f t="shared" si="48"/>
        <v>641959.83000000007</v>
      </c>
      <c r="T402" s="19">
        <f t="shared" si="52"/>
        <v>284775.27</v>
      </c>
      <c r="U402" s="19">
        <f t="shared" si="53"/>
        <v>293714.07</v>
      </c>
      <c r="V402" s="21">
        <f t="shared" si="54"/>
        <v>8938.7999999999884</v>
      </c>
      <c r="W402" s="18">
        <f t="shared" si="55"/>
        <v>3.1388961548522061E-2</v>
      </c>
    </row>
    <row r="403" spans="1:23" x14ac:dyDescent="0.3">
      <c r="A403" t="s">
        <v>310</v>
      </c>
      <c r="B403" t="s">
        <v>2663</v>
      </c>
      <c r="C403" t="s">
        <v>23</v>
      </c>
      <c r="D403" t="s">
        <v>13</v>
      </c>
      <c r="E403">
        <v>617</v>
      </c>
      <c r="F403">
        <v>204.53</v>
      </c>
      <c r="G403">
        <v>198.16</v>
      </c>
      <c r="H403">
        <v>204.53</v>
      </c>
      <c r="I403">
        <v>1418</v>
      </c>
      <c r="J403">
        <v>31</v>
      </c>
      <c r="K403" s="17">
        <f t="shared" si="49"/>
        <v>1465.2666666666667</v>
      </c>
      <c r="L403" t="str">
        <f t="shared" si="50"/>
        <v>High Risk</v>
      </c>
      <c r="P403" s="19">
        <f t="shared" si="51"/>
        <v>849</v>
      </c>
      <c r="R403" s="19">
        <f t="shared" si="48"/>
        <v>173645.97</v>
      </c>
      <c r="T403" s="19">
        <f t="shared" si="52"/>
        <v>280990.88</v>
      </c>
      <c r="U403" s="19">
        <f t="shared" si="53"/>
        <v>290023.53999999998</v>
      </c>
      <c r="V403" s="21">
        <f t="shared" si="54"/>
        <v>9032.6599999999744</v>
      </c>
      <c r="W403" s="18">
        <f t="shared" si="55"/>
        <v>3.2145740815502533E-2</v>
      </c>
    </row>
    <row r="404" spans="1:23" x14ac:dyDescent="0.3">
      <c r="A404" t="s">
        <v>10</v>
      </c>
      <c r="B404" t="s">
        <v>2790</v>
      </c>
      <c r="C404" t="s">
        <v>23</v>
      </c>
      <c r="D404" t="s">
        <v>26</v>
      </c>
      <c r="E404">
        <v>619</v>
      </c>
      <c r="F404">
        <v>189.9</v>
      </c>
      <c r="G404">
        <v>183.62</v>
      </c>
      <c r="H404">
        <v>189.9</v>
      </c>
      <c r="I404">
        <v>160</v>
      </c>
      <c r="J404">
        <v>19</v>
      </c>
      <c r="K404" s="17">
        <f t="shared" si="49"/>
        <v>101.33333333333333</v>
      </c>
      <c r="L404" t="str">
        <f t="shared" si="50"/>
        <v>Sufficuent Stock</v>
      </c>
      <c r="P404" s="19">
        <f t="shared" si="51"/>
        <v>0</v>
      </c>
      <c r="R404" s="19">
        <f t="shared" si="48"/>
        <v>0</v>
      </c>
      <c r="T404" s="19">
        <f t="shared" si="52"/>
        <v>29379.200000000001</v>
      </c>
      <c r="U404" s="19">
        <f t="shared" si="53"/>
        <v>30384</v>
      </c>
      <c r="V404" s="21">
        <f t="shared" si="54"/>
        <v>1004.7999999999993</v>
      </c>
      <c r="W404" s="18">
        <f t="shared" si="55"/>
        <v>3.4201067421849446E-2</v>
      </c>
    </row>
    <row r="405" spans="1:23" x14ac:dyDescent="0.3">
      <c r="A405" t="s">
        <v>243</v>
      </c>
      <c r="B405" t="s">
        <v>2118</v>
      </c>
      <c r="C405" t="s">
        <v>37</v>
      </c>
      <c r="D405" t="s">
        <v>69</v>
      </c>
      <c r="E405">
        <v>619</v>
      </c>
      <c r="F405">
        <v>347.89</v>
      </c>
      <c r="G405">
        <v>327.98</v>
      </c>
      <c r="H405">
        <v>347.89</v>
      </c>
      <c r="I405">
        <v>3106</v>
      </c>
      <c r="J405">
        <v>56</v>
      </c>
      <c r="K405" s="17">
        <f t="shared" si="49"/>
        <v>5797.8666666666668</v>
      </c>
      <c r="L405" t="str">
        <f t="shared" si="50"/>
        <v>High Risk</v>
      </c>
      <c r="P405" s="19">
        <f t="shared" si="51"/>
        <v>5179</v>
      </c>
      <c r="R405" s="19">
        <f t="shared" si="48"/>
        <v>1801722.3099999998</v>
      </c>
      <c r="T405" s="19">
        <f t="shared" si="52"/>
        <v>1018705.88</v>
      </c>
      <c r="U405" s="19">
        <f t="shared" si="53"/>
        <v>1080546.3399999999</v>
      </c>
      <c r="V405" s="21">
        <f t="shared" si="54"/>
        <v>61840.459999999846</v>
      </c>
      <c r="W405" s="18">
        <f t="shared" si="55"/>
        <v>6.0704921031770082E-2</v>
      </c>
    </row>
    <row r="406" spans="1:23" x14ac:dyDescent="0.3">
      <c r="A406" t="s">
        <v>917</v>
      </c>
      <c r="B406" t="s">
        <v>2884</v>
      </c>
      <c r="C406" t="s">
        <v>23</v>
      </c>
      <c r="D406" t="s">
        <v>26</v>
      </c>
      <c r="E406">
        <v>620</v>
      </c>
      <c r="F406">
        <v>247.85</v>
      </c>
      <c r="G406">
        <v>224.73</v>
      </c>
      <c r="H406">
        <v>247.85</v>
      </c>
      <c r="I406">
        <v>1715</v>
      </c>
      <c r="J406">
        <v>6</v>
      </c>
      <c r="K406" s="17">
        <f t="shared" si="49"/>
        <v>343</v>
      </c>
      <c r="L406" t="str">
        <f t="shared" si="50"/>
        <v>Sufficuent Stock</v>
      </c>
      <c r="P406" s="19">
        <f t="shared" si="51"/>
        <v>0</v>
      </c>
      <c r="R406" s="19">
        <f t="shared" si="48"/>
        <v>0</v>
      </c>
      <c r="T406" s="19">
        <f t="shared" si="52"/>
        <v>385411.94999999995</v>
      </c>
      <c r="U406" s="19">
        <f t="shared" si="53"/>
        <v>425062.75</v>
      </c>
      <c r="V406" s="21">
        <f t="shared" si="54"/>
        <v>39650.800000000047</v>
      </c>
      <c r="W406" s="18">
        <f t="shared" si="55"/>
        <v>0.10287901036799729</v>
      </c>
    </row>
    <row r="407" spans="1:23" x14ac:dyDescent="0.3">
      <c r="A407" t="s">
        <v>1096</v>
      </c>
      <c r="B407" t="s">
        <v>1097</v>
      </c>
      <c r="C407" t="s">
        <v>12</v>
      </c>
      <c r="D407" t="s">
        <v>20</v>
      </c>
      <c r="E407">
        <v>621</v>
      </c>
      <c r="F407">
        <v>460.93</v>
      </c>
      <c r="G407">
        <v>445.68</v>
      </c>
      <c r="H407">
        <v>460.93</v>
      </c>
      <c r="I407">
        <v>625</v>
      </c>
      <c r="J407">
        <v>83</v>
      </c>
      <c r="K407" s="17">
        <f t="shared" si="49"/>
        <v>1729.1666666666665</v>
      </c>
      <c r="L407" t="str">
        <f t="shared" si="50"/>
        <v>High Risk</v>
      </c>
      <c r="P407" s="19">
        <f t="shared" si="51"/>
        <v>1109</v>
      </c>
      <c r="R407" s="19">
        <f t="shared" si="48"/>
        <v>511171.37</v>
      </c>
      <c r="T407" s="19">
        <f t="shared" si="52"/>
        <v>278550</v>
      </c>
      <c r="U407" s="19">
        <f t="shared" si="53"/>
        <v>288081.25</v>
      </c>
      <c r="V407" s="21">
        <f t="shared" si="54"/>
        <v>9531.25</v>
      </c>
      <c r="W407" s="18">
        <f t="shared" si="55"/>
        <v>3.4217375695566328E-2</v>
      </c>
    </row>
    <row r="408" spans="1:23" x14ac:dyDescent="0.3">
      <c r="A408" t="s">
        <v>389</v>
      </c>
      <c r="B408" t="s">
        <v>1051</v>
      </c>
      <c r="C408" t="s">
        <v>12</v>
      </c>
      <c r="D408" t="s">
        <v>69</v>
      </c>
      <c r="E408">
        <v>622</v>
      </c>
      <c r="F408">
        <v>375.07</v>
      </c>
      <c r="G408">
        <v>374.23</v>
      </c>
      <c r="H408">
        <v>375.07</v>
      </c>
      <c r="I408">
        <v>1038</v>
      </c>
      <c r="J408">
        <v>13</v>
      </c>
      <c r="K408" s="17">
        <f t="shared" si="49"/>
        <v>449.8</v>
      </c>
      <c r="L408" t="str">
        <f t="shared" si="50"/>
        <v>Sufficuent Stock</v>
      </c>
      <c r="P408" s="19">
        <f t="shared" si="51"/>
        <v>0</v>
      </c>
      <c r="R408" s="19">
        <f t="shared" si="48"/>
        <v>0</v>
      </c>
      <c r="T408" s="19">
        <f t="shared" si="52"/>
        <v>388450.74</v>
      </c>
      <c r="U408" s="19">
        <f t="shared" si="53"/>
        <v>389322.66</v>
      </c>
      <c r="V408" s="21">
        <f t="shared" si="54"/>
        <v>871.9199999999837</v>
      </c>
      <c r="W408" s="18">
        <f t="shared" si="55"/>
        <v>2.2446089303369168E-3</v>
      </c>
    </row>
    <row r="409" spans="1:23" x14ac:dyDescent="0.3">
      <c r="A409" t="s">
        <v>44</v>
      </c>
      <c r="B409" t="s">
        <v>1958</v>
      </c>
      <c r="C409" t="s">
        <v>50</v>
      </c>
      <c r="D409" t="s">
        <v>69</v>
      </c>
      <c r="E409">
        <v>623</v>
      </c>
      <c r="F409">
        <v>36.159999999999997</v>
      </c>
      <c r="G409">
        <v>34.33</v>
      </c>
      <c r="H409">
        <v>36.159999999999997</v>
      </c>
      <c r="I409">
        <v>1913</v>
      </c>
      <c r="J409">
        <v>13</v>
      </c>
      <c r="K409" s="17">
        <f t="shared" si="49"/>
        <v>828.9666666666667</v>
      </c>
      <c r="L409" t="str">
        <f t="shared" si="50"/>
        <v>High Risk</v>
      </c>
      <c r="P409" s="19">
        <f t="shared" si="51"/>
        <v>206</v>
      </c>
      <c r="R409" s="19">
        <f t="shared" si="48"/>
        <v>7448.9599999999991</v>
      </c>
      <c r="T409" s="19">
        <f t="shared" si="52"/>
        <v>65673.289999999994</v>
      </c>
      <c r="U409" s="19">
        <f t="shared" si="53"/>
        <v>69174.079999999987</v>
      </c>
      <c r="V409" s="21">
        <f t="shared" si="54"/>
        <v>3500.7899999999936</v>
      </c>
      <c r="W409" s="18">
        <f t="shared" si="55"/>
        <v>5.3306146227789016E-2</v>
      </c>
    </row>
    <row r="410" spans="1:23" x14ac:dyDescent="0.3">
      <c r="A410" t="s">
        <v>923</v>
      </c>
      <c r="B410" t="s">
        <v>1363</v>
      </c>
      <c r="C410" t="s">
        <v>12</v>
      </c>
      <c r="D410" t="s">
        <v>17</v>
      </c>
      <c r="E410">
        <v>624</v>
      </c>
      <c r="F410">
        <v>92.74</v>
      </c>
      <c r="G410">
        <v>88.23</v>
      </c>
      <c r="H410">
        <v>92.74</v>
      </c>
      <c r="I410">
        <v>1648</v>
      </c>
      <c r="J410">
        <v>5</v>
      </c>
      <c r="K410" s="17">
        <f t="shared" si="49"/>
        <v>274.66666666666663</v>
      </c>
      <c r="L410" t="str">
        <f t="shared" si="50"/>
        <v>Sufficuent Stock</v>
      </c>
      <c r="P410" s="19">
        <f t="shared" si="51"/>
        <v>0</v>
      </c>
      <c r="R410" s="19">
        <f t="shared" si="48"/>
        <v>0</v>
      </c>
      <c r="T410" s="19">
        <f t="shared" si="52"/>
        <v>145403.04</v>
      </c>
      <c r="U410" s="19">
        <f t="shared" si="53"/>
        <v>152835.51999999999</v>
      </c>
      <c r="V410" s="21">
        <f t="shared" si="54"/>
        <v>7432.4799999999814</v>
      </c>
      <c r="W410" s="18">
        <f t="shared" si="55"/>
        <v>5.1116400317352241E-2</v>
      </c>
    </row>
    <row r="411" spans="1:23" x14ac:dyDescent="0.3">
      <c r="A411" t="s">
        <v>1148</v>
      </c>
      <c r="B411" t="s">
        <v>2033</v>
      </c>
      <c r="C411" t="s">
        <v>12</v>
      </c>
      <c r="D411" t="s">
        <v>26</v>
      </c>
      <c r="E411">
        <v>625</v>
      </c>
      <c r="F411">
        <v>77.87</v>
      </c>
      <c r="G411">
        <v>67.81</v>
      </c>
      <c r="H411">
        <v>77.87</v>
      </c>
      <c r="I411">
        <v>2059</v>
      </c>
      <c r="J411">
        <v>49</v>
      </c>
      <c r="K411" s="17">
        <f t="shared" si="49"/>
        <v>3363.0333333333338</v>
      </c>
      <c r="L411" t="str">
        <f t="shared" si="50"/>
        <v>High Risk</v>
      </c>
      <c r="P411" s="19">
        <f t="shared" si="51"/>
        <v>2739</v>
      </c>
      <c r="R411" s="19">
        <f t="shared" si="48"/>
        <v>213285.93000000002</v>
      </c>
      <c r="T411" s="19">
        <f t="shared" si="52"/>
        <v>139620.79</v>
      </c>
      <c r="U411" s="19">
        <f t="shared" si="53"/>
        <v>160334.33000000002</v>
      </c>
      <c r="V411" s="21">
        <f t="shared" si="54"/>
        <v>20713.540000000008</v>
      </c>
      <c r="W411" s="18">
        <f t="shared" si="55"/>
        <v>0.14835569974929957</v>
      </c>
    </row>
    <row r="412" spans="1:23" x14ac:dyDescent="0.3">
      <c r="A412" t="s">
        <v>995</v>
      </c>
      <c r="B412" t="s">
        <v>996</v>
      </c>
      <c r="C412" t="s">
        <v>12</v>
      </c>
      <c r="D412" t="s">
        <v>13</v>
      </c>
      <c r="E412">
        <v>626</v>
      </c>
      <c r="F412">
        <v>307.61</v>
      </c>
      <c r="G412">
        <v>274.16000000000003</v>
      </c>
      <c r="H412">
        <v>307.61</v>
      </c>
      <c r="I412">
        <v>819</v>
      </c>
      <c r="J412">
        <v>81</v>
      </c>
      <c r="K412" s="17">
        <f t="shared" si="49"/>
        <v>2211.3000000000002</v>
      </c>
      <c r="L412" t="str">
        <f t="shared" si="50"/>
        <v>High Risk</v>
      </c>
      <c r="P412" s="19">
        <f t="shared" si="51"/>
        <v>1586</v>
      </c>
      <c r="R412" s="19">
        <f t="shared" si="48"/>
        <v>487869.46</v>
      </c>
      <c r="T412" s="19">
        <f t="shared" si="52"/>
        <v>224537.04</v>
      </c>
      <c r="U412" s="19">
        <f t="shared" si="53"/>
        <v>251932.59000000003</v>
      </c>
      <c r="V412" s="21">
        <f t="shared" si="54"/>
        <v>27395.550000000017</v>
      </c>
      <c r="W412" s="18">
        <f t="shared" si="55"/>
        <v>0.12200904581266421</v>
      </c>
    </row>
    <row r="413" spans="1:23" x14ac:dyDescent="0.3">
      <c r="A413" t="s">
        <v>1325</v>
      </c>
      <c r="B413" t="s">
        <v>3273</v>
      </c>
      <c r="C413" t="s">
        <v>37</v>
      </c>
      <c r="D413" t="s">
        <v>69</v>
      </c>
      <c r="E413">
        <v>627</v>
      </c>
      <c r="F413">
        <v>57.15</v>
      </c>
      <c r="G413">
        <v>51.74</v>
      </c>
      <c r="H413">
        <v>57.15</v>
      </c>
      <c r="I413">
        <v>85</v>
      </c>
      <c r="J413">
        <v>83</v>
      </c>
      <c r="K413" s="17">
        <f t="shared" si="49"/>
        <v>235.16666666666669</v>
      </c>
      <c r="L413" t="str">
        <f t="shared" si="50"/>
        <v>Sufficuent Stock</v>
      </c>
      <c r="P413" s="19">
        <f t="shared" si="51"/>
        <v>0</v>
      </c>
      <c r="R413" s="19">
        <f t="shared" si="48"/>
        <v>0</v>
      </c>
      <c r="T413" s="19">
        <f t="shared" si="52"/>
        <v>4397.9000000000005</v>
      </c>
      <c r="U413" s="19">
        <f t="shared" si="53"/>
        <v>4857.75</v>
      </c>
      <c r="V413" s="21">
        <f t="shared" si="54"/>
        <v>459.84999999999945</v>
      </c>
      <c r="W413" s="18">
        <f t="shared" si="55"/>
        <v>0.10456126787785065</v>
      </c>
    </row>
    <row r="414" spans="1:23" x14ac:dyDescent="0.3">
      <c r="A414" t="s">
        <v>1281</v>
      </c>
      <c r="B414" t="s">
        <v>1282</v>
      </c>
      <c r="C414" t="s">
        <v>37</v>
      </c>
      <c r="D414" t="s">
        <v>69</v>
      </c>
      <c r="E414">
        <v>627</v>
      </c>
      <c r="F414">
        <v>318.83</v>
      </c>
      <c r="G414">
        <v>321.61</v>
      </c>
      <c r="H414">
        <v>318.83</v>
      </c>
      <c r="I414">
        <v>1590</v>
      </c>
      <c r="J414">
        <v>49</v>
      </c>
      <c r="K414" s="17">
        <f t="shared" si="49"/>
        <v>2597</v>
      </c>
      <c r="L414" t="str">
        <f t="shared" si="50"/>
        <v>High Risk</v>
      </c>
      <c r="P414" s="19">
        <f t="shared" si="51"/>
        <v>1970</v>
      </c>
      <c r="R414" s="19">
        <f t="shared" si="48"/>
        <v>628095.1</v>
      </c>
      <c r="T414" s="19">
        <f t="shared" si="52"/>
        <v>511359.9</v>
      </c>
      <c r="U414" s="19">
        <f t="shared" si="53"/>
        <v>506939.69999999995</v>
      </c>
      <c r="V414" s="21">
        <f t="shared" si="54"/>
        <v>-4420.2000000000698</v>
      </c>
      <c r="W414" s="18">
        <f t="shared" si="55"/>
        <v>-8.6440098255652614E-3</v>
      </c>
    </row>
    <row r="415" spans="1:23" x14ac:dyDescent="0.3">
      <c r="A415" t="s">
        <v>268</v>
      </c>
      <c r="B415" t="s">
        <v>2041</v>
      </c>
      <c r="C415" t="s">
        <v>37</v>
      </c>
      <c r="D415" t="s">
        <v>17</v>
      </c>
      <c r="E415">
        <v>628</v>
      </c>
      <c r="F415">
        <v>301.89999999999998</v>
      </c>
      <c r="G415">
        <v>317.61</v>
      </c>
      <c r="H415">
        <v>301.89999999999998</v>
      </c>
      <c r="I415">
        <v>1607</v>
      </c>
      <c r="J415">
        <v>64</v>
      </c>
      <c r="K415" s="17">
        <f t="shared" si="49"/>
        <v>3428.2666666666669</v>
      </c>
      <c r="L415" t="str">
        <f t="shared" si="50"/>
        <v>High Risk</v>
      </c>
      <c r="P415" s="19">
        <f t="shared" si="51"/>
        <v>2801</v>
      </c>
      <c r="R415" s="19">
        <f t="shared" si="48"/>
        <v>845621.89999999991</v>
      </c>
      <c r="T415" s="19">
        <f t="shared" si="52"/>
        <v>510399.27</v>
      </c>
      <c r="U415" s="19">
        <f t="shared" si="53"/>
        <v>485153.3</v>
      </c>
      <c r="V415" s="21">
        <f t="shared" si="54"/>
        <v>-25245.97000000003</v>
      </c>
      <c r="W415" s="18">
        <f t="shared" si="55"/>
        <v>-4.9463178111520477E-2</v>
      </c>
    </row>
    <row r="416" spans="1:23" x14ac:dyDescent="0.3">
      <c r="A416" t="s">
        <v>1531</v>
      </c>
      <c r="B416" t="s">
        <v>2646</v>
      </c>
      <c r="C416" t="s">
        <v>23</v>
      </c>
      <c r="D416" t="s">
        <v>69</v>
      </c>
      <c r="E416">
        <v>629</v>
      </c>
      <c r="F416">
        <v>343.24</v>
      </c>
      <c r="G416">
        <v>286.68</v>
      </c>
      <c r="H416">
        <v>343.24</v>
      </c>
      <c r="I416">
        <v>1819</v>
      </c>
      <c r="J416">
        <v>76</v>
      </c>
      <c r="K416" s="17">
        <f t="shared" si="49"/>
        <v>4608.1333333333332</v>
      </c>
      <c r="L416" t="str">
        <f t="shared" si="50"/>
        <v>High Risk</v>
      </c>
      <c r="P416" s="19">
        <f t="shared" si="51"/>
        <v>3980</v>
      </c>
      <c r="R416" s="19">
        <f t="shared" si="48"/>
        <v>1366095.2</v>
      </c>
      <c r="T416" s="19">
        <f t="shared" si="52"/>
        <v>521470.92</v>
      </c>
      <c r="U416" s="19">
        <f t="shared" si="53"/>
        <v>624353.56000000006</v>
      </c>
      <c r="V416" s="21">
        <f t="shared" si="54"/>
        <v>102882.64000000007</v>
      </c>
      <c r="W416" s="18">
        <f t="shared" si="55"/>
        <v>0.19729314915585336</v>
      </c>
    </row>
    <row r="417" spans="1:23" x14ac:dyDescent="0.3">
      <c r="A417" t="s">
        <v>952</v>
      </c>
      <c r="B417" t="s">
        <v>3071</v>
      </c>
      <c r="C417" t="s">
        <v>23</v>
      </c>
      <c r="D417" t="s">
        <v>69</v>
      </c>
      <c r="E417">
        <v>632</v>
      </c>
      <c r="F417">
        <v>121.86</v>
      </c>
      <c r="G417">
        <v>111.52</v>
      </c>
      <c r="H417">
        <v>121.86</v>
      </c>
      <c r="I417">
        <v>117</v>
      </c>
      <c r="J417">
        <v>79</v>
      </c>
      <c r="K417" s="17">
        <f t="shared" si="49"/>
        <v>308.09999999999997</v>
      </c>
      <c r="L417" t="str">
        <f t="shared" si="50"/>
        <v>Sufficuent Stock</v>
      </c>
      <c r="P417" s="19">
        <f t="shared" si="51"/>
        <v>0</v>
      </c>
      <c r="R417" s="19">
        <f t="shared" si="48"/>
        <v>0</v>
      </c>
      <c r="T417" s="19">
        <f t="shared" si="52"/>
        <v>13047.84</v>
      </c>
      <c r="U417" s="19">
        <f t="shared" si="53"/>
        <v>14257.62</v>
      </c>
      <c r="V417" s="21">
        <f t="shared" si="54"/>
        <v>1209.7800000000007</v>
      </c>
      <c r="W417" s="18">
        <f t="shared" si="55"/>
        <v>9.2718794835007223E-2</v>
      </c>
    </row>
    <row r="418" spans="1:23" x14ac:dyDescent="0.3">
      <c r="A418" t="s">
        <v>347</v>
      </c>
      <c r="B418" t="s">
        <v>1381</v>
      </c>
      <c r="C418" t="s">
        <v>16</v>
      </c>
      <c r="D418" t="s">
        <v>69</v>
      </c>
      <c r="E418">
        <v>633</v>
      </c>
      <c r="F418">
        <v>217.05</v>
      </c>
      <c r="G418">
        <v>196.65</v>
      </c>
      <c r="H418">
        <v>217.05</v>
      </c>
      <c r="I418">
        <v>2374</v>
      </c>
      <c r="J418">
        <v>57</v>
      </c>
      <c r="K418" s="17">
        <f t="shared" si="49"/>
        <v>4510.6000000000004</v>
      </c>
      <c r="L418" t="str">
        <f t="shared" si="50"/>
        <v>High Risk</v>
      </c>
      <c r="P418" s="19">
        <f t="shared" si="51"/>
        <v>3878</v>
      </c>
      <c r="R418" s="19">
        <f t="shared" si="48"/>
        <v>841719.9</v>
      </c>
      <c r="T418" s="19">
        <f t="shared" si="52"/>
        <v>466847.10000000003</v>
      </c>
      <c r="U418" s="19">
        <f t="shared" si="53"/>
        <v>515276.7</v>
      </c>
      <c r="V418" s="21">
        <f t="shared" si="54"/>
        <v>48429.599999999977</v>
      </c>
      <c r="W418" s="18">
        <f t="shared" si="55"/>
        <v>0.10373760488176959</v>
      </c>
    </row>
    <row r="419" spans="1:23" x14ac:dyDescent="0.3">
      <c r="A419" t="s">
        <v>1163</v>
      </c>
      <c r="B419" t="s">
        <v>1574</v>
      </c>
      <c r="C419" t="s">
        <v>12</v>
      </c>
      <c r="D419" t="s">
        <v>17</v>
      </c>
      <c r="E419">
        <v>634</v>
      </c>
      <c r="F419">
        <v>159.69999999999999</v>
      </c>
      <c r="G419">
        <v>143.94</v>
      </c>
      <c r="H419">
        <v>159.69999999999999</v>
      </c>
      <c r="I419">
        <v>169</v>
      </c>
      <c r="J419">
        <v>50</v>
      </c>
      <c r="K419" s="17">
        <f t="shared" si="49"/>
        <v>281.66666666666669</v>
      </c>
      <c r="L419" t="str">
        <f t="shared" si="50"/>
        <v>Sufficuent Stock</v>
      </c>
      <c r="P419" s="19">
        <f t="shared" si="51"/>
        <v>0</v>
      </c>
      <c r="R419" s="19">
        <f t="shared" si="48"/>
        <v>0</v>
      </c>
      <c r="T419" s="19">
        <f t="shared" si="52"/>
        <v>24325.86</v>
      </c>
      <c r="U419" s="19">
        <f t="shared" si="53"/>
        <v>26989.3</v>
      </c>
      <c r="V419" s="21">
        <f t="shared" si="54"/>
        <v>2663.4399999999987</v>
      </c>
      <c r="W419" s="18">
        <f t="shared" si="55"/>
        <v>0.10949006530498813</v>
      </c>
    </row>
    <row r="420" spans="1:23" x14ac:dyDescent="0.3">
      <c r="A420" t="s">
        <v>218</v>
      </c>
      <c r="B420" t="s">
        <v>3106</v>
      </c>
      <c r="C420" t="s">
        <v>37</v>
      </c>
      <c r="D420" t="s">
        <v>69</v>
      </c>
      <c r="E420">
        <v>638</v>
      </c>
      <c r="F420">
        <v>228.98</v>
      </c>
      <c r="G420">
        <v>210.32</v>
      </c>
      <c r="H420">
        <v>228.98</v>
      </c>
      <c r="I420">
        <v>3454</v>
      </c>
      <c r="J420">
        <v>39</v>
      </c>
      <c r="K420" s="17">
        <f t="shared" si="49"/>
        <v>4490.2</v>
      </c>
      <c r="L420" t="str">
        <f t="shared" si="50"/>
        <v>High Risk</v>
      </c>
      <c r="P420" s="19">
        <f t="shared" si="51"/>
        <v>3853</v>
      </c>
      <c r="R420" s="19">
        <f t="shared" si="48"/>
        <v>882259.94</v>
      </c>
      <c r="T420" s="19">
        <f t="shared" si="52"/>
        <v>726445.28</v>
      </c>
      <c r="U420" s="19">
        <f t="shared" si="53"/>
        <v>790896.91999999993</v>
      </c>
      <c r="V420" s="21">
        <f t="shared" si="54"/>
        <v>64451.639999999898</v>
      </c>
      <c r="W420" s="18">
        <f t="shared" si="55"/>
        <v>8.8721947508558247E-2</v>
      </c>
    </row>
    <row r="421" spans="1:23" x14ac:dyDescent="0.3">
      <c r="A421" t="s">
        <v>21</v>
      </c>
      <c r="B421" t="s">
        <v>753</v>
      </c>
      <c r="C421" t="s">
        <v>50</v>
      </c>
      <c r="D421" t="s">
        <v>20</v>
      </c>
      <c r="E421">
        <v>640</v>
      </c>
      <c r="F421">
        <v>22.66</v>
      </c>
      <c r="G421">
        <v>19.57</v>
      </c>
      <c r="H421">
        <v>22.66</v>
      </c>
      <c r="I421">
        <v>3870</v>
      </c>
      <c r="J421">
        <v>38</v>
      </c>
      <c r="K421" s="17">
        <f t="shared" si="49"/>
        <v>4902</v>
      </c>
      <c r="L421" t="str">
        <f t="shared" si="50"/>
        <v>High Risk</v>
      </c>
      <c r="P421" s="19">
        <f t="shared" si="51"/>
        <v>4262</v>
      </c>
      <c r="R421" s="19">
        <f t="shared" si="48"/>
        <v>96576.92</v>
      </c>
      <c r="T421" s="19">
        <f t="shared" si="52"/>
        <v>75735.899999999994</v>
      </c>
      <c r="U421" s="19">
        <f t="shared" si="53"/>
        <v>87694.2</v>
      </c>
      <c r="V421" s="21">
        <f t="shared" si="54"/>
        <v>11958.300000000003</v>
      </c>
      <c r="W421" s="18">
        <f t="shared" si="55"/>
        <v>0.15789473684210531</v>
      </c>
    </row>
    <row r="422" spans="1:23" x14ac:dyDescent="0.3">
      <c r="A422" t="s">
        <v>1335</v>
      </c>
      <c r="B422" t="s">
        <v>1336</v>
      </c>
      <c r="C422" t="s">
        <v>12</v>
      </c>
      <c r="D422" t="s">
        <v>26</v>
      </c>
      <c r="E422">
        <v>640</v>
      </c>
      <c r="F422">
        <v>183.2</v>
      </c>
      <c r="G422">
        <v>158.16999999999999</v>
      </c>
      <c r="H422">
        <v>183.2</v>
      </c>
      <c r="I422">
        <v>1717</v>
      </c>
      <c r="J422">
        <v>41</v>
      </c>
      <c r="K422" s="17">
        <f t="shared" si="49"/>
        <v>2346.5666666666666</v>
      </c>
      <c r="L422" t="str">
        <f t="shared" si="50"/>
        <v>High Risk</v>
      </c>
      <c r="P422" s="19">
        <f t="shared" si="51"/>
        <v>1707</v>
      </c>
      <c r="R422" s="19">
        <f t="shared" si="48"/>
        <v>312722.39999999997</v>
      </c>
      <c r="T422" s="19">
        <f t="shared" si="52"/>
        <v>271577.88999999996</v>
      </c>
      <c r="U422" s="19">
        <f t="shared" si="53"/>
        <v>314554.39999999997</v>
      </c>
      <c r="V422" s="21">
        <f t="shared" si="54"/>
        <v>42976.510000000009</v>
      </c>
      <c r="W422" s="18">
        <f t="shared" si="55"/>
        <v>0.15824745526964665</v>
      </c>
    </row>
    <row r="423" spans="1:23" x14ac:dyDescent="0.3">
      <c r="A423" t="s">
        <v>709</v>
      </c>
      <c r="B423" t="s">
        <v>2938</v>
      </c>
      <c r="C423" t="s">
        <v>12</v>
      </c>
      <c r="D423" t="s">
        <v>17</v>
      </c>
      <c r="E423">
        <v>640</v>
      </c>
      <c r="F423">
        <v>87.68</v>
      </c>
      <c r="G423">
        <v>75.66</v>
      </c>
      <c r="H423">
        <v>87.68</v>
      </c>
      <c r="I423">
        <v>2312</v>
      </c>
      <c r="J423">
        <v>16</v>
      </c>
      <c r="K423" s="17">
        <f t="shared" si="49"/>
        <v>1233.0666666666666</v>
      </c>
      <c r="L423" t="str">
        <f t="shared" si="50"/>
        <v>High Risk</v>
      </c>
      <c r="P423" s="19">
        <f t="shared" si="51"/>
        <v>594</v>
      </c>
      <c r="R423" s="19">
        <f t="shared" si="48"/>
        <v>52081.920000000006</v>
      </c>
      <c r="T423" s="19">
        <f t="shared" si="52"/>
        <v>174925.91999999998</v>
      </c>
      <c r="U423" s="19">
        <f t="shared" si="53"/>
        <v>202716.16</v>
      </c>
      <c r="V423" s="21">
        <f t="shared" si="54"/>
        <v>27790.24000000002</v>
      </c>
      <c r="W423" s="18">
        <f t="shared" si="55"/>
        <v>0.15886862278614869</v>
      </c>
    </row>
    <row r="424" spans="1:23" x14ac:dyDescent="0.3">
      <c r="A424" t="s">
        <v>333</v>
      </c>
      <c r="B424" t="s">
        <v>1422</v>
      </c>
      <c r="C424" t="s">
        <v>37</v>
      </c>
      <c r="D424" t="s">
        <v>13</v>
      </c>
      <c r="E424">
        <v>641</v>
      </c>
      <c r="F424">
        <v>22.72</v>
      </c>
      <c r="G424">
        <v>19.079999999999998</v>
      </c>
      <c r="H424">
        <v>22.72</v>
      </c>
      <c r="I424">
        <v>257</v>
      </c>
      <c r="J424">
        <v>29</v>
      </c>
      <c r="K424" s="17">
        <f t="shared" si="49"/>
        <v>248.43333333333334</v>
      </c>
      <c r="L424" t="str">
        <f t="shared" si="50"/>
        <v>Sufficuent Stock</v>
      </c>
      <c r="P424" s="19">
        <f t="shared" si="51"/>
        <v>0</v>
      </c>
      <c r="R424" s="19">
        <f t="shared" si="48"/>
        <v>0</v>
      </c>
      <c r="T424" s="19">
        <f t="shared" si="52"/>
        <v>4903.5599999999995</v>
      </c>
      <c r="U424" s="19">
        <f t="shared" si="53"/>
        <v>5839.04</v>
      </c>
      <c r="V424" s="21">
        <f t="shared" si="54"/>
        <v>935.48000000000047</v>
      </c>
      <c r="W424" s="18">
        <f t="shared" si="55"/>
        <v>0.19077568134171918</v>
      </c>
    </row>
    <row r="425" spans="1:23" x14ac:dyDescent="0.3">
      <c r="A425" t="s">
        <v>246</v>
      </c>
      <c r="B425" t="s">
        <v>317</v>
      </c>
      <c r="C425" t="s">
        <v>23</v>
      </c>
      <c r="D425" t="s">
        <v>13</v>
      </c>
      <c r="E425">
        <v>642</v>
      </c>
      <c r="F425">
        <v>252.82</v>
      </c>
      <c r="G425">
        <v>252.51</v>
      </c>
      <c r="H425">
        <v>252.82</v>
      </c>
      <c r="I425">
        <v>1482</v>
      </c>
      <c r="J425">
        <v>63</v>
      </c>
      <c r="K425" s="17">
        <f t="shared" si="49"/>
        <v>3112.2</v>
      </c>
      <c r="L425" t="str">
        <f t="shared" si="50"/>
        <v>High Risk</v>
      </c>
      <c r="P425" s="19">
        <f t="shared" si="51"/>
        <v>2471</v>
      </c>
      <c r="R425" s="19">
        <f t="shared" si="48"/>
        <v>624718.22</v>
      </c>
      <c r="T425" s="19">
        <f t="shared" si="52"/>
        <v>374219.82</v>
      </c>
      <c r="U425" s="19">
        <f t="shared" si="53"/>
        <v>374679.24</v>
      </c>
      <c r="V425" s="21">
        <f t="shared" si="54"/>
        <v>459.4199999999837</v>
      </c>
      <c r="W425" s="18">
        <f t="shared" si="55"/>
        <v>1.2276741515187082E-3</v>
      </c>
    </row>
    <row r="426" spans="1:23" x14ac:dyDescent="0.3">
      <c r="A426" t="s">
        <v>482</v>
      </c>
      <c r="B426" t="s">
        <v>1394</v>
      </c>
      <c r="C426" t="s">
        <v>12</v>
      </c>
      <c r="D426" t="s">
        <v>26</v>
      </c>
      <c r="E426">
        <v>642</v>
      </c>
      <c r="F426">
        <v>224.25</v>
      </c>
      <c r="G426">
        <v>205.19</v>
      </c>
      <c r="H426">
        <v>224.25</v>
      </c>
      <c r="I426">
        <v>2843</v>
      </c>
      <c r="J426">
        <v>71</v>
      </c>
      <c r="K426" s="17">
        <f t="shared" si="49"/>
        <v>6728.4333333333334</v>
      </c>
      <c r="L426" t="str">
        <f t="shared" si="50"/>
        <v>High Risk</v>
      </c>
      <c r="P426" s="19">
        <f t="shared" si="51"/>
        <v>6087</v>
      </c>
      <c r="R426" s="19">
        <f t="shared" si="48"/>
        <v>1365009.75</v>
      </c>
      <c r="T426" s="19">
        <f t="shared" si="52"/>
        <v>583355.17000000004</v>
      </c>
      <c r="U426" s="19">
        <f t="shared" si="53"/>
        <v>637542.75</v>
      </c>
      <c r="V426" s="21">
        <f t="shared" si="54"/>
        <v>54187.579999999958</v>
      </c>
      <c r="W426" s="18">
        <f t="shared" si="55"/>
        <v>9.2889517032993738E-2</v>
      </c>
    </row>
    <row r="427" spans="1:23" x14ac:dyDescent="0.3">
      <c r="A427" t="s">
        <v>444</v>
      </c>
      <c r="B427" t="s">
        <v>2113</v>
      </c>
      <c r="C427" t="s">
        <v>12</v>
      </c>
      <c r="D427" t="s">
        <v>69</v>
      </c>
      <c r="E427">
        <v>649</v>
      </c>
      <c r="F427">
        <v>199.9</v>
      </c>
      <c r="G427">
        <v>205.4</v>
      </c>
      <c r="H427">
        <v>199.9</v>
      </c>
      <c r="I427">
        <v>3226</v>
      </c>
      <c r="J427">
        <v>67</v>
      </c>
      <c r="K427" s="17">
        <f t="shared" si="49"/>
        <v>7204.7333333333336</v>
      </c>
      <c r="L427" t="str">
        <f t="shared" si="50"/>
        <v>High Risk</v>
      </c>
      <c r="P427" s="19">
        <f t="shared" si="51"/>
        <v>6556</v>
      </c>
      <c r="R427" s="19">
        <f t="shared" si="48"/>
        <v>1310544.4000000001</v>
      </c>
      <c r="T427" s="19">
        <f t="shared" si="52"/>
        <v>662620.4</v>
      </c>
      <c r="U427" s="19">
        <f t="shared" si="53"/>
        <v>644877.4</v>
      </c>
      <c r="V427" s="21">
        <f t="shared" si="54"/>
        <v>-17743</v>
      </c>
      <c r="W427" s="18">
        <f t="shared" si="55"/>
        <v>-2.6777020447906523E-2</v>
      </c>
    </row>
    <row r="428" spans="1:23" x14ac:dyDescent="0.3">
      <c r="A428" t="s">
        <v>326</v>
      </c>
      <c r="B428" t="s">
        <v>1360</v>
      </c>
      <c r="C428" t="s">
        <v>23</v>
      </c>
      <c r="D428" t="s">
        <v>20</v>
      </c>
      <c r="E428">
        <v>649</v>
      </c>
      <c r="F428">
        <v>366.13</v>
      </c>
      <c r="G428">
        <v>314.02</v>
      </c>
      <c r="H428">
        <v>366.13</v>
      </c>
      <c r="I428">
        <v>1379</v>
      </c>
      <c r="J428">
        <v>76</v>
      </c>
      <c r="K428" s="17">
        <f t="shared" si="49"/>
        <v>3493.4666666666667</v>
      </c>
      <c r="L428" t="str">
        <f t="shared" si="50"/>
        <v>High Risk</v>
      </c>
      <c r="P428" s="19">
        <f t="shared" si="51"/>
        <v>2845</v>
      </c>
      <c r="R428" s="19">
        <f t="shared" si="48"/>
        <v>1041639.85</v>
      </c>
      <c r="T428" s="19">
        <f t="shared" si="52"/>
        <v>433033.57999999996</v>
      </c>
      <c r="U428" s="19">
        <f t="shared" si="53"/>
        <v>504893.27</v>
      </c>
      <c r="V428" s="21">
        <f t="shared" si="54"/>
        <v>71859.690000000061</v>
      </c>
      <c r="W428" s="18">
        <f t="shared" si="55"/>
        <v>0.16594484427743472</v>
      </c>
    </row>
    <row r="429" spans="1:23" x14ac:dyDescent="0.3">
      <c r="A429" t="s">
        <v>38</v>
      </c>
      <c r="B429" t="s">
        <v>2151</v>
      </c>
      <c r="C429" t="s">
        <v>50</v>
      </c>
      <c r="D429" t="s">
        <v>69</v>
      </c>
      <c r="E429">
        <v>651</v>
      </c>
      <c r="F429">
        <v>47.98</v>
      </c>
      <c r="G429">
        <v>46.81</v>
      </c>
      <c r="H429">
        <v>47.98</v>
      </c>
      <c r="I429">
        <v>3365</v>
      </c>
      <c r="J429">
        <v>36</v>
      </c>
      <c r="K429" s="17">
        <f t="shared" si="49"/>
        <v>4038</v>
      </c>
      <c r="L429" t="str">
        <f t="shared" si="50"/>
        <v>High Risk</v>
      </c>
      <c r="P429" s="19">
        <f t="shared" si="51"/>
        <v>3387</v>
      </c>
      <c r="R429" s="19">
        <f t="shared" si="48"/>
        <v>162508.25999999998</v>
      </c>
      <c r="T429" s="19">
        <f t="shared" si="52"/>
        <v>157515.65</v>
      </c>
      <c r="U429" s="19">
        <f t="shared" si="53"/>
        <v>161452.69999999998</v>
      </c>
      <c r="V429" s="21">
        <f t="shared" si="54"/>
        <v>3937.0499999999884</v>
      </c>
      <c r="W429" s="18">
        <f t="shared" si="55"/>
        <v>2.4994659260841628E-2</v>
      </c>
    </row>
    <row r="430" spans="1:23" x14ac:dyDescent="0.3">
      <c r="A430" t="s">
        <v>249</v>
      </c>
      <c r="B430" t="s">
        <v>699</v>
      </c>
      <c r="C430" t="s">
        <v>50</v>
      </c>
      <c r="D430" t="s">
        <v>17</v>
      </c>
      <c r="E430">
        <v>654</v>
      </c>
      <c r="F430">
        <v>155.22999999999999</v>
      </c>
      <c r="G430">
        <v>164.41</v>
      </c>
      <c r="H430">
        <v>155.22999999999999</v>
      </c>
      <c r="I430">
        <v>2898</v>
      </c>
      <c r="J430">
        <v>12</v>
      </c>
      <c r="K430" s="17">
        <f t="shared" si="49"/>
        <v>1159.1999999999998</v>
      </c>
      <c r="L430" t="str">
        <f t="shared" si="50"/>
        <v>High Risk</v>
      </c>
      <c r="P430" s="19">
        <f t="shared" si="51"/>
        <v>506</v>
      </c>
      <c r="R430" s="19">
        <f t="shared" si="48"/>
        <v>78546.37999999999</v>
      </c>
      <c r="T430" s="19">
        <f t="shared" si="52"/>
        <v>476460.18</v>
      </c>
      <c r="U430" s="19">
        <f t="shared" si="53"/>
        <v>449856.54</v>
      </c>
      <c r="V430" s="21">
        <f t="shared" si="54"/>
        <v>-26603.640000000014</v>
      </c>
      <c r="W430" s="18">
        <f t="shared" si="55"/>
        <v>-5.5836019706830518E-2</v>
      </c>
    </row>
    <row r="431" spans="1:23" x14ac:dyDescent="0.3">
      <c r="A431" t="s">
        <v>642</v>
      </c>
      <c r="B431" t="s">
        <v>3337</v>
      </c>
      <c r="C431" t="s">
        <v>23</v>
      </c>
      <c r="D431" t="s">
        <v>17</v>
      </c>
      <c r="E431">
        <v>654</v>
      </c>
      <c r="F431">
        <v>262.62</v>
      </c>
      <c r="G431">
        <v>231.37</v>
      </c>
      <c r="H431">
        <v>262.62</v>
      </c>
      <c r="I431">
        <v>1875</v>
      </c>
      <c r="J431">
        <v>7</v>
      </c>
      <c r="K431" s="17">
        <f t="shared" si="49"/>
        <v>437.5</v>
      </c>
      <c r="L431" t="str">
        <f t="shared" si="50"/>
        <v>Sufficuent Stock</v>
      </c>
      <c r="P431" s="19">
        <f t="shared" si="51"/>
        <v>0</v>
      </c>
      <c r="R431" s="19">
        <f t="shared" si="48"/>
        <v>0</v>
      </c>
      <c r="T431" s="19">
        <f t="shared" si="52"/>
        <v>433818.75</v>
      </c>
      <c r="U431" s="19">
        <f t="shared" si="53"/>
        <v>492412.5</v>
      </c>
      <c r="V431" s="21">
        <f t="shared" si="54"/>
        <v>58593.75</v>
      </c>
      <c r="W431" s="18">
        <f t="shared" si="55"/>
        <v>0.13506504732679259</v>
      </c>
    </row>
    <row r="432" spans="1:23" x14ac:dyDescent="0.3">
      <c r="A432" t="s">
        <v>590</v>
      </c>
      <c r="B432" t="s">
        <v>2837</v>
      </c>
      <c r="C432" t="s">
        <v>23</v>
      </c>
      <c r="D432" t="s">
        <v>13</v>
      </c>
      <c r="E432">
        <v>657</v>
      </c>
      <c r="F432">
        <v>326.83</v>
      </c>
      <c r="G432">
        <v>353.55</v>
      </c>
      <c r="H432">
        <v>326.83</v>
      </c>
      <c r="I432">
        <v>646</v>
      </c>
      <c r="J432">
        <v>42</v>
      </c>
      <c r="K432" s="17">
        <f t="shared" si="49"/>
        <v>904.40000000000009</v>
      </c>
      <c r="L432" t="str">
        <f t="shared" si="50"/>
        <v>High Risk</v>
      </c>
      <c r="P432" s="19">
        <f t="shared" si="51"/>
        <v>248</v>
      </c>
      <c r="R432" s="19">
        <f t="shared" si="48"/>
        <v>81053.84</v>
      </c>
      <c r="T432" s="19">
        <f t="shared" si="52"/>
        <v>228393.30000000002</v>
      </c>
      <c r="U432" s="19">
        <f t="shared" si="53"/>
        <v>211132.18</v>
      </c>
      <c r="V432" s="21">
        <f t="shared" si="54"/>
        <v>-17261.120000000024</v>
      </c>
      <c r="W432" s="18">
        <f t="shared" si="55"/>
        <v>-7.557629755338717E-2</v>
      </c>
    </row>
    <row r="433" spans="1:23" x14ac:dyDescent="0.3">
      <c r="A433" t="s">
        <v>600</v>
      </c>
      <c r="B433" t="s">
        <v>601</v>
      </c>
      <c r="C433" t="s">
        <v>23</v>
      </c>
      <c r="D433" t="s">
        <v>26</v>
      </c>
      <c r="E433">
        <v>659</v>
      </c>
      <c r="F433">
        <v>180.77</v>
      </c>
      <c r="G433">
        <v>181.6</v>
      </c>
      <c r="H433">
        <v>180.77</v>
      </c>
      <c r="I433">
        <v>80</v>
      </c>
      <c r="J433">
        <v>5</v>
      </c>
      <c r="K433" s="17">
        <f t="shared" si="49"/>
        <v>13.333333333333332</v>
      </c>
      <c r="L433" t="str">
        <f t="shared" si="50"/>
        <v>Sufficuent Stock</v>
      </c>
      <c r="P433" s="19">
        <f t="shared" si="51"/>
        <v>0</v>
      </c>
      <c r="R433" s="19">
        <f t="shared" si="48"/>
        <v>0</v>
      </c>
      <c r="T433" s="19">
        <f t="shared" si="52"/>
        <v>14528</v>
      </c>
      <c r="U433" s="19">
        <f t="shared" si="53"/>
        <v>14461.6</v>
      </c>
      <c r="V433" s="21">
        <f t="shared" si="54"/>
        <v>-66.399999999999636</v>
      </c>
      <c r="W433" s="18">
        <f t="shared" si="55"/>
        <v>-4.5704845814977723E-3</v>
      </c>
    </row>
    <row r="434" spans="1:23" x14ac:dyDescent="0.3">
      <c r="A434" t="s">
        <v>107</v>
      </c>
      <c r="B434" t="s">
        <v>292</v>
      </c>
      <c r="C434" t="s">
        <v>37</v>
      </c>
      <c r="D434" t="s">
        <v>17</v>
      </c>
      <c r="E434">
        <v>660</v>
      </c>
      <c r="F434">
        <v>95.63</v>
      </c>
      <c r="G434">
        <v>97.24</v>
      </c>
      <c r="H434">
        <v>95.63</v>
      </c>
      <c r="I434">
        <v>111</v>
      </c>
      <c r="J434">
        <v>52</v>
      </c>
      <c r="K434" s="17">
        <f t="shared" si="49"/>
        <v>192.4</v>
      </c>
      <c r="L434" t="str">
        <f t="shared" si="50"/>
        <v>Sufficuent Stock</v>
      </c>
      <c r="P434" s="19">
        <f t="shared" si="51"/>
        <v>0</v>
      </c>
      <c r="R434" s="19">
        <f t="shared" si="48"/>
        <v>0</v>
      </c>
      <c r="T434" s="19">
        <f t="shared" si="52"/>
        <v>10793.64</v>
      </c>
      <c r="U434" s="19">
        <f t="shared" si="53"/>
        <v>10614.93</v>
      </c>
      <c r="V434" s="21">
        <f t="shared" si="54"/>
        <v>-178.70999999999913</v>
      </c>
      <c r="W434" s="18">
        <f t="shared" si="55"/>
        <v>-1.6556972439325301E-2</v>
      </c>
    </row>
    <row r="435" spans="1:23" x14ac:dyDescent="0.3">
      <c r="A435" t="s">
        <v>1410</v>
      </c>
      <c r="B435" t="s">
        <v>1616</v>
      </c>
      <c r="C435" t="s">
        <v>12</v>
      </c>
      <c r="D435" t="s">
        <v>17</v>
      </c>
      <c r="E435">
        <v>663</v>
      </c>
      <c r="F435">
        <v>428.43</v>
      </c>
      <c r="G435">
        <v>412.24</v>
      </c>
      <c r="H435">
        <v>428.43</v>
      </c>
      <c r="I435">
        <v>2538</v>
      </c>
      <c r="J435">
        <v>53</v>
      </c>
      <c r="K435" s="17">
        <f t="shared" si="49"/>
        <v>4483.7999999999993</v>
      </c>
      <c r="L435" t="str">
        <f t="shared" si="50"/>
        <v>High Risk</v>
      </c>
      <c r="P435" s="19">
        <f t="shared" si="51"/>
        <v>3821</v>
      </c>
      <c r="R435" s="19">
        <f t="shared" si="48"/>
        <v>1637031.03</v>
      </c>
      <c r="T435" s="19">
        <f t="shared" si="52"/>
        <v>1046265.12</v>
      </c>
      <c r="U435" s="19">
        <f t="shared" si="53"/>
        <v>1087355.3400000001</v>
      </c>
      <c r="V435" s="21">
        <f t="shared" si="54"/>
        <v>41090.220000000088</v>
      </c>
      <c r="W435" s="18">
        <f t="shared" si="55"/>
        <v>3.9273238889967095E-2</v>
      </c>
    </row>
    <row r="436" spans="1:23" x14ac:dyDescent="0.3">
      <c r="A436" t="s">
        <v>992</v>
      </c>
      <c r="B436" t="s">
        <v>2415</v>
      </c>
      <c r="C436" t="s">
        <v>16</v>
      </c>
      <c r="D436" t="s">
        <v>26</v>
      </c>
      <c r="E436">
        <v>666</v>
      </c>
      <c r="F436">
        <v>15.59</v>
      </c>
      <c r="G436">
        <v>17.2</v>
      </c>
      <c r="H436">
        <v>15.59</v>
      </c>
      <c r="I436">
        <v>3066</v>
      </c>
      <c r="J436">
        <v>65</v>
      </c>
      <c r="K436" s="17">
        <f t="shared" si="49"/>
        <v>6643</v>
      </c>
      <c r="L436" t="str">
        <f t="shared" si="50"/>
        <v>High Risk</v>
      </c>
      <c r="P436" s="19">
        <f t="shared" si="51"/>
        <v>5977</v>
      </c>
      <c r="R436" s="19">
        <f t="shared" si="48"/>
        <v>93181.43</v>
      </c>
      <c r="T436" s="19">
        <f t="shared" si="52"/>
        <v>52735.199999999997</v>
      </c>
      <c r="U436" s="19">
        <f t="shared" si="53"/>
        <v>47798.94</v>
      </c>
      <c r="V436" s="21">
        <f t="shared" si="54"/>
        <v>-4936.2599999999948</v>
      </c>
      <c r="W436" s="18">
        <f t="shared" si="55"/>
        <v>-9.3604651162790597E-2</v>
      </c>
    </row>
    <row r="437" spans="1:23" x14ac:dyDescent="0.3">
      <c r="A437" t="s">
        <v>1939</v>
      </c>
      <c r="B437" t="s">
        <v>3029</v>
      </c>
      <c r="C437" t="s">
        <v>23</v>
      </c>
      <c r="D437" t="s">
        <v>26</v>
      </c>
      <c r="E437">
        <v>667</v>
      </c>
      <c r="F437">
        <v>309.27999999999997</v>
      </c>
      <c r="G437">
        <v>341.36</v>
      </c>
      <c r="H437">
        <v>309.27999999999997</v>
      </c>
      <c r="I437">
        <v>1829</v>
      </c>
      <c r="J437">
        <v>42</v>
      </c>
      <c r="K437" s="17">
        <f t="shared" si="49"/>
        <v>2560.6</v>
      </c>
      <c r="L437" t="str">
        <f t="shared" si="50"/>
        <v>High Risk</v>
      </c>
      <c r="P437" s="19">
        <f t="shared" si="51"/>
        <v>1894</v>
      </c>
      <c r="R437" s="19">
        <f t="shared" si="48"/>
        <v>585776.31999999995</v>
      </c>
      <c r="T437" s="19">
        <f t="shared" si="52"/>
        <v>624347.44000000006</v>
      </c>
      <c r="U437" s="19">
        <f t="shared" si="53"/>
        <v>565673.12</v>
      </c>
      <c r="V437" s="21">
        <f t="shared" si="54"/>
        <v>-58674.320000000065</v>
      </c>
      <c r="W437" s="18">
        <f t="shared" si="55"/>
        <v>-9.3977033044293515E-2</v>
      </c>
    </row>
    <row r="438" spans="1:23" x14ac:dyDescent="0.3">
      <c r="A438" t="s">
        <v>714</v>
      </c>
      <c r="B438" t="s">
        <v>1920</v>
      </c>
      <c r="C438" t="s">
        <v>37</v>
      </c>
      <c r="D438" t="s">
        <v>26</v>
      </c>
      <c r="E438">
        <v>669</v>
      </c>
      <c r="F438">
        <v>277.3</v>
      </c>
      <c r="G438">
        <v>290.95999999999998</v>
      </c>
      <c r="H438">
        <v>277.3</v>
      </c>
      <c r="I438">
        <v>3798</v>
      </c>
      <c r="J438">
        <v>17</v>
      </c>
      <c r="K438" s="17">
        <f t="shared" si="49"/>
        <v>2152.1999999999998</v>
      </c>
      <c r="L438" t="str">
        <f t="shared" si="50"/>
        <v>High Risk</v>
      </c>
      <c r="P438" s="19">
        <f t="shared" si="51"/>
        <v>1484</v>
      </c>
      <c r="R438" s="19">
        <f t="shared" si="48"/>
        <v>411513.2</v>
      </c>
      <c r="T438" s="19">
        <f t="shared" si="52"/>
        <v>1105066.0799999998</v>
      </c>
      <c r="U438" s="19">
        <f t="shared" si="53"/>
        <v>1053185.4000000001</v>
      </c>
      <c r="V438" s="21">
        <f t="shared" si="54"/>
        <v>-51880.679999999702</v>
      </c>
      <c r="W438" s="18">
        <f t="shared" si="55"/>
        <v>-4.6948034094033281E-2</v>
      </c>
    </row>
    <row r="439" spans="1:23" x14ac:dyDescent="0.3">
      <c r="A439" t="s">
        <v>398</v>
      </c>
      <c r="B439" t="s">
        <v>1408</v>
      </c>
      <c r="C439" t="s">
        <v>16</v>
      </c>
      <c r="D439" t="s">
        <v>17</v>
      </c>
      <c r="E439">
        <v>672</v>
      </c>
      <c r="F439">
        <v>549.78</v>
      </c>
      <c r="G439">
        <v>458.25</v>
      </c>
      <c r="H439">
        <v>549.78</v>
      </c>
      <c r="I439">
        <v>2898</v>
      </c>
      <c r="J439">
        <v>63</v>
      </c>
      <c r="K439" s="17">
        <f t="shared" si="49"/>
        <v>6085.7999999999993</v>
      </c>
      <c r="L439" t="str">
        <f t="shared" si="50"/>
        <v>High Risk</v>
      </c>
      <c r="P439" s="19">
        <f t="shared" si="51"/>
        <v>5414</v>
      </c>
      <c r="R439" s="19">
        <f t="shared" si="48"/>
        <v>2976508.92</v>
      </c>
      <c r="T439" s="19">
        <f t="shared" si="52"/>
        <v>1328008.5</v>
      </c>
      <c r="U439" s="19">
        <f t="shared" si="53"/>
        <v>1593262.44</v>
      </c>
      <c r="V439" s="21">
        <f t="shared" si="54"/>
        <v>265253.93999999994</v>
      </c>
      <c r="W439" s="18">
        <f t="shared" si="55"/>
        <v>0.19973813420621928</v>
      </c>
    </row>
    <row r="440" spans="1:23" x14ac:dyDescent="0.3">
      <c r="A440" t="s">
        <v>659</v>
      </c>
      <c r="B440" t="s">
        <v>660</v>
      </c>
      <c r="C440" t="s">
        <v>16</v>
      </c>
      <c r="D440" t="s">
        <v>13</v>
      </c>
      <c r="E440">
        <v>675</v>
      </c>
      <c r="F440">
        <v>229.16</v>
      </c>
      <c r="G440">
        <v>207.62</v>
      </c>
      <c r="H440">
        <v>229.16</v>
      </c>
      <c r="I440">
        <v>1767</v>
      </c>
      <c r="J440">
        <v>13</v>
      </c>
      <c r="K440" s="17">
        <f t="shared" si="49"/>
        <v>765.69999999999993</v>
      </c>
      <c r="L440" t="str">
        <f t="shared" si="50"/>
        <v>High Risk</v>
      </c>
      <c r="P440" s="19">
        <f t="shared" si="51"/>
        <v>91</v>
      </c>
      <c r="R440" s="19">
        <f t="shared" si="48"/>
        <v>20853.560000000001</v>
      </c>
      <c r="T440" s="19">
        <f t="shared" si="52"/>
        <v>366864.54</v>
      </c>
      <c r="U440" s="19">
        <f t="shared" si="53"/>
        <v>404925.72</v>
      </c>
      <c r="V440" s="21">
        <f t="shared" si="54"/>
        <v>38061.179999999993</v>
      </c>
      <c r="W440" s="18">
        <f t="shared" si="55"/>
        <v>0.10374723051729119</v>
      </c>
    </row>
    <row r="441" spans="1:23" x14ac:dyDescent="0.3">
      <c r="A441" t="s">
        <v>376</v>
      </c>
      <c r="B441" t="s">
        <v>377</v>
      </c>
      <c r="C441" t="s">
        <v>23</v>
      </c>
      <c r="D441" t="s">
        <v>26</v>
      </c>
      <c r="E441">
        <v>675</v>
      </c>
      <c r="F441">
        <v>348.96</v>
      </c>
      <c r="G441">
        <v>348.13</v>
      </c>
      <c r="H441">
        <v>348.96</v>
      </c>
      <c r="I441">
        <v>2461</v>
      </c>
      <c r="J441">
        <v>69</v>
      </c>
      <c r="K441" s="17">
        <f t="shared" si="49"/>
        <v>5660.3</v>
      </c>
      <c r="L441" t="str">
        <f t="shared" si="50"/>
        <v>High Risk</v>
      </c>
      <c r="P441" s="19">
        <f t="shared" si="51"/>
        <v>4986</v>
      </c>
      <c r="R441" s="19">
        <f t="shared" si="48"/>
        <v>1739914.5599999998</v>
      </c>
      <c r="T441" s="19">
        <f t="shared" si="52"/>
        <v>856747.92999999993</v>
      </c>
      <c r="U441" s="19">
        <f t="shared" si="53"/>
        <v>858790.55999999994</v>
      </c>
      <c r="V441" s="21">
        <f t="shared" si="54"/>
        <v>2042.6300000000047</v>
      </c>
      <c r="W441" s="18">
        <f t="shared" si="55"/>
        <v>2.3841668342285986E-3</v>
      </c>
    </row>
    <row r="442" spans="1:23" x14ac:dyDescent="0.3">
      <c r="A442" t="s">
        <v>960</v>
      </c>
      <c r="B442" t="s">
        <v>961</v>
      </c>
      <c r="C442" t="s">
        <v>12</v>
      </c>
      <c r="D442" t="s">
        <v>69</v>
      </c>
      <c r="E442">
        <v>677</v>
      </c>
      <c r="F442">
        <v>322.75</v>
      </c>
      <c r="G442">
        <v>272.02</v>
      </c>
      <c r="H442">
        <v>322.75</v>
      </c>
      <c r="I442">
        <v>3409</v>
      </c>
      <c r="J442">
        <v>51</v>
      </c>
      <c r="K442" s="17">
        <f t="shared" si="49"/>
        <v>5795.3</v>
      </c>
      <c r="L442" t="str">
        <f t="shared" si="50"/>
        <v>High Risk</v>
      </c>
      <c r="P442" s="19">
        <f t="shared" si="51"/>
        <v>5119</v>
      </c>
      <c r="R442" s="19">
        <f t="shared" si="48"/>
        <v>1652157.25</v>
      </c>
      <c r="T442" s="19">
        <f t="shared" si="52"/>
        <v>927316.17999999993</v>
      </c>
      <c r="U442" s="19">
        <f t="shared" si="53"/>
        <v>1100254.75</v>
      </c>
      <c r="V442" s="21">
        <f t="shared" si="54"/>
        <v>172938.57000000007</v>
      </c>
      <c r="W442" s="18">
        <f t="shared" si="55"/>
        <v>0.18649364017351674</v>
      </c>
    </row>
    <row r="443" spans="1:23" x14ac:dyDescent="0.3">
      <c r="A443" t="s">
        <v>1074</v>
      </c>
      <c r="B443" t="s">
        <v>2239</v>
      </c>
      <c r="C443" t="s">
        <v>37</v>
      </c>
      <c r="D443" t="s">
        <v>69</v>
      </c>
      <c r="E443">
        <v>679</v>
      </c>
      <c r="F443">
        <v>268.77</v>
      </c>
      <c r="G443">
        <v>258.8</v>
      </c>
      <c r="H443">
        <v>268.77</v>
      </c>
      <c r="I443">
        <v>3783</v>
      </c>
      <c r="J443">
        <v>60</v>
      </c>
      <c r="K443" s="17">
        <f t="shared" si="49"/>
        <v>7566</v>
      </c>
      <c r="L443" t="str">
        <f t="shared" si="50"/>
        <v>High Risk</v>
      </c>
      <c r="P443" s="19">
        <f t="shared" si="51"/>
        <v>6887</v>
      </c>
      <c r="R443" s="19">
        <f t="shared" si="48"/>
        <v>1851018.99</v>
      </c>
      <c r="T443" s="19">
        <f t="shared" si="52"/>
        <v>979040.4</v>
      </c>
      <c r="U443" s="19">
        <f t="shared" si="53"/>
        <v>1016756.9099999999</v>
      </c>
      <c r="V443" s="21">
        <f t="shared" si="54"/>
        <v>37716.509999999893</v>
      </c>
      <c r="W443" s="18">
        <f t="shared" si="55"/>
        <v>3.8523956723338373E-2</v>
      </c>
    </row>
    <row r="444" spans="1:23" x14ac:dyDescent="0.3">
      <c r="A444" t="s">
        <v>1322</v>
      </c>
      <c r="B444" t="s">
        <v>2111</v>
      </c>
      <c r="C444" t="s">
        <v>23</v>
      </c>
      <c r="D444" t="s">
        <v>20</v>
      </c>
      <c r="E444">
        <v>688</v>
      </c>
      <c r="F444">
        <v>492.99</v>
      </c>
      <c r="G444">
        <v>429.35</v>
      </c>
      <c r="H444">
        <v>492.99</v>
      </c>
      <c r="I444">
        <v>3010</v>
      </c>
      <c r="J444">
        <v>64</v>
      </c>
      <c r="K444" s="17">
        <f t="shared" si="49"/>
        <v>6421.333333333333</v>
      </c>
      <c r="L444" t="str">
        <f t="shared" si="50"/>
        <v>High Risk</v>
      </c>
      <c r="P444" s="19">
        <f t="shared" si="51"/>
        <v>5734</v>
      </c>
      <c r="R444" s="19">
        <f t="shared" si="48"/>
        <v>2826804.66</v>
      </c>
      <c r="T444" s="19">
        <f t="shared" si="52"/>
        <v>1292343.5</v>
      </c>
      <c r="U444" s="19">
        <f t="shared" si="53"/>
        <v>1483899.9000000001</v>
      </c>
      <c r="V444" s="21">
        <f t="shared" si="54"/>
        <v>191556.40000000014</v>
      </c>
      <c r="W444" s="18">
        <f t="shared" si="55"/>
        <v>0.14822405962501467</v>
      </c>
    </row>
    <row r="445" spans="1:23" x14ac:dyDescent="0.3">
      <c r="A445" t="s">
        <v>153</v>
      </c>
      <c r="B445" t="s">
        <v>1976</v>
      </c>
      <c r="C445" t="s">
        <v>37</v>
      </c>
      <c r="D445" t="s">
        <v>13</v>
      </c>
      <c r="E445">
        <v>688</v>
      </c>
      <c r="F445">
        <v>283.77999999999997</v>
      </c>
      <c r="G445">
        <v>283.17</v>
      </c>
      <c r="H445">
        <v>283.77999999999997</v>
      </c>
      <c r="I445">
        <v>1795</v>
      </c>
      <c r="J445">
        <v>77</v>
      </c>
      <c r="K445" s="17">
        <f t="shared" si="49"/>
        <v>4607.166666666667</v>
      </c>
      <c r="L445" t="str">
        <f t="shared" si="50"/>
        <v>High Risk</v>
      </c>
      <c r="P445" s="19">
        <f t="shared" si="51"/>
        <v>3920</v>
      </c>
      <c r="R445" s="19">
        <f t="shared" si="48"/>
        <v>1112417.5999999999</v>
      </c>
      <c r="T445" s="19">
        <f t="shared" si="52"/>
        <v>508290.15</v>
      </c>
      <c r="U445" s="19">
        <f t="shared" si="53"/>
        <v>509385.1</v>
      </c>
      <c r="V445" s="21">
        <f t="shared" si="54"/>
        <v>1094.9499999999534</v>
      </c>
      <c r="W445" s="18">
        <f t="shared" si="55"/>
        <v>2.1541829996114489E-3</v>
      </c>
    </row>
    <row r="446" spans="1:23" x14ac:dyDescent="0.3">
      <c r="A446" t="s">
        <v>509</v>
      </c>
      <c r="B446" t="s">
        <v>1295</v>
      </c>
      <c r="C446" t="s">
        <v>16</v>
      </c>
      <c r="D446" t="s">
        <v>26</v>
      </c>
      <c r="E446">
        <v>689</v>
      </c>
      <c r="F446">
        <v>386.02</v>
      </c>
      <c r="G446">
        <v>347.16</v>
      </c>
      <c r="H446">
        <v>386.02</v>
      </c>
      <c r="I446">
        <v>623</v>
      </c>
      <c r="J446">
        <v>82</v>
      </c>
      <c r="K446" s="17">
        <f t="shared" si="49"/>
        <v>1702.8666666666666</v>
      </c>
      <c r="L446" t="str">
        <f t="shared" si="50"/>
        <v>High Risk</v>
      </c>
      <c r="P446" s="19">
        <f t="shared" si="51"/>
        <v>1014</v>
      </c>
      <c r="R446" s="19">
        <f t="shared" si="48"/>
        <v>391424.27999999997</v>
      </c>
      <c r="T446" s="19">
        <f t="shared" si="52"/>
        <v>216280.68000000002</v>
      </c>
      <c r="U446" s="19">
        <f t="shared" si="53"/>
        <v>240490.46</v>
      </c>
      <c r="V446" s="21">
        <f t="shared" si="54"/>
        <v>24209.77999999997</v>
      </c>
      <c r="W446" s="18">
        <f t="shared" si="55"/>
        <v>0.1119368590851479</v>
      </c>
    </row>
    <row r="447" spans="1:23" x14ac:dyDescent="0.3">
      <c r="A447" t="s">
        <v>46</v>
      </c>
      <c r="B447" t="s">
        <v>2357</v>
      </c>
      <c r="C447" t="s">
        <v>23</v>
      </c>
      <c r="D447" t="s">
        <v>13</v>
      </c>
      <c r="E447">
        <v>691</v>
      </c>
      <c r="F447">
        <v>238.27</v>
      </c>
      <c r="G447">
        <v>252.98</v>
      </c>
      <c r="H447">
        <v>238.27</v>
      </c>
      <c r="I447">
        <v>1381</v>
      </c>
      <c r="J447">
        <v>39</v>
      </c>
      <c r="K447" s="17">
        <f t="shared" si="49"/>
        <v>1795.3</v>
      </c>
      <c r="L447" t="str">
        <f t="shared" si="50"/>
        <v>High Risk</v>
      </c>
      <c r="P447" s="19">
        <f t="shared" si="51"/>
        <v>1105</v>
      </c>
      <c r="R447" s="19">
        <f t="shared" si="48"/>
        <v>263288.35000000003</v>
      </c>
      <c r="T447" s="19">
        <f t="shared" si="52"/>
        <v>349365.38</v>
      </c>
      <c r="U447" s="19">
        <f t="shared" si="53"/>
        <v>329050.87</v>
      </c>
      <c r="V447" s="21">
        <f t="shared" si="54"/>
        <v>-20314.510000000009</v>
      </c>
      <c r="W447" s="18">
        <f t="shared" si="55"/>
        <v>-5.8146889082140905E-2</v>
      </c>
    </row>
    <row r="448" spans="1:23" x14ac:dyDescent="0.3">
      <c r="A448" t="s">
        <v>546</v>
      </c>
      <c r="B448" t="s">
        <v>2543</v>
      </c>
      <c r="C448" t="s">
        <v>37</v>
      </c>
      <c r="D448" t="s">
        <v>20</v>
      </c>
      <c r="E448">
        <v>694</v>
      </c>
      <c r="F448">
        <v>306.51</v>
      </c>
      <c r="G448">
        <v>305.04000000000002</v>
      </c>
      <c r="H448">
        <v>306.51</v>
      </c>
      <c r="I448">
        <v>3746</v>
      </c>
      <c r="J448">
        <v>47</v>
      </c>
      <c r="K448" s="17">
        <f t="shared" si="49"/>
        <v>5868.7333333333327</v>
      </c>
      <c r="L448" t="str">
        <f t="shared" si="50"/>
        <v>High Risk</v>
      </c>
      <c r="P448" s="19">
        <f t="shared" si="51"/>
        <v>5175</v>
      </c>
      <c r="R448" s="19">
        <f t="shared" si="48"/>
        <v>1586189.25</v>
      </c>
      <c r="T448" s="19">
        <f t="shared" si="52"/>
        <v>1142679.8400000001</v>
      </c>
      <c r="U448" s="19">
        <f t="shared" si="53"/>
        <v>1148186.46</v>
      </c>
      <c r="V448" s="21">
        <f t="shared" si="54"/>
        <v>5506.6199999998789</v>
      </c>
      <c r="W448" s="18">
        <f t="shared" si="55"/>
        <v>4.8190401258850239E-3</v>
      </c>
    </row>
    <row r="449" spans="1:23" x14ac:dyDescent="0.3">
      <c r="A449" t="s">
        <v>1829</v>
      </c>
      <c r="B449" t="s">
        <v>1830</v>
      </c>
      <c r="C449" t="s">
        <v>23</v>
      </c>
      <c r="D449" t="s">
        <v>13</v>
      </c>
      <c r="E449">
        <v>697</v>
      </c>
      <c r="F449">
        <v>116.86</v>
      </c>
      <c r="G449">
        <v>113.11</v>
      </c>
      <c r="H449">
        <v>116.86</v>
      </c>
      <c r="I449">
        <v>1609</v>
      </c>
      <c r="J449">
        <v>90</v>
      </c>
      <c r="K449" s="17">
        <f t="shared" si="49"/>
        <v>4827</v>
      </c>
      <c r="L449" t="str">
        <f t="shared" si="50"/>
        <v>High Risk</v>
      </c>
      <c r="P449" s="19">
        <f t="shared" si="51"/>
        <v>4130</v>
      </c>
      <c r="R449" s="19">
        <f t="shared" si="48"/>
        <v>482631.8</v>
      </c>
      <c r="T449" s="19">
        <f t="shared" si="52"/>
        <v>181993.99</v>
      </c>
      <c r="U449" s="19">
        <f t="shared" si="53"/>
        <v>188027.74</v>
      </c>
      <c r="V449" s="21">
        <f t="shared" si="54"/>
        <v>6033.75</v>
      </c>
      <c r="W449" s="18">
        <f t="shared" si="55"/>
        <v>3.3153567323844051E-2</v>
      </c>
    </row>
    <row r="450" spans="1:23" x14ac:dyDescent="0.3">
      <c r="A450" t="s">
        <v>896</v>
      </c>
      <c r="B450" t="s">
        <v>2834</v>
      </c>
      <c r="C450" t="s">
        <v>37</v>
      </c>
      <c r="D450" t="s">
        <v>26</v>
      </c>
      <c r="E450">
        <v>699</v>
      </c>
      <c r="F450">
        <v>336.45</v>
      </c>
      <c r="G450">
        <v>306.61</v>
      </c>
      <c r="H450">
        <v>336.45</v>
      </c>
      <c r="I450">
        <v>822</v>
      </c>
      <c r="J450">
        <v>43</v>
      </c>
      <c r="K450" s="17">
        <f t="shared" si="49"/>
        <v>1178.2</v>
      </c>
      <c r="L450" t="str">
        <f t="shared" si="50"/>
        <v>High Risk</v>
      </c>
      <c r="P450" s="19">
        <f t="shared" si="51"/>
        <v>480</v>
      </c>
      <c r="R450" s="19">
        <f t="shared" ref="R450:R513" si="56">P450*H450</f>
        <v>161496</v>
      </c>
      <c r="T450" s="19">
        <f t="shared" si="52"/>
        <v>252033.42</v>
      </c>
      <c r="U450" s="19">
        <f t="shared" si="53"/>
        <v>276561.89999999997</v>
      </c>
      <c r="V450" s="21">
        <f t="shared" si="54"/>
        <v>24528.479999999952</v>
      </c>
      <c r="W450" s="18">
        <f t="shared" si="55"/>
        <v>9.7322331300348786E-2</v>
      </c>
    </row>
    <row r="451" spans="1:23" x14ac:dyDescent="0.3">
      <c r="A451" t="s">
        <v>549</v>
      </c>
      <c r="B451" t="s">
        <v>1703</v>
      </c>
      <c r="C451" t="s">
        <v>23</v>
      </c>
      <c r="D451" t="s">
        <v>26</v>
      </c>
      <c r="E451">
        <v>701</v>
      </c>
      <c r="F451">
        <v>257.87</v>
      </c>
      <c r="G451">
        <v>275.57</v>
      </c>
      <c r="H451">
        <v>257.87</v>
      </c>
      <c r="I451">
        <v>2117</v>
      </c>
      <c r="J451">
        <v>37</v>
      </c>
      <c r="K451" s="17">
        <f t="shared" ref="K451:K514" si="57">(I451/30)*J451</f>
        <v>2610.9666666666667</v>
      </c>
      <c r="L451" t="str">
        <f t="shared" ref="L451:L514" si="58">IF(E451&lt;K451,"High Risk","Sufficuent Stock")</f>
        <v>High Risk</v>
      </c>
      <c r="P451" s="19">
        <f t="shared" ref="P451:P514" si="59">ROUNDUP(MAX(0,K451-E451),0)</f>
        <v>1910</v>
      </c>
      <c r="R451" s="19">
        <f t="shared" si="56"/>
        <v>492531.7</v>
      </c>
      <c r="T451" s="19">
        <f t="shared" ref="T451:T514" si="60">I451*G451</f>
        <v>583381.68999999994</v>
      </c>
      <c r="U451" s="19">
        <f t="shared" ref="U451:U514" si="61">I451*H451</f>
        <v>545910.79</v>
      </c>
      <c r="V451" s="21">
        <f t="shared" ref="V451:V514" si="62">U451-T451</f>
        <v>-37470.899999999907</v>
      </c>
      <c r="W451" s="18">
        <f t="shared" ref="W451:W514" si="63">IFERROR(V451/T451,0)</f>
        <v>-6.4230504046158723E-2</v>
      </c>
    </row>
    <row r="452" spans="1:23" x14ac:dyDescent="0.3">
      <c r="A452" t="s">
        <v>380</v>
      </c>
      <c r="B452" t="s">
        <v>551</v>
      </c>
      <c r="C452" t="s">
        <v>37</v>
      </c>
      <c r="D452" t="s">
        <v>69</v>
      </c>
      <c r="E452">
        <v>708</v>
      </c>
      <c r="F452">
        <v>355.44</v>
      </c>
      <c r="G452">
        <v>317.12</v>
      </c>
      <c r="H452">
        <v>355.44</v>
      </c>
      <c r="I452">
        <v>252</v>
      </c>
      <c r="J452">
        <v>29</v>
      </c>
      <c r="K452" s="17">
        <f t="shared" si="57"/>
        <v>243.60000000000002</v>
      </c>
      <c r="L452" t="str">
        <f t="shared" si="58"/>
        <v>Sufficuent Stock</v>
      </c>
      <c r="P452" s="19">
        <f t="shared" si="59"/>
        <v>0</v>
      </c>
      <c r="R452" s="19">
        <f t="shared" si="56"/>
        <v>0</v>
      </c>
      <c r="T452" s="19">
        <f t="shared" si="60"/>
        <v>79914.240000000005</v>
      </c>
      <c r="U452" s="19">
        <f t="shared" si="61"/>
        <v>89570.880000000005</v>
      </c>
      <c r="V452" s="21">
        <f t="shared" si="62"/>
        <v>9656.64</v>
      </c>
      <c r="W452" s="18">
        <f t="shared" si="63"/>
        <v>0.12083753784056507</v>
      </c>
    </row>
    <row r="453" spans="1:23" x14ac:dyDescent="0.3">
      <c r="A453" t="s">
        <v>326</v>
      </c>
      <c r="B453" t="s">
        <v>2455</v>
      </c>
      <c r="C453" t="s">
        <v>23</v>
      </c>
      <c r="D453" t="s">
        <v>69</v>
      </c>
      <c r="E453">
        <v>709</v>
      </c>
      <c r="F453">
        <v>212.24</v>
      </c>
      <c r="G453">
        <v>203.08</v>
      </c>
      <c r="H453">
        <v>212.24</v>
      </c>
      <c r="I453">
        <v>140</v>
      </c>
      <c r="J453">
        <v>65</v>
      </c>
      <c r="K453" s="17">
        <f t="shared" si="57"/>
        <v>303.33333333333337</v>
      </c>
      <c r="L453" t="str">
        <f t="shared" si="58"/>
        <v>Sufficuent Stock</v>
      </c>
      <c r="P453" s="19">
        <f t="shared" si="59"/>
        <v>0</v>
      </c>
      <c r="R453" s="19">
        <f t="shared" si="56"/>
        <v>0</v>
      </c>
      <c r="T453" s="19">
        <f t="shared" si="60"/>
        <v>28431.200000000001</v>
      </c>
      <c r="U453" s="19">
        <f t="shared" si="61"/>
        <v>29713.600000000002</v>
      </c>
      <c r="V453" s="21">
        <f t="shared" si="62"/>
        <v>1282.4000000000015</v>
      </c>
      <c r="W453" s="18">
        <f t="shared" si="63"/>
        <v>4.5105377191254729E-2</v>
      </c>
    </row>
    <row r="454" spans="1:23" x14ac:dyDescent="0.3">
      <c r="A454" t="s">
        <v>523</v>
      </c>
      <c r="B454" t="s">
        <v>2711</v>
      </c>
      <c r="C454" t="s">
        <v>23</v>
      </c>
      <c r="D454" t="s">
        <v>69</v>
      </c>
      <c r="E454">
        <v>713</v>
      </c>
      <c r="F454">
        <v>251.14</v>
      </c>
      <c r="G454">
        <v>230.17</v>
      </c>
      <c r="H454">
        <v>251.14</v>
      </c>
      <c r="I454">
        <v>2800</v>
      </c>
      <c r="J454">
        <v>89</v>
      </c>
      <c r="K454" s="17">
        <f t="shared" si="57"/>
        <v>8306.6666666666661</v>
      </c>
      <c r="L454" t="str">
        <f t="shared" si="58"/>
        <v>High Risk</v>
      </c>
      <c r="P454" s="19">
        <f t="shared" si="59"/>
        <v>7594</v>
      </c>
      <c r="R454" s="19">
        <f t="shared" si="56"/>
        <v>1907157.16</v>
      </c>
      <c r="T454" s="19">
        <f t="shared" si="60"/>
        <v>644476</v>
      </c>
      <c r="U454" s="19">
        <f t="shared" si="61"/>
        <v>703192</v>
      </c>
      <c r="V454" s="21">
        <f t="shared" si="62"/>
        <v>58716</v>
      </c>
      <c r="W454" s="18">
        <f t="shared" si="63"/>
        <v>9.1106573402267896E-2</v>
      </c>
    </row>
    <row r="455" spans="1:23" x14ac:dyDescent="0.3">
      <c r="A455" t="s">
        <v>111</v>
      </c>
      <c r="B455" t="s">
        <v>1362</v>
      </c>
      <c r="C455" t="s">
        <v>37</v>
      </c>
      <c r="D455" t="s">
        <v>26</v>
      </c>
      <c r="E455">
        <v>714</v>
      </c>
      <c r="F455">
        <v>299.95</v>
      </c>
      <c r="G455">
        <v>260.97000000000003</v>
      </c>
      <c r="H455">
        <v>299.95</v>
      </c>
      <c r="I455">
        <v>3034</v>
      </c>
      <c r="J455">
        <v>74</v>
      </c>
      <c r="K455" s="17">
        <f t="shared" si="57"/>
        <v>7483.8666666666668</v>
      </c>
      <c r="L455" t="str">
        <f t="shared" si="58"/>
        <v>High Risk</v>
      </c>
      <c r="P455" s="19">
        <f t="shared" si="59"/>
        <v>6770</v>
      </c>
      <c r="R455" s="19">
        <f t="shared" si="56"/>
        <v>2030661.5</v>
      </c>
      <c r="T455" s="19">
        <f t="shared" si="60"/>
        <v>791782.9800000001</v>
      </c>
      <c r="U455" s="19">
        <f t="shared" si="61"/>
        <v>910048.29999999993</v>
      </c>
      <c r="V455" s="21">
        <f t="shared" si="62"/>
        <v>118265.31999999983</v>
      </c>
      <c r="W455" s="18">
        <f t="shared" si="63"/>
        <v>0.14936582748974955</v>
      </c>
    </row>
    <row r="456" spans="1:23" x14ac:dyDescent="0.3">
      <c r="A456" t="s">
        <v>105</v>
      </c>
      <c r="B456" t="s">
        <v>2757</v>
      </c>
      <c r="C456" t="s">
        <v>23</v>
      </c>
      <c r="D456" t="s">
        <v>20</v>
      </c>
      <c r="E456">
        <v>714</v>
      </c>
      <c r="F456">
        <v>307.06</v>
      </c>
      <c r="G456">
        <v>266.58</v>
      </c>
      <c r="H456">
        <v>307.06</v>
      </c>
      <c r="I456">
        <v>122</v>
      </c>
      <c r="J456">
        <v>83</v>
      </c>
      <c r="K456" s="17">
        <f t="shared" si="57"/>
        <v>337.5333333333333</v>
      </c>
      <c r="L456" t="str">
        <f t="shared" si="58"/>
        <v>Sufficuent Stock</v>
      </c>
      <c r="P456" s="19">
        <f t="shared" si="59"/>
        <v>0</v>
      </c>
      <c r="R456" s="19">
        <f t="shared" si="56"/>
        <v>0</v>
      </c>
      <c r="T456" s="19">
        <f t="shared" si="60"/>
        <v>32522.76</v>
      </c>
      <c r="U456" s="19">
        <f t="shared" si="61"/>
        <v>37461.32</v>
      </c>
      <c r="V456" s="21">
        <f t="shared" si="62"/>
        <v>4938.5600000000013</v>
      </c>
      <c r="W456" s="18">
        <f t="shared" si="63"/>
        <v>0.15184935103908775</v>
      </c>
    </row>
    <row r="457" spans="1:23" x14ac:dyDescent="0.3">
      <c r="A457" t="s">
        <v>90</v>
      </c>
      <c r="B457" t="s">
        <v>1828</v>
      </c>
      <c r="C457" t="s">
        <v>12</v>
      </c>
      <c r="D457" t="s">
        <v>20</v>
      </c>
      <c r="E457">
        <v>716</v>
      </c>
      <c r="F457">
        <v>263.01</v>
      </c>
      <c r="G457">
        <v>281.20999999999998</v>
      </c>
      <c r="H457">
        <v>263.01</v>
      </c>
      <c r="I457">
        <v>452</v>
      </c>
      <c r="J457">
        <v>50</v>
      </c>
      <c r="K457" s="17">
        <f t="shared" si="57"/>
        <v>753.33333333333337</v>
      </c>
      <c r="L457" t="str">
        <f t="shared" si="58"/>
        <v>High Risk</v>
      </c>
      <c r="P457" s="19">
        <f t="shared" si="59"/>
        <v>38</v>
      </c>
      <c r="R457" s="19">
        <f t="shared" si="56"/>
        <v>9994.3799999999992</v>
      </c>
      <c r="T457" s="19">
        <f t="shared" si="60"/>
        <v>127106.91999999998</v>
      </c>
      <c r="U457" s="19">
        <f t="shared" si="61"/>
        <v>118880.51999999999</v>
      </c>
      <c r="V457" s="21">
        <f t="shared" si="62"/>
        <v>-8226.3999999999942</v>
      </c>
      <c r="W457" s="18">
        <f t="shared" si="63"/>
        <v>-6.4720315778243984E-2</v>
      </c>
    </row>
    <row r="458" spans="1:23" x14ac:dyDescent="0.3">
      <c r="A458" t="s">
        <v>111</v>
      </c>
      <c r="B458" t="s">
        <v>754</v>
      </c>
      <c r="C458" t="s">
        <v>50</v>
      </c>
      <c r="D458" t="s">
        <v>69</v>
      </c>
      <c r="E458">
        <v>717</v>
      </c>
      <c r="F458">
        <v>49.93</v>
      </c>
      <c r="G458">
        <v>41.98</v>
      </c>
      <c r="H458">
        <v>49.93</v>
      </c>
      <c r="I458">
        <v>391</v>
      </c>
      <c r="J458">
        <v>51</v>
      </c>
      <c r="K458" s="17">
        <f t="shared" si="57"/>
        <v>664.7</v>
      </c>
      <c r="L458" t="str">
        <f t="shared" si="58"/>
        <v>Sufficuent Stock</v>
      </c>
      <c r="P458" s="19">
        <f t="shared" si="59"/>
        <v>0</v>
      </c>
      <c r="R458" s="19">
        <f t="shared" si="56"/>
        <v>0</v>
      </c>
      <c r="T458" s="19">
        <f t="shared" si="60"/>
        <v>16414.18</v>
      </c>
      <c r="U458" s="19">
        <f t="shared" si="61"/>
        <v>19522.63</v>
      </c>
      <c r="V458" s="21">
        <f t="shared" si="62"/>
        <v>3108.4500000000007</v>
      </c>
      <c r="W458" s="18">
        <f t="shared" si="63"/>
        <v>0.18937589328251553</v>
      </c>
    </row>
    <row r="459" spans="1:23" x14ac:dyDescent="0.3">
      <c r="A459" t="s">
        <v>38</v>
      </c>
      <c r="B459" t="s">
        <v>2387</v>
      </c>
      <c r="C459" t="s">
        <v>23</v>
      </c>
      <c r="D459" t="s">
        <v>13</v>
      </c>
      <c r="E459">
        <v>719</v>
      </c>
      <c r="F459">
        <v>330.25</v>
      </c>
      <c r="G459">
        <v>326.88</v>
      </c>
      <c r="H459">
        <v>330.25</v>
      </c>
      <c r="I459">
        <v>2796</v>
      </c>
      <c r="J459">
        <v>72</v>
      </c>
      <c r="K459" s="17">
        <f t="shared" si="57"/>
        <v>6710.4000000000005</v>
      </c>
      <c r="L459" t="str">
        <f t="shared" si="58"/>
        <v>High Risk</v>
      </c>
      <c r="P459" s="19">
        <f t="shared" si="59"/>
        <v>5992</v>
      </c>
      <c r="R459" s="19">
        <f t="shared" si="56"/>
        <v>1978858</v>
      </c>
      <c r="T459" s="19">
        <f t="shared" si="60"/>
        <v>913956.48</v>
      </c>
      <c r="U459" s="19">
        <f t="shared" si="61"/>
        <v>923379</v>
      </c>
      <c r="V459" s="21">
        <f t="shared" si="62"/>
        <v>9422.5200000000186</v>
      </c>
      <c r="W459" s="18">
        <f t="shared" si="63"/>
        <v>1.0309593734703887E-2</v>
      </c>
    </row>
    <row r="460" spans="1:23" x14ac:dyDescent="0.3">
      <c r="A460" t="s">
        <v>354</v>
      </c>
      <c r="B460" t="s">
        <v>1093</v>
      </c>
      <c r="C460" t="s">
        <v>23</v>
      </c>
      <c r="D460" t="s">
        <v>26</v>
      </c>
      <c r="E460">
        <v>719</v>
      </c>
      <c r="F460">
        <v>201.81</v>
      </c>
      <c r="G460">
        <v>200.33</v>
      </c>
      <c r="H460">
        <v>201.81</v>
      </c>
      <c r="I460">
        <v>807</v>
      </c>
      <c r="J460">
        <v>25</v>
      </c>
      <c r="K460" s="17">
        <f t="shared" si="57"/>
        <v>672.5</v>
      </c>
      <c r="L460" t="str">
        <f t="shared" si="58"/>
        <v>Sufficuent Stock</v>
      </c>
      <c r="P460" s="19">
        <f t="shared" si="59"/>
        <v>0</v>
      </c>
      <c r="R460" s="19">
        <f t="shared" si="56"/>
        <v>0</v>
      </c>
      <c r="T460" s="19">
        <f t="shared" si="60"/>
        <v>161666.31</v>
      </c>
      <c r="U460" s="19">
        <f t="shared" si="61"/>
        <v>162860.67000000001</v>
      </c>
      <c r="V460" s="21">
        <f t="shared" si="62"/>
        <v>1194.3600000000151</v>
      </c>
      <c r="W460" s="18">
        <f t="shared" si="63"/>
        <v>7.387810113313127E-3</v>
      </c>
    </row>
    <row r="461" spans="1:23" x14ac:dyDescent="0.3">
      <c r="A461" t="s">
        <v>498</v>
      </c>
      <c r="B461" t="s">
        <v>1220</v>
      </c>
      <c r="C461" t="s">
        <v>23</v>
      </c>
      <c r="D461" t="s">
        <v>69</v>
      </c>
      <c r="E461">
        <v>720</v>
      </c>
      <c r="F461">
        <v>190.05</v>
      </c>
      <c r="G461">
        <v>197.28</v>
      </c>
      <c r="H461">
        <v>190.05</v>
      </c>
      <c r="I461">
        <v>664</v>
      </c>
      <c r="J461">
        <v>87</v>
      </c>
      <c r="K461" s="17">
        <f t="shared" si="57"/>
        <v>1925.6</v>
      </c>
      <c r="L461" t="str">
        <f t="shared" si="58"/>
        <v>High Risk</v>
      </c>
      <c r="P461" s="19">
        <f t="shared" si="59"/>
        <v>1206</v>
      </c>
      <c r="R461" s="19">
        <f t="shared" si="56"/>
        <v>229200.30000000002</v>
      </c>
      <c r="T461" s="19">
        <f t="shared" si="60"/>
        <v>130993.92</v>
      </c>
      <c r="U461" s="19">
        <f t="shared" si="61"/>
        <v>126193.20000000001</v>
      </c>
      <c r="V461" s="21">
        <f t="shared" si="62"/>
        <v>-4800.7199999999866</v>
      </c>
      <c r="W461" s="18">
        <f t="shared" si="63"/>
        <v>-3.6648418491484085E-2</v>
      </c>
    </row>
    <row r="462" spans="1:23" x14ac:dyDescent="0.3">
      <c r="A462" t="s">
        <v>256</v>
      </c>
      <c r="B462" t="s">
        <v>1005</v>
      </c>
      <c r="C462" t="s">
        <v>23</v>
      </c>
      <c r="D462" t="s">
        <v>26</v>
      </c>
      <c r="E462">
        <v>721</v>
      </c>
      <c r="F462">
        <v>97.84</v>
      </c>
      <c r="G462">
        <v>94.93</v>
      </c>
      <c r="H462">
        <v>97.84</v>
      </c>
      <c r="I462">
        <v>3362</v>
      </c>
      <c r="J462">
        <v>35</v>
      </c>
      <c r="K462" s="17">
        <f t="shared" si="57"/>
        <v>3922.333333333333</v>
      </c>
      <c r="L462" t="str">
        <f t="shared" si="58"/>
        <v>High Risk</v>
      </c>
      <c r="P462" s="19">
        <f t="shared" si="59"/>
        <v>3202</v>
      </c>
      <c r="R462" s="19">
        <f t="shared" si="56"/>
        <v>313283.68</v>
      </c>
      <c r="T462" s="19">
        <f t="shared" si="60"/>
        <v>319154.66000000003</v>
      </c>
      <c r="U462" s="19">
        <f t="shared" si="61"/>
        <v>328938.08</v>
      </c>
      <c r="V462" s="21">
        <f t="shared" si="62"/>
        <v>9783.4199999999837</v>
      </c>
      <c r="W462" s="18">
        <f t="shared" si="63"/>
        <v>3.0654166227746707E-2</v>
      </c>
    </row>
    <row r="463" spans="1:23" x14ac:dyDescent="0.3">
      <c r="A463" t="s">
        <v>46</v>
      </c>
      <c r="B463" t="s">
        <v>2496</v>
      </c>
      <c r="C463" t="s">
        <v>50</v>
      </c>
      <c r="D463" t="s">
        <v>20</v>
      </c>
      <c r="E463">
        <v>722</v>
      </c>
      <c r="F463">
        <v>192.48</v>
      </c>
      <c r="G463">
        <v>162.19999999999999</v>
      </c>
      <c r="H463">
        <v>192.48</v>
      </c>
      <c r="I463">
        <v>661</v>
      </c>
      <c r="J463">
        <v>50</v>
      </c>
      <c r="K463" s="17">
        <f t="shared" si="57"/>
        <v>1101.6666666666667</v>
      </c>
      <c r="L463" t="str">
        <f t="shared" si="58"/>
        <v>High Risk</v>
      </c>
      <c r="P463" s="19">
        <f t="shared" si="59"/>
        <v>380</v>
      </c>
      <c r="R463" s="19">
        <f t="shared" si="56"/>
        <v>73142.399999999994</v>
      </c>
      <c r="T463" s="19">
        <f t="shared" si="60"/>
        <v>107214.2</v>
      </c>
      <c r="U463" s="19">
        <f t="shared" si="61"/>
        <v>127229.28</v>
      </c>
      <c r="V463" s="21">
        <f t="shared" si="62"/>
        <v>20015.080000000002</v>
      </c>
      <c r="W463" s="18">
        <f t="shared" si="63"/>
        <v>0.1866831072749692</v>
      </c>
    </row>
    <row r="464" spans="1:23" x14ac:dyDescent="0.3">
      <c r="A464" t="s">
        <v>151</v>
      </c>
      <c r="B464" t="s">
        <v>2174</v>
      </c>
      <c r="C464" t="s">
        <v>50</v>
      </c>
      <c r="D464" t="s">
        <v>26</v>
      </c>
      <c r="E464">
        <v>722</v>
      </c>
      <c r="F464">
        <v>51.76</v>
      </c>
      <c r="G464">
        <v>50.65</v>
      </c>
      <c r="H464">
        <v>51.76</v>
      </c>
      <c r="I464">
        <v>917</v>
      </c>
      <c r="J464">
        <v>63</v>
      </c>
      <c r="K464" s="17">
        <f t="shared" si="57"/>
        <v>1925.7</v>
      </c>
      <c r="L464" t="str">
        <f t="shared" si="58"/>
        <v>High Risk</v>
      </c>
      <c r="P464" s="19">
        <f t="shared" si="59"/>
        <v>1204</v>
      </c>
      <c r="R464" s="19">
        <f t="shared" si="56"/>
        <v>62319.040000000001</v>
      </c>
      <c r="T464" s="19">
        <f t="shared" si="60"/>
        <v>46446.049999999996</v>
      </c>
      <c r="U464" s="19">
        <f t="shared" si="61"/>
        <v>47463.92</v>
      </c>
      <c r="V464" s="21">
        <f t="shared" si="62"/>
        <v>1017.8700000000026</v>
      </c>
      <c r="W464" s="18">
        <f t="shared" si="63"/>
        <v>2.1915103652517334E-2</v>
      </c>
    </row>
    <row r="465" spans="1:23" x14ac:dyDescent="0.3">
      <c r="A465" t="s">
        <v>1240</v>
      </c>
      <c r="B465" t="s">
        <v>2863</v>
      </c>
      <c r="C465" t="s">
        <v>23</v>
      </c>
      <c r="D465" t="s">
        <v>69</v>
      </c>
      <c r="E465">
        <v>723</v>
      </c>
      <c r="F465">
        <v>385.61</v>
      </c>
      <c r="G465">
        <v>344.39</v>
      </c>
      <c r="H465">
        <v>385.61</v>
      </c>
      <c r="I465">
        <v>493</v>
      </c>
      <c r="J465">
        <v>32</v>
      </c>
      <c r="K465" s="17">
        <f t="shared" si="57"/>
        <v>525.86666666666667</v>
      </c>
      <c r="L465" t="str">
        <f t="shared" si="58"/>
        <v>Sufficuent Stock</v>
      </c>
      <c r="P465" s="19">
        <f t="shared" si="59"/>
        <v>0</v>
      </c>
      <c r="R465" s="19">
        <f t="shared" si="56"/>
        <v>0</v>
      </c>
      <c r="T465" s="19">
        <f t="shared" si="60"/>
        <v>169784.27</v>
      </c>
      <c r="U465" s="19">
        <f t="shared" si="61"/>
        <v>190105.73</v>
      </c>
      <c r="V465" s="21">
        <f t="shared" si="62"/>
        <v>20321.460000000021</v>
      </c>
      <c r="W465" s="18">
        <f t="shared" si="63"/>
        <v>0.11968988646592539</v>
      </c>
    </row>
    <row r="466" spans="1:23" x14ac:dyDescent="0.3">
      <c r="A466" t="s">
        <v>455</v>
      </c>
      <c r="B466" t="s">
        <v>456</v>
      </c>
      <c r="C466" t="s">
        <v>37</v>
      </c>
      <c r="D466" t="s">
        <v>13</v>
      </c>
      <c r="E466">
        <v>728</v>
      </c>
      <c r="F466">
        <v>332.46</v>
      </c>
      <c r="G466">
        <v>344.1</v>
      </c>
      <c r="H466">
        <v>332.46</v>
      </c>
      <c r="I466">
        <v>2775</v>
      </c>
      <c r="J466">
        <v>37</v>
      </c>
      <c r="K466" s="17">
        <f t="shared" si="57"/>
        <v>3422.5</v>
      </c>
      <c r="L466" t="str">
        <f t="shared" si="58"/>
        <v>High Risk</v>
      </c>
      <c r="P466" s="19">
        <f t="shared" si="59"/>
        <v>2695</v>
      </c>
      <c r="R466" s="19">
        <f t="shared" si="56"/>
        <v>895979.7</v>
      </c>
      <c r="T466" s="19">
        <f t="shared" si="60"/>
        <v>954877.50000000012</v>
      </c>
      <c r="U466" s="19">
        <f t="shared" si="61"/>
        <v>922576.5</v>
      </c>
      <c r="V466" s="21">
        <f t="shared" si="62"/>
        <v>-32301.000000000116</v>
      </c>
      <c r="W466" s="18">
        <f t="shared" si="63"/>
        <v>-3.3827375762859754E-2</v>
      </c>
    </row>
    <row r="467" spans="1:23" x14ac:dyDescent="0.3">
      <c r="A467" t="s">
        <v>1467</v>
      </c>
      <c r="B467" t="s">
        <v>2045</v>
      </c>
      <c r="C467" t="s">
        <v>12</v>
      </c>
      <c r="D467" t="s">
        <v>69</v>
      </c>
      <c r="E467">
        <v>729</v>
      </c>
      <c r="F467">
        <v>392.95</v>
      </c>
      <c r="G467">
        <v>348.41</v>
      </c>
      <c r="H467">
        <v>392.95</v>
      </c>
      <c r="I467">
        <v>3019</v>
      </c>
      <c r="J467">
        <v>26</v>
      </c>
      <c r="K467" s="17">
        <f t="shared" si="57"/>
        <v>2616.4666666666667</v>
      </c>
      <c r="L467" t="str">
        <f t="shared" si="58"/>
        <v>High Risk</v>
      </c>
      <c r="P467" s="19">
        <f t="shared" si="59"/>
        <v>1888</v>
      </c>
      <c r="R467" s="19">
        <f t="shared" si="56"/>
        <v>741889.6</v>
      </c>
      <c r="T467" s="19">
        <f t="shared" si="60"/>
        <v>1051849.79</v>
      </c>
      <c r="U467" s="19">
        <f t="shared" si="61"/>
        <v>1186316.05</v>
      </c>
      <c r="V467" s="21">
        <f t="shared" si="62"/>
        <v>134466.26</v>
      </c>
      <c r="W467" s="18">
        <f t="shared" si="63"/>
        <v>0.12783789213857238</v>
      </c>
    </row>
    <row r="468" spans="1:23" x14ac:dyDescent="0.3">
      <c r="A468" t="s">
        <v>1481</v>
      </c>
      <c r="B468" t="s">
        <v>2223</v>
      </c>
      <c r="C468" t="s">
        <v>12</v>
      </c>
      <c r="D468" t="s">
        <v>26</v>
      </c>
      <c r="E468">
        <v>729</v>
      </c>
      <c r="F468">
        <v>529.51</v>
      </c>
      <c r="G468">
        <v>464.63</v>
      </c>
      <c r="H468">
        <v>529.51</v>
      </c>
      <c r="I468">
        <v>2071</v>
      </c>
      <c r="J468">
        <v>23</v>
      </c>
      <c r="K468" s="17">
        <f t="shared" si="57"/>
        <v>1587.7666666666667</v>
      </c>
      <c r="L468" t="str">
        <f t="shared" si="58"/>
        <v>High Risk</v>
      </c>
      <c r="P468" s="19">
        <f t="shared" si="59"/>
        <v>859</v>
      </c>
      <c r="R468" s="19">
        <f t="shared" si="56"/>
        <v>454849.08999999997</v>
      </c>
      <c r="T468" s="19">
        <f t="shared" si="60"/>
        <v>962248.73</v>
      </c>
      <c r="U468" s="19">
        <f t="shared" si="61"/>
        <v>1096615.21</v>
      </c>
      <c r="V468" s="21">
        <f t="shared" si="62"/>
        <v>134366.47999999998</v>
      </c>
      <c r="W468" s="18">
        <f t="shared" si="63"/>
        <v>0.13963799152013429</v>
      </c>
    </row>
    <row r="469" spans="1:23" x14ac:dyDescent="0.3">
      <c r="A469" t="s">
        <v>477</v>
      </c>
      <c r="B469" t="s">
        <v>1530</v>
      </c>
      <c r="C469" t="s">
        <v>37</v>
      </c>
      <c r="D469" t="s">
        <v>69</v>
      </c>
      <c r="E469">
        <v>732</v>
      </c>
      <c r="F469">
        <v>235.17</v>
      </c>
      <c r="G469">
        <v>259.38</v>
      </c>
      <c r="H469">
        <v>235.17</v>
      </c>
      <c r="I469">
        <v>1315</v>
      </c>
      <c r="J469">
        <v>82</v>
      </c>
      <c r="K469" s="17">
        <f t="shared" si="57"/>
        <v>3594.3333333333335</v>
      </c>
      <c r="L469" t="str">
        <f t="shared" si="58"/>
        <v>High Risk</v>
      </c>
      <c r="P469" s="19">
        <f t="shared" si="59"/>
        <v>2863</v>
      </c>
      <c r="R469" s="19">
        <f t="shared" si="56"/>
        <v>673291.71</v>
      </c>
      <c r="T469" s="19">
        <f t="shared" si="60"/>
        <v>341084.7</v>
      </c>
      <c r="U469" s="19">
        <f t="shared" si="61"/>
        <v>309248.55</v>
      </c>
      <c r="V469" s="21">
        <f t="shared" si="62"/>
        <v>-31836.150000000023</v>
      </c>
      <c r="W469" s="18">
        <f t="shared" si="63"/>
        <v>-9.333795975017356E-2</v>
      </c>
    </row>
    <row r="470" spans="1:23" x14ac:dyDescent="0.3">
      <c r="A470" t="s">
        <v>803</v>
      </c>
      <c r="B470" t="s">
        <v>3249</v>
      </c>
      <c r="C470" t="s">
        <v>12</v>
      </c>
      <c r="D470" t="s">
        <v>20</v>
      </c>
      <c r="E470">
        <v>734</v>
      </c>
      <c r="F470">
        <v>126.35</v>
      </c>
      <c r="G470">
        <v>126.4</v>
      </c>
      <c r="H470">
        <v>126.35</v>
      </c>
      <c r="I470">
        <v>2727</v>
      </c>
      <c r="J470">
        <v>50</v>
      </c>
      <c r="K470" s="17">
        <f t="shared" si="57"/>
        <v>4545</v>
      </c>
      <c r="L470" t="str">
        <f t="shared" si="58"/>
        <v>High Risk</v>
      </c>
      <c r="P470" s="19">
        <f t="shared" si="59"/>
        <v>3811</v>
      </c>
      <c r="R470" s="19">
        <f t="shared" si="56"/>
        <v>481519.85</v>
      </c>
      <c r="T470" s="19">
        <f t="shared" si="60"/>
        <v>344692.8</v>
      </c>
      <c r="U470" s="19">
        <f t="shared" si="61"/>
        <v>344556.45</v>
      </c>
      <c r="V470" s="21">
        <f t="shared" si="62"/>
        <v>-136.34999999997672</v>
      </c>
      <c r="W470" s="18">
        <f t="shared" si="63"/>
        <v>-3.95569620253097E-4</v>
      </c>
    </row>
    <row r="471" spans="1:23" x14ac:dyDescent="0.3">
      <c r="A471" t="s">
        <v>727</v>
      </c>
      <c r="B471" t="s">
        <v>1059</v>
      </c>
      <c r="C471" t="s">
        <v>37</v>
      </c>
      <c r="D471" t="s">
        <v>13</v>
      </c>
      <c r="E471">
        <v>737</v>
      </c>
      <c r="F471">
        <v>54.23</v>
      </c>
      <c r="G471">
        <v>56.69</v>
      </c>
      <c r="H471">
        <v>54.23</v>
      </c>
      <c r="I471">
        <v>3122</v>
      </c>
      <c r="J471">
        <v>14</v>
      </c>
      <c r="K471" s="17">
        <f t="shared" si="57"/>
        <v>1456.9333333333334</v>
      </c>
      <c r="L471" t="str">
        <f t="shared" si="58"/>
        <v>High Risk</v>
      </c>
      <c r="P471" s="19">
        <f t="shared" si="59"/>
        <v>720</v>
      </c>
      <c r="R471" s="19">
        <f t="shared" si="56"/>
        <v>39045.599999999999</v>
      </c>
      <c r="T471" s="19">
        <f t="shared" si="60"/>
        <v>176986.18</v>
      </c>
      <c r="U471" s="19">
        <f t="shared" si="61"/>
        <v>169306.06</v>
      </c>
      <c r="V471" s="21">
        <f t="shared" si="62"/>
        <v>-7680.1199999999953</v>
      </c>
      <c r="W471" s="18">
        <f t="shared" si="63"/>
        <v>-4.339389663079906E-2</v>
      </c>
    </row>
    <row r="472" spans="1:23" x14ac:dyDescent="0.3">
      <c r="A472" t="s">
        <v>159</v>
      </c>
      <c r="B472" t="s">
        <v>1621</v>
      </c>
      <c r="C472" t="s">
        <v>12</v>
      </c>
      <c r="D472" t="s">
        <v>13</v>
      </c>
      <c r="E472">
        <v>739</v>
      </c>
      <c r="F472">
        <v>329.61</v>
      </c>
      <c r="G472">
        <v>365.1</v>
      </c>
      <c r="H472">
        <v>329.61</v>
      </c>
      <c r="I472">
        <v>820</v>
      </c>
      <c r="J472">
        <v>16</v>
      </c>
      <c r="K472" s="17">
        <f t="shared" si="57"/>
        <v>437.33333333333331</v>
      </c>
      <c r="L472" t="str">
        <f t="shared" si="58"/>
        <v>Sufficuent Stock</v>
      </c>
      <c r="P472" s="19">
        <f t="shared" si="59"/>
        <v>0</v>
      </c>
      <c r="R472" s="19">
        <f t="shared" si="56"/>
        <v>0</v>
      </c>
      <c r="T472" s="19">
        <f t="shared" si="60"/>
        <v>299382</v>
      </c>
      <c r="U472" s="19">
        <f t="shared" si="61"/>
        <v>270280.2</v>
      </c>
      <c r="V472" s="21">
        <f t="shared" si="62"/>
        <v>-29101.799999999988</v>
      </c>
      <c r="W472" s="18">
        <f t="shared" si="63"/>
        <v>-9.7206244864420671E-2</v>
      </c>
    </row>
    <row r="473" spans="1:23" x14ac:dyDescent="0.3">
      <c r="A473" t="s">
        <v>301</v>
      </c>
      <c r="B473" t="s">
        <v>1030</v>
      </c>
      <c r="C473" t="s">
        <v>16</v>
      </c>
      <c r="D473" t="s">
        <v>13</v>
      </c>
      <c r="E473">
        <v>739</v>
      </c>
      <c r="F473">
        <v>169.15</v>
      </c>
      <c r="G473">
        <v>151.69</v>
      </c>
      <c r="H473">
        <v>169.15</v>
      </c>
      <c r="I473">
        <v>3502</v>
      </c>
      <c r="J473">
        <v>8</v>
      </c>
      <c r="K473" s="17">
        <f t="shared" si="57"/>
        <v>933.86666666666667</v>
      </c>
      <c r="L473" t="str">
        <f t="shared" si="58"/>
        <v>High Risk</v>
      </c>
      <c r="P473" s="19">
        <f t="shared" si="59"/>
        <v>195</v>
      </c>
      <c r="R473" s="19">
        <f t="shared" si="56"/>
        <v>32984.25</v>
      </c>
      <c r="T473" s="19">
        <f t="shared" si="60"/>
        <v>531218.38</v>
      </c>
      <c r="U473" s="19">
        <f t="shared" si="61"/>
        <v>592363.30000000005</v>
      </c>
      <c r="V473" s="21">
        <f t="shared" si="62"/>
        <v>61144.920000000042</v>
      </c>
      <c r="W473" s="18">
        <f t="shared" si="63"/>
        <v>0.11510317094073447</v>
      </c>
    </row>
    <row r="474" spans="1:23" x14ac:dyDescent="0.3">
      <c r="A474" t="s">
        <v>127</v>
      </c>
      <c r="B474" t="s">
        <v>2351</v>
      </c>
      <c r="C474" t="s">
        <v>16</v>
      </c>
      <c r="D474" t="s">
        <v>69</v>
      </c>
      <c r="E474">
        <v>741</v>
      </c>
      <c r="F474">
        <v>476.62</v>
      </c>
      <c r="G474">
        <v>429.06</v>
      </c>
      <c r="H474">
        <v>476.62</v>
      </c>
      <c r="I474">
        <v>1522</v>
      </c>
      <c r="J474">
        <v>69</v>
      </c>
      <c r="K474" s="17">
        <f t="shared" si="57"/>
        <v>3500.6</v>
      </c>
      <c r="L474" t="str">
        <f t="shared" si="58"/>
        <v>High Risk</v>
      </c>
      <c r="P474" s="19">
        <f t="shared" si="59"/>
        <v>2760</v>
      </c>
      <c r="R474" s="19">
        <f t="shared" si="56"/>
        <v>1315471.2</v>
      </c>
      <c r="T474" s="19">
        <f t="shared" si="60"/>
        <v>653029.31999999995</v>
      </c>
      <c r="U474" s="19">
        <f t="shared" si="61"/>
        <v>725415.64</v>
      </c>
      <c r="V474" s="21">
        <f t="shared" si="62"/>
        <v>72386.320000000065</v>
      </c>
      <c r="W474" s="18">
        <f t="shared" si="63"/>
        <v>0.11084696779005278</v>
      </c>
    </row>
    <row r="475" spans="1:23" x14ac:dyDescent="0.3">
      <c r="A475" t="s">
        <v>2115</v>
      </c>
      <c r="B475" t="s">
        <v>3098</v>
      </c>
      <c r="C475" t="s">
        <v>37</v>
      </c>
      <c r="D475" t="s">
        <v>26</v>
      </c>
      <c r="E475">
        <v>741</v>
      </c>
      <c r="F475">
        <v>274.45999999999998</v>
      </c>
      <c r="G475">
        <v>233.44</v>
      </c>
      <c r="H475">
        <v>274.45999999999998</v>
      </c>
      <c r="I475">
        <v>59</v>
      </c>
      <c r="J475">
        <v>21</v>
      </c>
      <c r="K475" s="17">
        <f t="shared" si="57"/>
        <v>41.3</v>
      </c>
      <c r="L475" t="str">
        <f t="shared" si="58"/>
        <v>Sufficuent Stock</v>
      </c>
      <c r="P475" s="19">
        <f t="shared" si="59"/>
        <v>0</v>
      </c>
      <c r="R475" s="19">
        <f t="shared" si="56"/>
        <v>0</v>
      </c>
      <c r="T475" s="19">
        <f t="shared" si="60"/>
        <v>13772.96</v>
      </c>
      <c r="U475" s="19">
        <f t="shared" si="61"/>
        <v>16193.14</v>
      </c>
      <c r="V475" s="21">
        <f t="shared" si="62"/>
        <v>2420.1800000000003</v>
      </c>
      <c r="W475" s="18">
        <f t="shared" si="63"/>
        <v>0.17571967100753944</v>
      </c>
    </row>
    <row r="476" spans="1:23" x14ac:dyDescent="0.3">
      <c r="A476" t="s">
        <v>1866</v>
      </c>
      <c r="B476" t="s">
        <v>2888</v>
      </c>
      <c r="C476" t="s">
        <v>23</v>
      </c>
      <c r="D476" t="s">
        <v>17</v>
      </c>
      <c r="E476">
        <v>744</v>
      </c>
      <c r="F476">
        <v>340.15</v>
      </c>
      <c r="G476">
        <v>348.81</v>
      </c>
      <c r="H476">
        <v>340.15</v>
      </c>
      <c r="I476">
        <v>1360</v>
      </c>
      <c r="J476">
        <v>86</v>
      </c>
      <c r="K476" s="17">
        <f t="shared" si="57"/>
        <v>3898.666666666667</v>
      </c>
      <c r="L476" t="str">
        <f t="shared" si="58"/>
        <v>High Risk</v>
      </c>
      <c r="P476" s="19">
        <f t="shared" si="59"/>
        <v>3155</v>
      </c>
      <c r="R476" s="19">
        <f t="shared" si="56"/>
        <v>1073173.25</v>
      </c>
      <c r="T476" s="19">
        <f t="shared" si="60"/>
        <v>474381.6</v>
      </c>
      <c r="U476" s="19">
        <f t="shared" si="61"/>
        <v>462603.99999999994</v>
      </c>
      <c r="V476" s="21">
        <f t="shared" si="62"/>
        <v>-11777.600000000035</v>
      </c>
      <c r="W476" s="18">
        <f t="shared" si="63"/>
        <v>-2.4827269860382518E-2</v>
      </c>
    </row>
    <row r="477" spans="1:23" x14ac:dyDescent="0.3">
      <c r="A477" t="s">
        <v>620</v>
      </c>
      <c r="B477" t="s">
        <v>621</v>
      </c>
      <c r="C477" t="s">
        <v>23</v>
      </c>
      <c r="D477" t="s">
        <v>17</v>
      </c>
      <c r="E477">
        <v>746</v>
      </c>
      <c r="F477">
        <v>461.4</v>
      </c>
      <c r="G477">
        <v>424.29</v>
      </c>
      <c r="H477">
        <v>461.4</v>
      </c>
      <c r="I477">
        <v>1620</v>
      </c>
      <c r="J477">
        <v>59</v>
      </c>
      <c r="K477" s="17">
        <f t="shared" si="57"/>
        <v>3186</v>
      </c>
      <c r="L477" t="str">
        <f t="shared" si="58"/>
        <v>High Risk</v>
      </c>
      <c r="P477" s="19">
        <f t="shared" si="59"/>
        <v>2440</v>
      </c>
      <c r="R477" s="19">
        <f t="shared" si="56"/>
        <v>1125816</v>
      </c>
      <c r="T477" s="19">
        <f t="shared" si="60"/>
        <v>687349.8</v>
      </c>
      <c r="U477" s="19">
        <f t="shared" si="61"/>
        <v>747468</v>
      </c>
      <c r="V477" s="21">
        <f t="shared" si="62"/>
        <v>60118.199999999953</v>
      </c>
      <c r="W477" s="18">
        <f t="shared" si="63"/>
        <v>8.7463762992292929E-2</v>
      </c>
    </row>
    <row r="478" spans="1:23" x14ac:dyDescent="0.3">
      <c r="A478" t="s">
        <v>398</v>
      </c>
      <c r="B478" t="s">
        <v>2002</v>
      </c>
      <c r="C478" t="s">
        <v>12</v>
      </c>
      <c r="D478" t="s">
        <v>13</v>
      </c>
      <c r="E478">
        <v>746</v>
      </c>
      <c r="F478">
        <v>282.39</v>
      </c>
      <c r="G478">
        <v>266.18</v>
      </c>
      <c r="H478">
        <v>282.39</v>
      </c>
      <c r="I478">
        <v>2511</v>
      </c>
      <c r="J478">
        <v>86</v>
      </c>
      <c r="K478" s="17">
        <f t="shared" si="57"/>
        <v>7198.2</v>
      </c>
      <c r="L478" t="str">
        <f t="shared" si="58"/>
        <v>High Risk</v>
      </c>
      <c r="P478" s="19">
        <f t="shared" si="59"/>
        <v>6453</v>
      </c>
      <c r="R478" s="19">
        <f t="shared" si="56"/>
        <v>1822262.67</v>
      </c>
      <c r="T478" s="19">
        <f t="shared" si="60"/>
        <v>668377.98</v>
      </c>
      <c r="U478" s="19">
        <f t="shared" si="61"/>
        <v>709081.28999999992</v>
      </c>
      <c r="V478" s="21">
        <f t="shared" si="62"/>
        <v>40703.309999999939</v>
      </c>
      <c r="W478" s="18">
        <f t="shared" si="63"/>
        <v>6.0898640018032822E-2</v>
      </c>
    </row>
    <row r="479" spans="1:23" x14ac:dyDescent="0.3">
      <c r="A479" t="s">
        <v>820</v>
      </c>
      <c r="B479" t="s">
        <v>2289</v>
      </c>
      <c r="C479" t="s">
        <v>23</v>
      </c>
      <c r="D479" t="s">
        <v>20</v>
      </c>
      <c r="E479">
        <v>747</v>
      </c>
      <c r="F479">
        <v>555.58000000000004</v>
      </c>
      <c r="G479">
        <v>472.3</v>
      </c>
      <c r="H479">
        <v>555.58000000000004</v>
      </c>
      <c r="I479">
        <v>2068</v>
      </c>
      <c r="J479">
        <v>64</v>
      </c>
      <c r="K479" s="17">
        <f t="shared" si="57"/>
        <v>4411.7333333333336</v>
      </c>
      <c r="L479" t="str">
        <f t="shared" si="58"/>
        <v>High Risk</v>
      </c>
      <c r="P479" s="19">
        <f t="shared" si="59"/>
        <v>3665</v>
      </c>
      <c r="R479" s="19">
        <f t="shared" si="56"/>
        <v>2036200.7000000002</v>
      </c>
      <c r="T479" s="19">
        <f t="shared" si="60"/>
        <v>976716.4</v>
      </c>
      <c r="U479" s="19">
        <f t="shared" si="61"/>
        <v>1148939.4400000002</v>
      </c>
      <c r="V479" s="21">
        <f t="shared" si="62"/>
        <v>172223.04000000015</v>
      </c>
      <c r="W479" s="18">
        <f t="shared" si="63"/>
        <v>0.17632860470040243</v>
      </c>
    </row>
    <row r="480" spans="1:23" x14ac:dyDescent="0.3">
      <c r="A480" t="s">
        <v>755</v>
      </c>
      <c r="B480" t="s">
        <v>2112</v>
      </c>
      <c r="C480" t="s">
        <v>23</v>
      </c>
      <c r="D480" t="s">
        <v>17</v>
      </c>
      <c r="E480">
        <v>751</v>
      </c>
      <c r="F480">
        <v>394.31</v>
      </c>
      <c r="G480">
        <v>388.81</v>
      </c>
      <c r="H480">
        <v>394.31</v>
      </c>
      <c r="I480">
        <v>1696</v>
      </c>
      <c r="J480">
        <v>50</v>
      </c>
      <c r="K480" s="17">
        <f t="shared" si="57"/>
        <v>2826.6666666666665</v>
      </c>
      <c r="L480" t="str">
        <f t="shared" si="58"/>
        <v>High Risk</v>
      </c>
      <c r="P480" s="19">
        <f t="shared" si="59"/>
        <v>2076</v>
      </c>
      <c r="R480" s="19">
        <f t="shared" si="56"/>
        <v>818587.56</v>
      </c>
      <c r="T480" s="19">
        <f t="shared" si="60"/>
        <v>659421.76</v>
      </c>
      <c r="U480" s="19">
        <f t="shared" si="61"/>
        <v>668749.76</v>
      </c>
      <c r="V480" s="21">
        <f t="shared" si="62"/>
        <v>9328</v>
      </c>
      <c r="W480" s="18">
        <f t="shared" si="63"/>
        <v>1.4145726704560067E-2</v>
      </c>
    </row>
    <row r="481" spans="1:23" x14ac:dyDescent="0.3">
      <c r="A481" t="s">
        <v>177</v>
      </c>
      <c r="B481" t="s">
        <v>1548</v>
      </c>
      <c r="C481" t="s">
        <v>12</v>
      </c>
      <c r="D481" t="s">
        <v>20</v>
      </c>
      <c r="E481">
        <v>754</v>
      </c>
      <c r="F481">
        <v>296.38</v>
      </c>
      <c r="G481">
        <v>252.99</v>
      </c>
      <c r="H481">
        <v>296.38</v>
      </c>
      <c r="I481">
        <v>1070</v>
      </c>
      <c r="J481">
        <v>30</v>
      </c>
      <c r="K481" s="17">
        <f t="shared" si="57"/>
        <v>1070</v>
      </c>
      <c r="L481" t="str">
        <f t="shared" si="58"/>
        <v>High Risk</v>
      </c>
      <c r="P481" s="19">
        <f t="shared" si="59"/>
        <v>316</v>
      </c>
      <c r="R481" s="19">
        <f t="shared" si="56"/>
        <v>93656.08</v>
      </c>
      <c r="T481" s="19">
        <f t="shared" si="60"/>
        <v>270699.3</v>
      </c>
      <c r="U481" s="19">
        <f t="shared" si="61"/>
        <v>317126.59999999998</v>
      </c>
      <c r="V481" s="21">
        <f t="shared" si="62"/>
        <v>46427.299999999988</v>
      </c>
      <c r="W481" s="18">
        <f t="shared" si="63"/>
        <v>0.1715087552867702</v>
      </c>
    </row>
    <row r="482" spans="1:23" x14ac:dyDescent="0.3">
      <c r="A482" t="s">
        <v>184</v>
      </c>
      <c r="B482" t="s">
        <v>975</v>
      </c>
      <c r="C482" t="s">
        <v>16</v>
      </c>
      <c r="D482" t="s">
        <v>69</v>
      </c>
      <c r="E482">
        <v>757</v>
      </c>
      <c r="F482">
        <v>482.02</v>
      </c>
      <c r="G482">
        <v>414.21</v>
      </c>
      <c r="H482">
        <v>482.02</v>
      </c>
      <c r="I482">
        <v>3123</v>
      </c>
      <c r="J482">
        <v>53</v>
      </c>
      <c r="K482" s="17">
        <f t="shared" si="57"/>
        <v>5517.2999999999993</v>
      </c>
      <c r="L482" t="str">
        <f t="shared" si="58"/>
        <v>High Risk</v>
      </c>
      <c r="P482" s="19">
        <f t="shared" si="59"/>
        <v>4761</v>
      </c>
      <c r="R482" s="19">
        <f t="shared" si="56"/>
        <v>2294897.2199999997</v>
      </c>
      <c r="T482" s="19">
        <f t="shared" si="60"/>
        <v>1293577.8299999998</v>
      </c>
      <c r="U482" s="19">
        <f t="shared" si="61"/>
        <v>1505348.46</v>
      </c>
      <c r="V482" s="21">
        <f t="shared" si="62"/>
        <v>211770.63000000012</v>
      </c>
      <c r="W482" s="18">
        <f t="shared" si="63"/>
        <v>0.16370922961782683</v>
      </c>
    </row>
    <row r="483" spans="1:23" x14ac:dyDescent="0.3">
      <c r="A483" t="s">
        <v>668</v>
      </c>
      <c r="B483" t="s">
        <v>1910</v>
      </c>
      <c r="C483" t="s">
        <v>12</v>
      </c>
      <c r="D483" t="s">
        <v>17</v>
      </c>
      <c r="E483">
        <v>757</v>
      </c>
      <c r="F483">
        <v>445.2</v>
      </c>
      <c r="G483">
        <v>386.94</v>
      </c>
      <c r="H483">
        <v>445.2</v>
      </c>
      <c r="I483">
        <v>1816</v>
      </c>
      <c r="J483">
        <v>58</v>
      </c>
      <c r="K483" s="17">
        <f t="shared" si="57"/>
        <v>3510.9333333333334</v>
      </c>
      <c r="L483" t="str">
        <f t="shared" si="58"/>
        <v>High Risk</v>
      </c>
      <c r="P483" s="19">
        <f t="shared" si="59"/>
        <v>2754</v>
      </c>
      <c r="R483" s="19">
        <f t="shared" si="56"/>
        <v>1226080.8</v>
      </c>
      <c r="T483" s="19">
        <f t="shared" si="60"/>
        <v>702683.04</v>
      </c>
      <c r="U483" s="19">
        <f t="shared" si="61"/>
        <v>808483.2</v>
      </c>
      <c r="V483" s="21">
        <f t="shared" si="62"/>
        <v>105800.15999999992</v>
      </c>
      <c r="W483" s="18">
        <f t="shared" si="63"/>
        <v>0.15056597922158463</v>
      </c>
    </row>
    <row r="484" spans="1:23" x14ac:dyDescent="0.3">
      <c r="A484" t="s">
        <v>427</v>
      </c>
      <c r="B484" t="s">
        <v>2940</v>
      </c>
      <c r="C484" t="s">
        <v>16</v>
      </c>
      <c r="D484" t="s">
        <v>26</v>
      </c>
      <c r="E484">
        <v>759</v>
      </c>
      <c r="F484">
        <v>300.51</v>
      </c>
      <c r="G484">
        <v>302.08999999999997</v>
      </c>
      <c r="H484">
        <v>300.51</v>
      </c>
      <c r="I484">
        <v>1474</v>
      </c>
      <c r="J484">
        <v>24</v>
      </c>
      <c r="K484" s="17">
        <f t="shared" si="57"/>
        <v>1179.2</v>
      </c>
      <c r="L484" t="str">
        <f t="shared" si="58"/>
        <v>High Risk</v>
      </c>
      <c r="P484" s="19">
        <f t="shared" si="59"/>
        <v>421</v>
      </c>
      <c r="R484" s="19">
        <f t="shared" si="56"/>
        <v>126514.70999999999</v>
      </c>
      <c r="T484" s="19">
        <f t="shared" si="60"/>
        <v>445280.66</v>
      </c>
      <c r="U484" s="19">
        <f t="shared" si="61"/>
        <v>442951.74</v>
      </c>
      <c r="V484" s="21">
        <f t="shared" si="62"/>
        <v>-2328.9199999999837</v>
      </c>
      <c r="W484" s="18">
        <f t="shared" si="63"/>
        <v>-5.2302294018338547E-3</v>
      </c>
    </row>
    <row r="485" spans="1:23" x14ac:dyDescent="0.3">
      <c r="A485" t="s">
        <v>960</v>
      </c>
      <c r="B485" t="s">
        <v>1554</v>
      </c>
      <c r="C485" t="s">
        <v>37</v>
      </c>
      <c r="D485" t="s">
        <v>13</v>
      </c>
      <c r="E485">
        <v>760</v>
      </c>
      <c r="F485">
        <v>375.47</v>
      </c>
      <c r="G485">
        <v>352.81</v>
      </c>
      <c r="H485">
        <v>375.47</v>
      </c>
      <c r="I485">
        <v>1388</v>
      </c>
      <c r="J485">
        <v>6</v>
      </c>
      <c r="K485" s="17">
        <f t="shared" si="57"/>
        <v>277.60000000000002</v>
      </c>
      <c r="L485" t="str">
        <f t="shared" si="58"/>
        <v>Sufficuent Stock</v>
      </c>
      <c r="P485" s="19">
        <f t="shared" si="59"/>
        <v>0</v>
      </c>
      <c r="R485" s="19">
        <f t="shared" si="56"/>
        <v>0</v>
      </c>
      <c r="T485" s="19">
        <f t="shared" si="60"/>
        <v>489700.28</v>
      </c>
      <c r="U485" s="19">
        <f t="shared" si="61"/>
        <v>521152.36000000004</v>
      </c>
      <c r="V485" s="21">
        <f t="shared" si="62"/>
        <v>31452.080000000016</v>
      </c>
      <c r="W485" s="18">
        <f t="shared" si="63"/>
        <v>6.4227204444318495E-2</v>
      </c>
    </row>
    <row r="486" spans="1:23" x14ac:dyDescent="0.3">
      <c r="A486" t="s">
        <v>153</v>
      </c>
      <c r="B486" t="s">
        <v>2541</v>
      </c>
      <c r="C486" t="s">
        <v>50</v>
      </c>
      <c r="D486" t="s">
        <v>13</v>
      </c>
      <c r="E486">
        <v>766</v>
      </c>
      <c r="F486">
        <v>350.16</v>
      </c>
      <c r="G486">
        <v>387.64</v>
      </c>
      <c r="H486">
        <v>350.16</v>
      </c>
      <c r="I486">
        <v>2516</v>
      </c>
      <c r="J486">
        <v>74</v>
      </c>
      <c r="K486" s="17">
        <f t="shared" si="57"/>
        <v>6206.1333333333332</v>
      </c>
      <c r="L486" t="str">
        <f t="shared" si="58"/>
        <v>High Risk</v>
      </c>
      <c r="P486" s="19">
        <f t="shared" si="59"/>
        <v>5441</v>
      </c>
      <c r="R486" s="19">
        <f t="shared" si="56"/>
        <v>1905220.56</v>
      </c>
      <c r="T486" s="19">
        <f t="shared" si="60"/>
        <v>975302.24</v>
      </c>
      <c r="U486" s="19">
        <f t="shared" si="61"/>
        <v>881002.56</v>
      </c>
      <c r="V486" s="21">
        <f t="shared" si="62"/>
        <v>-94299.679999999935</v>
      </c>
      <c r="W486" s="18">
        <f t="shared" si="63"/>
        <v>-9.6687648333505252E-2</v>
      </c>
    </row>
    <row r="487" spans="1:23" x14ac:dyDescent="0.3">
      <c r="A487" t="s">
        <v>552</v>
      </c>
      <c r="B487" t="s">
        <v>2369</v>
      </c>
      <c r="C487" t="s">
        <v>37</v>
      </c>
      <c r="D487" t="s">
        <v>20</v>
      </c>
      <c r="E487">
        <v>769</v>
      </c>
      <c r="F487">
        <v>367.83</v>
      </c>
      <c r="G487">
        <v>338.24</v>
      </c>
      <c r="H487">
        <v>367.83</v>
      </c>
      <c r="I487">
        <v>1412</v>
      </c>
      <c r="J487">
        <v>19</v>
      </c>
      <c r="K487" s="17">
        <f t="shared" si="57"/>
        <v>894.26666666666677</v>
      </c>
      <c r="L487" t="str">
        <f t="shared" si="58"/>
        <v>High Risk</v>
      </c>
      <c r="P487" s="19">
        <f t="shared" si="59"/>
        <v>126</v>
      </c>
      <c r="R487" s="19">
        <f t="shared" si="56"/>
        <v>46346.579999999994</v>
      </c>
      <c r="T487" s="19">
        <f t="shared" si="60"/>
        <v>477594.88</v>
      </c>
      <c r="U487" s="19">
        <f t="shared" si="61"/>
        <v>519375.95999999996</v>
      </c>
      <c r="V487" s="21">
        <f t="shared" si="62"/>
        <v>41781.079999999958</v>
      </c>
      <c r="W487" s="18">
        <f t="shared" si="63"/>
        <v>8.7482261116366991E-2</v>
      </c>
    </row>
    <row r="488" spans="1:23" x14ac:dyDescent="0.3">
      <c r="A488" t="s">
        <v>879</v>
      </c>
      <c r="B488" t="s">
        <v>2373</v>
      </c>
      <c r="C488" t="s">
        <v>12</v>
      </c>
      <c r="D488" t="s">
        <v>26</v>
      </c>
      <c r="E488">
        <v>770</v>
      </c>
      <c r="F488">
        <v>415.63</v>
      </c>
      <c r="G488">
        <v>429.6</v>
      </c>
      <c r="H488">
        <v>415.63</v>
      </c>
      <c r="I488">
        <v>52</v>
      </c>
      <c r="J488">
        <v>75</v>
      </c>
      <c r="K488" s="17">
        <f t="shared" si="57"/>
        <v>130</v>
      </c>
      <c r="L488" t="str">
        <f t="shared" si="58"/>
        <v>Sufficuent Stock</v>
      </c>
      <c r="P488" s="19">
        <f t="shared" si="59"/>
        <v>0</v>
      </c>
      <c r="R488" s="19">
        <f t="shared" si="56"/>
        <v>0</v>
      </c>
      <c r="T488" s="19">
        <f t="shared" si="60"/>
        <v>22339.200000000001</v>
      </c>
      <c r="U488" s="19">
        <f t="shared" si="61"/>
        <v>21612.76</v>
      </c>
      <c r="V488" s="21">
        <f t="shared" si="62"/>
        <v>-726.44000000000233</v>
      </c>
      <c r="W488" s="18">
        <f t="shared" si="63"/>
        <v>-3.2518621973929338E-2</v>
      </c>
    </row>
    <row r="489" spans="1:23" x14ac:dyDescent="0.3">
      <c r="A489" t="s">
        <v>629</v>
      </c>
      <c r="B489" t="s">
        <v>1982</v>
      </c>
      <c r="C489" t="s">
        <v>50</v>
      </c>
      <c r="D489" t="s">
        <v>13</v>
      </c>
      <c r="E489">
        <v>772</v>
      </c>
      <c r="F489">
        <v>185.63</v>
      </c>
      <c r="G489">
        <v>199.22</v>
      </c>
      <c r="H489">
        <v>185.63</v>
      </c>
      <c r="I489">
        <v>1129</v>
      </c>
      <c r="J489">
        <v>54</v>
      </c>
      <c r="K489" s="17">
        <f t="shared" si="57"/>
        <v>2032.2</v>
      </c>
      <c r="L489" t="str">
        <f t="shared" si="58"/>
        <v>High Risk</v>
      </c>
      <c r="P489" s="19">
        <f t="shared" si="59"/>
        <v>1261</v>
      </c>
      <c r="R489" s="19">
        <f t="shared" si="56"/>
        <v>234079.43</v>
      </c>
      <c r="T489" s="19">
        <f t="shared" si="60"/>
        <v>224919.38</v>
      </c>
      <c r="U489" s="19">
        <f t="shared" si="61"/>
        <v>209576.27</v>
      </c>
      <c r="V489" s="21">
        <f t="shared" si="62"/>
        <v>-15343.110000000015</v>
      </c>
      <c r="W489" s="18">
        <f t="shared" si="63"/>
        <v>-6.8216042566007495E-2</v>
      </c>
    </row>
    <row r="490" spans="1:23" x14ac:dyDescent="0.3">
      <c r="A490" t="s">
        <v>1060</v>
      </c>
      <c r="B490" t="s">
        <v>3094</v>
      </c>
      <c r="C490" t="s">
        <v>50</v>
      </c>
      <c r="D490" t="s">
        <v>20</v>
      </c>
      <c r="E490">
        <v>773</v>
      </c>
      <c r="F490">
        <v>43.77</v>
      </c>
      <c r="G490">
        <v>38.28</v>
      </c>
      <c r="H490">
        <v>43.77</v>
      </c>
      <c r="I490">
        <v>3291</v>
      </c>
      <c r="J490">
        <v>78</v>
      </c>
      <c r="K490" s="17">
        <f t="shared" si="57"/>
        <v>8556.6</v>
      </c>
      <c r="L490" t="str">
        <f t="shared" si="58"/>
        <v>High Risk</v>
      </c>
      <c r="P490" s="19">
        <f t="shared" si="59"/>
        <v>7784</v>
      </c>
      <c r="R490" s="19">
        <f t="shared" si="56"/>
        <v>340705.68000000005</v>
      </c>
      <c r="T490" s="19">
        <f t="shared" si="60"/>
        <v>125979.48000000001</v>
      </c>
      <c r="U490" s="19">
        <f t="shared" si="61"/>
        <v>144047.07</v>
      </c>
      <c r="V490" s="21">
        <f t="shared" si="62"/>
        <v>18067.589999999997</v>
      </c>
      <c r="W490" s="18">
        <f t="shared" si="63"/>
        <v>0.14341692789968649</v>
      </c>
    </row>
    <row r="491" spans="1:23" x14ac:dyDescent="0.3">
      <c r="A491" t="s">
        <v>253</v>
      </c>
      <c r="B491" t="s">
        <v>3361</v>
      </c>
      <c r="C491" t="s">
        <v>23</v>
      </c>
      <c r="D491" t="s">
        <v>20</v>
      </c>
      <c r="E491">
        <v>773</v>
      </c>
      <c r="F491">
        <v>117.34</v>
      </c>
      <c r="G491">
        <v>101.61</v>
      </c>
      <c r="H491">
        <v>117.34</v>
      </c>
      <c r="I491">
        <v>1726</v>
      </c>
      <c r="J491">
        <v>35</v>
      </c>
      <c r="K491" s="17">
        <f t="shared" si="57"/>
        <v>2013.6666666666665</v>
      </c>
      <c r="L491" t="str">
        <f t="shared" si="58"/>
        <v>High Risk</v>
      </c>
      <c r="P491" s="19">
        <f t="shared" si="59"/>
        <v>1241</v>
      </c>
      <c r="R491" s="19">
        <f t="shared" si="56"/>
        <v>145618.94</v>
      </c>
      <c r="T491" s="19">
        <f t="shared" si="60"/>
        <v>175378.86</v>
      </c>
      <c r="U491" s="19">
        <f t="shared" si="61"/>
        <v>202528.84</v>
      </c>
      <c r="V491" s="21">
        <f t="shared" si="62"/>
        <v>27149.98000000001</v>
      </c>
      <c r="W491" s="18">
        <f t="shared" si="63"/>
        <v>0.15480759767739402</v>
      </c>
    </row>
    <row r="492" spans="1:23" x14ac:dyDescent="0.3">
      <c r="A492" t="s">
        <v>1146</v>
      </c>
      <c r="B492" t="s">
        <v>1147</v>
      </c>
      <c r="C492" t="s">
        <v>12</v>
      </c>
      <c r="D492" t="s">
        <v>26</v>
      </c>
      <c r="E492">
        <v>774</v>
      </c>
      <c r="F492">
        <v>189.37</v>
      </c>
      <c r="G492">
        <v>177.57</v>
      </c>
      <c r="H492">
        <v>189.37</v>
      </c>
      <c r="I492">
        <v>3828</v>
      </c>
      <c r="J492">
        <v>90</v>
      </c>
      <c r="K492" s="17">
        <f t="shared" si="57"/>
        <v>11484</v>
      </c>
      <c r="L492" t="str">
        <f t="shared" si="58"/>
        <v>High Risk</v>
      </c>
      <c r="P492" s="19">
        <f t="shared" si="59"/>
        <v>10710</v>
      </c>
      <c r="R492" s="19">
        <f t="shared" si="56"/>
        <v>2028152.7</v>
      </c>
      <c r="T492" s="19">
        <f t="shared" si="60"/>
        <v>679737.96</v>
      </c>
      <c r="U492" s="19">
        <f t="shared" si="61"/>
        <v>724908.36</v>
      </c>
      <c r="V492" s="21">
        <f t="shared" si="62"/>
        <v>45170.400000000023</v>
      </c>
      <c r="W492" s="18">
        <f t="shared" si="63"/>
        <v>6.6452666554035061E-2</v>
      </c>
    </row>
    <row r="493" spans="1:23" x14ac:dyDescent="0.3">
      <c r="A493" t="s">
        <v>801</v>
      </c>
      <c r="B493" t="s">
        <v>1775</v>
      </c>
      <c r="C493" t="s">
        <v>50</v>
      </c>
      <c r="D493" t="s">
        <v>20</v>
      </c>
      <c r="E493">
        <v>776</v>
      </c>
      <c r="F493">
        <v>76.23</v>
      </c>
      <c r="G493">
        <v>71.19</v>
      </c>
      <c r="H493">
        <v>76.23</v>
      </c>
      <c r="I493">
        <v>2393</v>
      </c>
      <c r="J493">
        <v>43</v>
      </c>
      <c r="K493" s="17">
        <f t="shared" si="57"/>
        <v>3429.9666666666667</v>
      </c>
      <c r="L493" t="str">
        <f t="shared" si="58"/>
        <v>High Risk</v>
      </c>
      <c r="P493" s="19">
        <f t="shared" si="59"/>
        <v>2654</v>
      </c>
      <c r="R493" s="19">
        <f t="shared" si="56"/>
        <v>202314.42</v>
      </c>
      <c r="T493" s="19">
        <f t="shared" si="60"/>
        <v>170357.66999999998</v>
      </c>
      <c r="U493" s="19">
        <f t="shared" si="61"/>
        <v>182418.39</v>
      </c>
      <c r="V493" s="21">
        <f t="shared" si="62"/>
        <v>12060.72000000003</v>
      </c>
      <c r="W493" s="18">
        <f t="shared" si="63"/>
        <v>7.079646017699133E-2</v>
      </c>
    </row>
    <row r="494" spans="1:23" x14ac:dyDescent="0.3">
      <c r="A494" t="s">
        <v>218</v>
      </c>
      <c r="B494" t="s">
        <v>2414</v>
      </c>
      <c r="C494" t="s">
        <v>16</v>
      </c>
      <c r="D494" t="s">
        <v>69</v>
      </c>
      <c r="E494">
        <v>778</v>
      </c>
      <c r="F494">
        <v>134.59</v>
      </c>
      <c r="G494">
        <v>139.27000000000001</v>
      </c>
      <c r="H494">
        <v>134.59</v>
      </c>
      <c r="I494">
        <v>1082</v>
      </c>
      <c r="J494">
        <v>56</v>
      </c>
      <c r="K494" s="17">
        <f t="shared" si="57"/>
        <v>2019.7333333333336</v>
      </c>
      <c r="L494" t="str">
        <f t="shared" si="58"/>
        <v>High Risk</v>
      </c>
      <c r="P494" s="19">
        <f t="shared" si="59"/>
        <v>1242</v>
      </c>
      <c r="R494" s="19">
        <f t="shared" si="56"/>
        <v>167160.78</v>
      </c>
      <c r="T494" s="19">
        <f t="shared" si="60"/>
        <v>150690.14000000001</v>
      </c>
      <c r="U494" s="19">
        <f t="shared" si="61"/>
        <v>145626.38</v>
      </c>
      <c r="V494" s="21">
        <f t="shared" si="62"/>
        <v>-5063.7600000000093</v>
      </c>
      <c r="W494" s="18">
        <f t="shared" si="63"/>
        <v>-3.3603791196955612E-2</v>
      </c>
    </row>
    <row r="495" spans="1:23" x14ac:dyDescent="0.3">
      <c r="A495" t="s">
        <v>161</v>
      </c>
      <c r="B495" t="s">
        <v>2824</v>
      </c>
      <c r="C495" t="s">
        <v>12</v>
      </c>
      <c r="D495" t="s">
        <v>26</v>
      </c>
      <c r="E495">
        <v>778</v>
      </c>
      <c r="F495">
        <v>119.87</v>
      </c>
      <c r="G495">
        <v>101.43</v>
      </c>
      <c r="H495">
        <v>119.87</v>
      </c>
      <c r="I495">
        <v>3442</v>
      </c>
      <c r="J495">
        <v>18</v>
      </c>
      <c r="K495" s="17">
        <f t="shared" si="57"/>
        <v>2065.1999999999998</v>
      </c>
      <c r="L495" t="str">
        <f t="shared" si="58"/>
        <v>High Risk</v>
      </c>
      <c r="P495" s="19">
        <f t="shared" si="59"/>
        <v>1288</v>
      </c>
      <c r="R495" s="19">
        <f t="shared" si="56"/>
        <v>154392.56</v>
      </c>
      <c r="T495" s="19">
        <f t="shared" si="60"/>
        <v>349122.06</v>
      </c>
      <c r="U495" s="19">
        <f t="shared" si="61"/>
        <v>412592.54000000004</v>
      </c>
      <c r="V495" s="21">
        <f t="shared" si="62"/>
        <v>63470.48000000004</v>
      </c>
      <c r="W495" s="18">
        <f t="shared" si="63"/>
        <v>0.18180025633441793</v>
      </c>
    </row>
    <row r="496" spans="1:23" x14ac:dyDescent="0.3">
      <c r="A496" t="s">
        <v>470</v>
      </c>
      <c r="B496" t="s">
        <v>1239</v>
      </c>
      <c r="C496" t="s">
        <v>37</v>
      </c>
      <c r="D496" t="s">
        <v>20</v>
      </c>
      <c r="E496">
        <v>779</v>
      </c>
      <c r="F496">
        <v>238.56</v>
      </c>
      <c r="G496">
        <v>252.01</v>
      </c>
      <c r="H496">
        <v>238.56</v>
      </c>
      <c r="I496">
        <v>3394</v>
      </c>
      <c r="J496">
        <v>16</v>
      </c>
      <c r="K496" s="17">
        <f t="shared" si="57"/>
        <v>1810.1333333333334</v>
      </c>
      <c r="L496" t="str">
        <f t="shared" si="58"/>
        <v>High Risk</v>
      </c>
      <c r="P496" s="19">
        <f t="shared" si="59"/>
        <v>1032</v>
      </c>
      <c r="R496" s="19">
        <f t="shared" si="56"/>
        <v>246193.92000000001</v>
      </c>
      <c r="T496" s="19">
        <f t="shared" si="60"/>
        <v>855321.94</v>
      </c>
      <c r="U496" s="19">
        <f t="shared" si="61"/>
        <v>809672.64</v>
      </c>
      <c r="V496" s="21">
        <f t="shared" si="62"/>
        <v>-45649.29999999993</v>
      </c>
      <c r="W496" s="18">
        <f t="shared" si="63"/>
        <v>-5.33708979802388E-2</v>
      </c>
    </row>
    <row r="497" spans="1:23" x14ac:dyDescent="0.3">
      <c r="A497" t="s">
        <v>927</v>
      </c>
      <c r="B497" t="s">
        <v>1631</v>
      </c>
      <c r="C497" t="s">
        <v>16</v>
      </c>
      <c r="D497" t="s">
        <v>13</v>
      </c>
      <c r="E497">
        <v>779</v>
      </c>
      <c r="F497">
        <v>474.99</v>
      </c>
      <c r="G497">
        <v>403.74</v>
      </c>
      <c r="H497">
        <v>474.99</v>
      </c>
      <c r="I497">
        <v>3036</v>
      </c>
      <c r="J497">
        <v>27</v>
      </c>
      <c r="K497" s="17">
        <f t="shared" si="57"/>
        <v>2732.4</v>
      </c>
      <c r="L497" t="str">
        <f t="shared" si="58"/>
        <v>High Risk</v>
      </c>
      <c r="P497" s="19">
        <f t="shared" si="59"/>
        <v>1954</v>
      </c>
      <c r="R497" s="19">
        <f t="shared" si="56"/>
        <v>928130.46</v>
      </c>
      <c r="T497" s="19">
        <f t="shared" si="60"/>
        <v>1225754.6400000001</v>
      </c>
      <c r="U497" s="19">
        <f t="shared" si="61"/>
        <v>1442069.6400000001</v>
      </c>
      <c r="V497" s="21">
        <f t="shared" si="62"/>
        <v>216315</v>
      </c>
      <c r="W497" s="18">
        <f t="shared" si="63"/>
        <v>0.17647495913211469</v>
      </c>
    </row>
    <row r="498" spans="1:23" x14ac:dyDescent="0.3">
      <c r="A498" t="s">
        <v>320</v>
      </c>
      <c r="B498" t="s">
        <v>1119</v>
      </c>
      <c r="C498" t="s">
        <v>12</v>
      </c>
      <c r="D498" t="s">
        <v>20</v>
      </c>
      <c r="E498">
        <v>782</v>
      </c>
      <c r="F498">
        <v>18.11</v>
      </c>
      <c r="G498">
        <v>16.78</v>
      </c>
      <c r="H498">
        <v>18.11</v>
      </c>
      <c r="I498">
        <v>529</v>
      </c>
      <c r="J498">
        <v>76</v>
      </c>
      <c r="K498" s="17">
        <f t="shared" si="57"/>
        <v>1340.1333333333332</v>
      </c>
      <c r="L498" t="str">
        <f t="shared" si="58"/>
        <v>High Risk</v>
      </c>
      <c r="P498" s="19">
        <f t="shared" si="59"/>
        <v>559</v>
      </c>
      <c r="R498" s="19">
        <f t="shared" si="56"/>
        <v>10123.49</v>
      </c>
      <c r="T498" s="19">
        <f t="shared" si="60"/>
        <v>8876.6200000000008</v>
      </c>
      <c r="U498" s="19">
        <f t="shared" si="61"/>
        <v>9580.19</v>
      </c>
      <c r="V498" s="21">
        <f t="shared" si="62"/>
        <v>703.56999999999971</v>
      </c>
      <c r="W498" s="18">
        <f t="shared" si="63"/>
        <v>7.9261025029797344E-2</v>
      </c>
    </row>
    <row r="499" spans="1:23" x14ac:dyDescent="0.3">
      <c r="A499" t="s">
        <v>205</v>
      </c>
      <c r="B499" t="s">
        <v>206</v>
      </c>
      <c r="C499" t="s">
        <v>50</v>
      </c>
      <c r="D499" t="s">
        <v>13</v>
      </c>
      <c r="E499">
        <v>782</v>
      </c>
      <c r="F499">
        <v>473.86</v>
      </c>
      <c r="G499">
        <v>472.21</v>
      </c>
      <c r="H499">
        <v>473.86</v>
      </c>
      <c r="I499">
        <v>133</v>
      </c>
      <c r="J499">
        <v>13</v>
      </c>
      <c r="K499" s="17">
        <f t="shared" si="57"/>
        <v>57.63333333333334</v>
      </c>
      <c r="L499" t="str">
        <f t="shared" si="58"/>
        <v>Sufficuent Stock</v>
      </c>
      <c r="P499" s="19">
        <f t="shared" si="59"/>
        <v>0</v>
      </c>
      <c r="R499" s="19">
        <f t="shared" si="56"/>
        <v>0</v>
      </c>
      <c r="T499" s="19">
        <f t="shared" si="60"/>
        <v>62803.93</v>
      </c>
      <c r="U499" s="19">
        <f t="shared" si="61"/>
        <v>63023.380000000005</v>
      </c>
      <c r="V499" s="21">
        <f t="shared" si="62"/>
        <v>219.45000000000437</v>
      </c>
      <c r="W499" s="18">
        <f t="shared" si="63"/>
        <v>3.494208085385809E-3</v>
      </c>
    </row>
    <row r="500" spans="1:23" x14ac:dyDescent="0.3">
      <c r="A500" t="s">
        <v>1264</v>
      </c>
      <c r="B500" t="s">
        <v>2748</v>
      </c>
      <c r="C500" t="s">
        <v>16</v>
      </c>
      <c r="D500" t="s">
        <v>69</v>
      </c>
      <c r="E500">
        <v>782</v>
      </c>
      <c r="F500">
        <v>224.72</v>
      </c>
      <c r="G500">
        <v>214.09</v>
      </c>
      <c r="H500">
        <v>224.72</v>
      </c>
      <c r="I500">
        <v>1415</v>
      </c>
      <c r="J500">
        <v>68</v>
      </c>
      <c r="K500" s="17">
        <f t="shared" si="57"/>
        <v>3207.333333333333</v>
      </c>
      <c r="L500" t="str">
        <f t="shared" si="58"/>
        <v>High Risk</v>
      </c>
      <c r="P500" s="19">
        <f t="shared" si="59"/>
        <v>2426</v>
      </c>
      <c r="R500" s="19">
        <f t="shared" si="56"/>
        <v>545170.72</v>
      </c>
      <c r="T500" s="19">
        <f t="shared" si="60"/>
        <v>302937.34999999998</v>
      </c>
      <c r="U500" s="19">
        <f t="shared" si="61"/>
        <v>317978.8</v>
      </c>
      <c r="V500" s="21">
        <f t="shared" si="62"/>
        <v>15041.450000000012</v>
      </c>
      <c r="W500" s="18">
        <f t="shared" si="63"/>
        <v>4.9652015507496892E-2</v>
      </c>
    </row>
    <row r="501" spans="1:23" x14ac:dyDescent="0.3">
      <c r="A501" t="s">
        <v>436</v>
      </c>
      <c r="B501" t="s">
        <v>2593</v>
      </c>
      <c r="C501" t="s">
        <v>50</v>
      </c>
      <c r="D501" t="s">
        <v>13</v>
      </c>
      <c r="E501">
        <v>786</v>
      </c>
      <c r="F501">
        <v>237.93</v>
      </c>
      <c r="G501">
        <v>202.79</v>
      </c>
      <c r="H501">
        <v>237.93</v>
      </c>
      <c r="I501">
        <v>1027</v>
      </c>
      <c r="J501">
        <v>81</v>
      </c>
      <c r="K501" s="17">
        <f t="shared" si="57"/>
        <v>2772.9</v>
      </c>
      <c r="L501" t="str">
        <f t="shared" si="58"/>
        <v>High Risk</v>
      </c>
      <c r="P501" s="19">
        <f t="shared" si="59"/>
        <v>1987</v>
      </c>
      <c r="R501" s="19">
        <f t="shared" si="56"/>
        <v>472766.91000000003</v>
      </c>
      <c r="T501" s="19">
        <f t="shared" si="60"/>
        <v>208265.33</v>
      </c>
      <c r="U501" s="19">
        <f t="shared" si="61"/>
        <v>244354.11000000002</v>
      </c>
      <c r="V501" s="21">
        <f t="shared" si="62"/>
        <v>36088.780000000028</v>
      </c>
      <c r="W501" s="18">
        <f t="shared" si="63"/>
        <v>0.17328270624784273</v>
      </c>
    </row>
    <row r="502" spans="1:23" x14ac:dyDescent="0.3">
      <c r="A502" t="s">
        <v>1158</v>
      </c>
      <c r="B502" t="s">
        <v>1159</v>
      </c>
      <c r="C502" t="s">
        <v>37</v>
      </c>
      <c r="D502" t="s">
        <v>69</v>
      </c>
      <c r="E502">
        <v>786</v>
      </c>
      <c r="F502">
        <v>182.11</v>
      </c>
      <c r="G502">
        <v>153.30000000000001</v>
      </c>
      <c r="H502">
        <v>182.11</v>
      </c>
      <c r="I502">
        <v>1750</v>
      </c>
      <c r="J502">
        <v>18</v>
      </c>
      <c r="K502" s="17">
        <f t="shared" si="57"/>
        <v>1050</v>
      </c>
      <c r="L502" t="str">
        <f t="shared" si="58"/>
        <v>High Risk</v>
      </c>
      <c r="P502" s="19">
        <f t="shared" si="59"/>
        <v>264</v>
      </c>
      <c r="R502" s="19">
        <f t="shared" si="56"/>
        <v>48077.04</v>
      </c>
      <c r="T502" s="19">
        <f t="shared" si="60"/>
        <v>268275</v>
      </c>
      <c r="U502" s="19">
        <f t="shared" si="61"/>
        <v>318692.5</v>
      </c>
      <c r="V502" s="21">
        <f t="shared" si="62"/>
        <v>50417.5</v>
      </c>
      <c r="W502" s="18">
        <f t="shared" si="63"/>
        <v>0.18793215916503589</v>
      </c>
    </row>
    <row r="503" spans="1:23" x14ac:dyDescent="0.3">
      <c r="A503" t="s">
        <v>380</v>
      </c>
      <c r="B503" t="s">
        <v>381</v>
      </c>
      <c r="C503" t="s">
        <v>23</v>
      </c>
      <c r="D503" t="s">
        <v>20</v>
      </c>
      <c r="E503">
        <v>786</v>
      </c>
      <c r="F503">
        <v>333.37</v>
      </c>
      <c r="G503">
        <v>351.59</v>
      </c>
      <c r="H503">
        <v>333.37</v>
      </c>
      <c r="I503">
        <v>1345</v>
      </c>
      <c r="J503">
        <v>69</v>
      </c>
      <c r="K503" s="17">
        <f t="shared" si="57"/>
        <v>3093.5</v>
      </c>
      <c r="L503" t="str">
        <f t="shared" si="58"/>
        <v>High Risk</v>
      </c>
      <c r="P503" s="19">
        <f t="shared" si="59"/>
        <v>2308</v>
      </c>
      <c r="R503" s="19">
        <f t="shared" si="56"/>
        <v>769417.96</v>
      </c>
      <c r="T503" s="19">
        <f t="shared" si="60"/>
        <v>472888.55</v>
      </c>
      <c r="U503" s="19">
        <f t="shared" si="61"/>
        <v>448382.65</v>
      </c>
      <c r="V503" s="21">
        <f t="shared" si="62"/>
        <v>-24505.899999999965</v>
      </c>
      <c r="W503" s="18">
        <f t="shared" si="63"/>
        <v>-5.182172416735395E-2</v>
      </c>
    </row>
    <row r="504" spans="1:23" x14ac:dyDescent="0.3">
      <c r="A504" t="s">
        <v>55</v>
      </c>
      <c r="B504" t="s">
        <v>2353</v>
      </c>
      <c r="C504" t="s">
        <v>16</v>
      </c>
      <c r="D504" t="s">
        <v>69</v>
      </c>
      <c r="E504">
        <v>786</v>
      </c>
      <c r="F504">
        <v>75.2</v>
      </c>
      <c r="G504">
        <v>79.03</v>
      </c>
      <c r="H504">
        <v>75.2</v>
      </c>
      <c r="I504">
        <v>176</v>
      </c>
      <c r="J504">
        <v>51</v>
      </c>
      <c r="K504" s="17">
        <f t="shared" si="57"/>
        <v>299.2</v>
      </c>
      <c r="L504" t="str">
        <f t="shared" si="58"/>
        <v>Sufficuent Stock</v>
      </c>
      <c r="P504" s="19">
        <f t="shared" si="59"/>
        <v>0</v>
      </c>
      <c r="R504" s="19">
        <f t="shared" si="56"/>
        <v>0</v>
      </c>
      <c r="T504" s="19">
        <f t="shared" si="60"/>
        <v>13909.28</v>
      </c>
      <c r="U504" s="19">
        <f t="shared" si="61"/>
        <v>13235.2</v>
      </c>
      <c r="V504" s="21">
        <f t="shared" si="62"/>
        <v>-674.07999999999993</v>
      </c>
      <c r="W504" s="18">
        <f t="shared" si="63"/>
        <v>-4.8462609135771217E-2</v>
      </c>
    </row>
    <row r="505" spans="1:23" x14ac:dyDescent="0.3">
      <c r="A505" t="s">
        <v>444</v>
      </c>
      <c r="B505" t="s">
        <v>445</v>
      </c>
      <c r="C505" t="s">
        <v>23</v>
      </c>
      <c r="D505" t="s">
        <v>13</v>
      </c>
      <c r="E505">
        <v>788</v>
      </c>
      <c r="F505">
        <v>228.13</v>
      </c>
      <c r="G505">
        <v>207.47</v>
      </c>
      <c r="H505">
        <v>228.13</v>
      </c>
      <c r="I505">
        <v>192</v>
      </c>
      <c r="J505">
        <v>21</v>
      </c>
      <c r="K505" s="17">
        <f t="shared" si="57"/>
        <v>134.4</v>
      </c>
      <c r="L505" t="str">
        <f t="shared" si="58"/>
        <v>Sufficuent Stock</v>
      </c>
      <c r="P505" s="19">
        <f t="shared" si="59"/>
        <v>0</v>
      </c>
      <c r="R505" s="19">
        <f t="shared" si="56"/>
        <v>0</v>
      </c>
      <c r="T505" s="19">
        <f t="shared" si="60"/>
        <v>39834.239999999998</v>
      </c>
      <c r="U505" s="19">
        <f t="shared" si="61"/>
        <v>43800.959999999999</v>
      </c>
      <c r="V505" s="21">
        <f t="shared" si="62"/>
        <v>3966.7200000000012</v>
      </c>
      <c r="W505" s="18">
        <f t="shared" si="63"/>
        <v>9.9580662264423803E-2</v>
      </c>
    </row>
    <row r="506" spans="1:23" x14ac:dyDescent="0.3">
      <c r="A506" t="s">
        <v>1060</v>
      </c>
      <c r="B506" t="s">
        <v>1699</v>
      </c>
      <c r="C506" t="s">
        <v>23</v>
      </c>
      <c r="D506" t="s">
        <v>13</v>
      </c>
      <c r="E506">
        <v>788</v>
      </c>
      <c r="F506">
        <v>64.78</v>
      </c>
      <c r="G506">
        <v>66.39</v>
      </c>
      <c r="H506">
        <v>64.78</v>
      </c>
      <c r="I506">
        <v>3689</v>
      </c>
      <c r="J506">
        <v>90</v>
      </c>
      <c r="K506" s="17">
        <f t="shared" si="57"/>
        <v>11067</v>
      </c>
      <c r="L506" t="str">
        <f t="shared" si="58"/>
        <v>High Risk</v>
      </c>
      <c r="P506" s="19">
        <f t="shared" si="59"/>
        <v>10279</v>
      </c>
      <c r="R506" s="19">
        <f t="shared" si="56"/>
        <v>665873.62</v>
      </c>
      <c r="T506" s="19">
        <f t="shared" si="60"/>
        <v>244912.71</v>
      </c>
      <c r="U506" s="19">
        <f t="shared" si="61"/>
        <v>238973.42</v>
      </c>
      <c r="V506" s="21">
        <f t="shared" si="62"/>
        <v>-5939.289999999979</v>
      </c>
      <c r="W506" s="18">
        <f t="shared" si="63"/>
        <v>-2.4250640156650013E-2</v>
      </c>
    </row>
    <row r="507" spans="1:23" x14ac:dyDescent="0.3">
      <c r="A507" t="s">
        <v>107</v>
      </c>
      <c r="B507" t="s">
        <v>108</v>
      </c>
      <c r="C507" t="s">
        <v>23</v>
      </c>
      <c r="D507" t="s">
        <v>17</v>
      </c>
      <c r="E507">
        <v>789</v>
      </c>
      <c r="F507">
        <v>88.92</v>
      </c>
      <c r="G507">
        <v>93.79</v>
      </c>
      <c r="H507">
        <v>88.92</v>
      </c>
      <c r="I507">
        <v>648</v>
      </c>
      <c r="J507">
        <v>17</v>
      </c>
      <c r="K507" s="17">
        <f t="shared" si="57"/>
        <v>367.20000000000005</v>
      </c>
      <c r="L507" t="str">
        <f t="shared" si="58"/>
        <v>Sufficuent Stock</v>
      </c>
      <c r="P507" s="19">
        <f t="shared" si="59"/>
        <v>0</v>
      </c>
      <c r="R507" s="19">
        <f t="shared" si="56"/>
        <v>0</v>
      </c>
      <c r="T507" s="19">
        <f t="shared" si="60"/>
        <v>60775.920000000006</v>
      </c>
      <c r="U507" s="19">
        <f t="shared" si="61"/>
        <v>57620.160000000003</v>
      </c>
      <c r="V507" s="21">
        <f t="shared" si="62"/>
        <v>-3155.760000000002</v>
      </c>
      <c r="W507" s="18">
        <f t="shared" si="63"/>
        <v>-5.1924512208124565E-2</v>
      </c>
    </row>
    <row r="508" spans="1:23" x14ac:dyDescent="0.3">
      <c r="A508" t="s">
        <v>55</v>
      </c>
      <c r="B508" t="s">
        <v>513</v>
      </c>
      <c r="C508" t="s">
        <v>23</v>
      </c>
      <c r="D508" t="s">
        <v>20</v>
      </c>
      <c r="E508">
        <v>790</v>
      </c>
      <c r="F508">
        <v>457.69</v>
      </c>
      <c r="G508">
        <v>416.89</v>
      </c>
      <c r="H508">
        <v>457.69</v>
      </c>
      <c r="I508">
        <v>2539</v>
      </c>
      <c r="J508">
        <v>24</v>
      </c>
      <c r="K508" s="17">
        <f t="shared" si="57"/>
        <v>2031.2000000000003</v>
      </c>
      <c r="L508" t="str">
        <f t="shared" si="58"/>
        <v>High Risk</v>
      </c>
      <c r="P508" s="19">
        <f t="shared" si="59"/>
        <v>1242</v>
      </c>
      <c r="R508" s="19">
        <f t="shared" si="56"/>
        <v>568450.98</v>
      </c>
      <c r="T508" s="19">
        <f t="shared" si="60"/>
        <v>1058483.71</v>
      </c>
      <c r="U508" s="19">
        <f t="shared" si="61"/>
        <v>1162074.9099999999</v>
      </c>
      <c r="V508" s="21">
        <f t="shared" si="62"/>
        <v>103591.19999999995</v>
      </c>
      <c r="W508" s="18">
        <f t="shared" si="63"/>
        <v>9.7867542996953591E-2</v>
      </c>
    </row>
    <row r="509" spans="1:23" x14ac:dyDescent="0.3">
      <c r="A509" t="s">
        <v>48</v>
      </c>
      <c r="B509" t="s">
        <v>2480</v>
      </c>
      <c r="C509" t="s">
        <v>12</v>
      </c>
      <c r="D509" t="s">
        <v>26</v>
      </c>
      <c r="E509">
        <v>790</v>
      </c>
      <c r="F509">
        <v>536.42999999999995</v>
      </c>
      <c r="G509">
        <v>488.11</v>
      </c>
      <c r="H509">
        <v>536.42999999999995</v>
      </c>
      <c r="I509">
        <v>2659</v>
      </c>
      <c r="J509">
        <v>89</v>
      </c>
      <c r="K509" s="17">
        <f t="shared" si="57"/>
        <v>7888.3666666666677</v>
      </c>
      <c r="L509" t="str">
        <f t="shared" si="58"/>
        <v>High Risk</v>
      </c>
      <c r="P509" s="19">
        <f t="shared" si="59"/>
        <v>7099</v>
      </c>
      <c r="R509" s="19">
        <f t="shared" si="56"/>
        <v>3808116.57</v>
      </c>
      <c r="T509" s="19">
        <f t="shared" si="60"/>
        <v>1297884.49</v>
      </c>
      <c r="U509" s="19">
        <f t="shared" si="61"/>
        <v>1426367.3699999999</v>
      </c>
      <c r="V509" s="21">
        <f t="shared" si="62"/>
        <v>128482.87999999989</v>
      </c>
      <c r="W509" s="18">
        <f t="shared" si="63"/>
        <v>9.8994079203458152E-2</v>
      </c>
    </row>
    <row r="510" spans="1:23" x14ac:dyDescent="0.3">
      <c r="A510" t="s">
        <v>308</v>
      </c>
      <c r="B510" t="s">
        <v>3126</v>
      </c>
      <c r="C510" t="s">
        <v>50</v>
      </c>
      <c r="D510" t="s">
        <v>13</v>
      </c>
      <c r="E510">
        <v>792</v>
      </c>
      <c r="F510">
        <v>416.14</v>
      </c>
      <c r="G510">
        <v>419.54</v>
      </c>
      <c r="H510">
        <v>416.14</v>
      </c>
      <c r="I510">
        <v>3063</v>
      </c>
      <c r="J510">
        <v>6</v>
      </c>
      <c r="K510" s="17">
        <f t="shared" si="57"/>
        <v>612.59999999999991</v>
      </c>
      <c r="L510" t="str">
        <f t="shared" si="58"/>
        <v>Sufficuent Stock</v>
      </c>
      <c r="P510" s="19">
        <f t="shared" si="59"/>
        <v>0</v>
      </c>
      <c r="R510" s="19">
        <f t="shared" si="56"/>
        <v>0</v>
      </c>
      <c r="T510" s="19">
        <f t="shared" si="60"/>
        <v>1285051.02</v>
      </c>
      <c r="U510" s="19">
        <f t="shared" si="61"/>
        <v>1274636.82</v>
      </c>
      <c r="V510" s="21">
        <f t="shared" si="62"/>
        <v>-10414.199999999953</v>
      </c>
      <c r="W510" s="18">
        <f t="shared" si="63"/>
        <v>-8.1041140296514869E-3</v>
      </c>
    </row>
    <row r="511" spans="1:23" x14ac:dyDescent="0.3">
      <c r="A511" t="s">
        <v>374</v>
      </c>
      <c r="B511" t="s">
        <v>3268</v>
      </c>
      <c r="C511" t="s">
        <v>23</v>
      </c>
      <c r="D511" t="s">
        <v>13</v>
      </c>
      <c r="E511">
        <v>800</v>
      </c>
      <c r="F511">
        <v>137.63999999999999</v>
      </c>
      <c r="G511">
        <v>145.11000000000001</v>
      </c>
      <c r="H511">
        <v>137.63999999999999</v>
      </c>
      <c r="I511">
        <v>3882</v>
      </c>
      <c r="J511">
        <v>11</v>
      </c>
      <c r="K511" s="17">
        <f t="shared" si="57"/>
        <v>1423.4</v>
      </c>
      <c r="L511" t="str">
        <f t="shared" si="58"/>
        <v>High Risk</v>
      </c>
      <c r="P511" s="19">
        <f t="shared" si="59"/>
        <v>624</v>
      </c>
      <c r="R511" s="19">
        <f t="shared" si="56"/>
        <v>85887.359999999986</v>
      </c>
      <c r="T511" s="19">
        <f t="shared" si="60"/>
        <v>563317.02</v>
      </c>
      <c r="U511" s="19">
        <f t="shared" si="61"/>
        <v>534318.48</v>
      </c>
      <c r="V511" s="21">
        <f t="shared" si="62"/>
        <v>-28998.540000000037</v>
      </c>
      <c r="W511" s="18">
        <f t="shared" si="63"/>
        <v>-5.14781889600993E-2</v>
      </c>
    </row>
    <row r="512" spans="1:23" x14ac:dyDescent="0.3">
      <c r="A512" t="s">
        <v>86</v>
      </c>
      <c r="B512" t="s">
        <v>87</v>
      </c>
      <c r="C512" t="s">
        <v>37</v>
      </c>
      <c r="D512" t="s">
        <v>26</v>
      </c>
      <c r="E512">
        <v>802</v>
      </c>
      <c r="F512">
        <v>127.97</v>
      </c>
      <c r="G512">
        <v>126.1</v>
      </c>
      <c r="H512">
        <v>127.97</v>
      </c>
      <c r="I512">
        <v>1587</v>
      </c>
      <c r="J512">
        <v>71</v>
      </c>
      <c r="K512" s="17">
        <f t="shared" si="57"/>
        <v>3755.9</v>
      </c>
      <c r="L512" t="str">
        <f t="shared" si="58"/>
        <v>High Risk</v>
      </c>
      <c r="P512" s="19">
        <f t="shared" si="59"/>
        <v>2954</v>
      </c>
      <c r="R512" s="19">
        <f t="shared" si="56"/>
        <v>378023.38</v>
      </c>
      <c r="T512" s="19">
        <f t="shared" si="60"/>
        <v>200120.69999999998</v>
      </c>
      <c r="U512" s="19">
        <f t="shared" si="61"/>
        <v>203088.38999999998</v>
      </c>
      <c r="V512" s="21">
        <f t="shared" si="62"/>
        <v>2967.6900000000023</v>
      </c>
      <c r="W512" s="18">
        <f t="shared" si="63"/>
        <v>1.4829500396510719E-2</v>
      </c>
    </row>
    <row r="513" spans="1:23" x14ac:dyDescent="0.3">
      <c r="A513" t="s">
        <v>78</v>
      </c>
      <c r="B513" t="s">
        <v>2697</v>
      </c>
      <c r="C513" t="s">
        <v>50</v>
      </c>
      <c r="D513" t="s">
        <v>13</v>
      </c>
      <c r="E513">
        <v>805</v>
      </c>
      <c r="F513">
        <v>421.12</v>
      </c>
      <c r="G513">
        <v>452.67</v>
      </c>
      <c r="H513">
        <v>421.12</v>
      </c>
      <c r="I513">
        <v>2305</v>
      </c>
      <c r="J513">
        <v>39</v>
      </c>
      <c r="K513" s="17">
        <f t="shared" si="57"/>
        <v>2996.5</v>
      </c>
      <c r="L513" t="str">
        <f t="shared" si="58"/>
        <v>High Risk</v>
      </c>
      <c r="P513" s="19">
        <f t="shared" si="59"/>
        <v>2192</v>
      </c>
      <c r="R513" s="19">
        <f t="shared" si="56"/>
        <v>923095.04000000004</v>
      </c>
      <c r="T513" s="19">
        <f t="shared" si="60"/>
        <v>1043404.3500000001</v>
      </c>
      <c r="U513" s="19">
        <f t="shared" si="61"/>
        <v>970681.6</v>
      </c>
      <c r="V513" s="21">
        <f t="shared" si="62"/>
        <v>-72722.750000000116</v>
      </c>
      <c r="W513" s="18">
        <f t="shared" si="63"/>
        <v>-6.9697572182826448E-2</v>
      </c>
    </row>
    <row r="514" spans="1:23" x14ac:dyDescent="0.3">
      <c r="A514" t="s">
        <v>992</v>
      </c>
      <c r="B514" t="s">
        <v>2865</v>
      </c>
      <c r="C514" t="s">
        <v>50</v>
      </c>
      <c r="D514" t="s">
        <v>69</v>
      </c>
      <c r="E514">
        <v>805</v>
      </c>
      <c r="F514">
        <v>416.32</v>
      </c>
      <c r="G514">
        <v>362.4</v>
      </c>
      <c r="H514">
        <v>416.32</v>
      </c>
      <c r="I514">
        <v>2079</v>
      </c>
      <c r="J514">
        <v>84</v>
      </c>
      <c r="K514" s="17">
        <f t="shared" si="57"/>
        <v>5821.2</v>
      </c>
      <c r="L514" t="str">
        <f t="shared" si="58"/>
        <v>High Risk</v>
      </c>
      <c r="P514" s="19">
        <f t="shared" si="59"/>
        <v>5017</v>
      </c>
      <c r="R514" s="19">
        <f t="shared" ref="R514:R577" si="64">P514*H514</f>
        <v>2088677.44</v>
      </c>
      <c r="T514" s="19">
        <f t="shared" si="60"/>
        <v>753429.6</v>
      </c>
      <c r="U514" s="19">
        <f t="shared" si="61"/>
        <v>865529.28</v>
      </c>
      <c r="V514" s="21">
        <f t="shared" si="62"/>
        <v>112099.68000000005</v>
      </c>
      <c r="W514" s="18">
        <f t="shared" si="63"/>
        <v>0.14878587196467999</v>
      </c>
    </row>
    <row r="515" spans="1:23" x14ac:dyDescent="0.3">
      <c r="A515" t="s">
        <v>354</v>
      </c>
      <c r="B515" t="s">
        <v>3085</v>
      </c>
      <c r="C515" t="s">
        <v>23</v>
      </c>
      <c r="D515" t="s">
        <v>20</v>
      </c>
      <c r="E515">
        <v>808</v>
      </c>
      <c r="F515">
        <v>408.68</v>
      </c>
      <c r="G515">
        <v>353.13</v>
      </c>
      <c r="H515">
        <v>408.68</v>
      </c>
      <c r="I515">
        <v>2907</v>
      </c>
      <c r="J515">
        <v>87</v>
      </c>
      <c r="K515" s="17">
        <f t="shared" ref="K515:K578" si="65">(I515/30)*J515</f>
        <v>8430.3000000000011</v>
      </c>
      <c r="L515" t="str">
        <f t="shared" ref="L515:L578" si="66">IF(E515&lt;K515,"High Risk","Sufficuent Stock")</f>
        <v>High Risk</v>
      </c>
      <c r="P515" s="19">
        <f t="shared" ref="P515:P578" si="67">ROUNDUP(MAX(0,K515-E515),0)</f>
        <v>7623</v>
      </c>
      <c r="R515" s="19">
        <f t="shared" si="64"/>
        <v>3115367.64</v>
      </c>
      <c r="T515" s="19">
        <f t="shared" ref="T515:T578" si="68">I515*G515</f>
        <v>1026548.91</v>
      </c>
      <c r="U515" s="19">
        <f t="shared" ref="U515:U578" si="69">I515*H515</f>
        <v>1188032.76</v>
      </c>
      <c r="V515" s="21">
        <f t="shared" ref="V515:V578" si="70">U515-T515</f>
        <v>161483.84999999998</v>
      </c>
      <c r="W515" s="18">
        <f t="shared" ref="W515:W578" si="71">IFERROR(V515/T515,0)</f>
        <v>0.1573075071503412</v>
      </c>
    </row>
    <row r="516" spans="1:23" x14ac:dyDescent="0.3">
      <c r="A516" t="s">
        <v>80</v>
      </c>
      <c r="B516" t="s">
        <v>207</v>
      </c>
      <c r="C516" t="s">
        <v>16</v>
      </c>
      <c r="D516" t="s">
        <v>17</v>
      </c>
      <c r="E516">
        <v>809</v>
      </c>
      <c r="F516">
        <v>72.86</v>
      </c>
      <c r="G516">
        <v>76.47</v>
      </c>
      <c r="H516">
        <v>72.86</v>
      </c>
      <c r="I516">
        <v>441</v>
      </c>
      <c r="J516">
        <v>83</v>
      </c>
      <c r="K516" s="17">
        <f t="shared" si="65"/>
        <v>1220.0999999999999</v>
      </c>
      <c r="L516" t="str">
        <f t="shared" si="66"/>
        <v>High Risk</v>
      </c>
      <c r="P516" s="19">
        <f t="shared" si="67"/>
        <v>412</v>
      </c>
      <c r="R516" s="19">
        <f t="shared" si="64"/>
        <v>30018.32</v>
      </c>
      <c r="T516" s="19">
        <f t="shared" si="68"/>
        <v>33723.269999999997</v>
      </c>
      <c r="U516" s="19">
        <f t="shared" si="69"/>
        <v>32131.26</v>
      </c>
      <c r="V516" s="21">
        <f t="shared" si="70"/>
        <v>-1592.0099999999984</v>
      </c>
      <c r="W516" s="18">
        <f t="shared" si="71"/>
        <v>-4.7208055446580313E-2</v>
      </c>
    </row>
    <row r="517" spans="1:23" x14ac:dyDescent="0.3">
      <c r="A517" t="s">
        <v>163</v>
      </c>
      <c r="B517" t="s">
        <v>2472</v>
      </c>
      <c r="C517" t="s">
        <v>23</v>
      </c>
      <c r="D517" t="s">
        <v>69</v>
      </c>
      <c r="E517">
        <v>814</v>
      </c>
      <c r="F517">
        <v>164.04</v>
      </c>
      <c r="G517">
        <v>139.12</v>
      </c>
      <c r="H517">
        <v>164.04</v>
      </c>
      <c r="I517">
        <v>743</v>
      </c>
      <c r="J517">
        <v>90</v>
      </c>
      <c r="K517" s="17">
        <f t="shared" si="65"/>
        <v>2229</v>
      </c>
      <c r="L517" t="str">
        <f t="shared" si="66"/>
        <v>High Risk</v>
      </c>
      <c r="P517" s="19">
        <f t="shared" si="67"/>
        <v>1415</v>
      </c>
      <c r="R517" s="19">
        <f t="shared" si="64"/>
        <v>232116.59999999998</v>
      </c>
      <c r="T517" s="19">
        <f t="shared" si="68"/>
        <v>103366.16</v>
      </c>
      <c r="U517" s="19">
        <f t="shared" si="69"/>
        <v>121881.72</v>
      </c>
      <c r="V517" s="21">
        <f t="shared" si="70"/>
        <v>18515.559999999998</v>
      </c>
      <c r="W517" s="18">
        <f t="shared" si="71"/>
        <v>0.17912593444508335</v>
      </c>
    </row>
    <row r="518" spans="1:23" x14ac:dyDescent="0.3">
      <c r="A518" t="s">
        <v>829</v>
      </c>
      <c r="B518" t="s">
        <v>1040</v>
      </c>
      <c r="C518" t="s">
        <v>23</v>
      </c>
      <c r="D518" t="s">
        <v>13</v>
      </c>
      <c r="E518">
        <v>815</v>
      </c>
      <c r="F518">
        <v>45.16</v>
      </c>
      <c r="G518">
        <v>40.08</v>
      </c>
      <c r="H518">
        <v>45.16</v>
      </c>
      <c r="I518">
        <v>3490</v>
      </c>
      <c r="J518">
        <v>46</v>
      </c>
      <c r="K518" s="17">
        <f t="shared" si="65"/>
        <v>5351.333333333333</v>
      </c>
      <c r="L518" t="str">
        <f t="shared" si="66"/>
        <v>High Risk</v>
      </c>
      <c r="P518" s="19">
        <f t="shared" si="67"/>
        <v>4537</v>
      </c>
      <c r="R518" s="19">
        <f t="shared" si="64"/>
        <v>204890.91999999998</v>
      </c>
      <c r="T518" s="19">
        <f t="shared" si="68"/>
        <v>139879.19999999998</v>
      </c>
      <c r="U518" s="19">
        <f t="shared" si="69"/>
        <v>157608.4</v>
      </c>
      <c r="V518" s="21">
        <f t="shared" si="70"/>
        <v>17729.200000000012</v>
      </c>
      <c r="W518" s="18">
        <f t="shared" si="71"/>
        <v>0.12674650698602805</v>
      </c>
    </row>
    <row r="519" spans="1:23" x14ac:dyDescent="0.3">
      <c r="A519" t="s">
        <v>260</v>
      </c>
      <c r="B519" t="s">
        <v>2701</v>
      </c>
      <c r="C519" t="s">
        <v>16</v>
      </c>
      <c r="D519" t="s">
        <v>17</v>
      </c>
      <c r="E519">
        <v>820</v>
      </c>
      <c r="F519">
        <v>87.2</v>
      </c>
      <c r="G519">
        <v>90.81</v>
      </c>
      <c r="H519">
        <v>87.2</v>
      </c>
      <c r="I519">
        <v>3582</v>
      </c>
      <c r="J519">
        <v>83</v>
      </c>
      <c r="K519" s="17">
        <f t="shared" si="65"/>
        <v>9910.2000000000007</v>
      </c>
      <c r="L519" t="str">
        <f t="shared" si="66"/>
        <v>High Risk</v>
      </c>
      <c r="P519" s="19">
        <f t="shared" si="67"/>
        <v>9091</v>
      </c>
      <c r="R519" s="19">
        <f t="shared" si="64"/>
        <v>792735.20000000007</v>
      </c>
      <c r="T519" s="19">
        <f t="shared" si="68"/>
        <v>325281.42</v>
      </c>
      <c r="U519" s="19">
        <f t="shared" si="69"/>
        <v>312350.40000000002</v>
      </c>
      <c r="V519" s="21">
        <f t="shared" si="70"/>
        <v>-12931.01999999996</v>
      </c>
      <c r="W519" s="18">
        <f t="shared" si="71"/>
        <v>-3.9753331130932594E-2</v>
      </c>
    </row>
    <row r="520" spans="1:23" x14ac:dyDescent="0.3">
      <c r="A520" t="s">
        <v>418</v>
      </c>
      <c r="B520" t="s">
        <v>2699</v>
      </c>
      <c r="C520" t="s">
        <v>12</v>
      </c>
      <c r="D520" t="s">
        <v>26</v>
      </c>
      <c r="E520">
        <v>821</v>
      </c>
      <c r="F520">
        <v>197.95</v>
      </c>
      <c r="G520">
        <v>212.83</v>
      </c>
      <c r="H520">
        <v>197.95</v>
      </c>
      <c r="I520">
        <v>2538</v>
      </c>
      <c r="J520">
        <v>39</v>
      </c>
      <c r="K520" s="17">
        <f t="shared" si="65"/>
        <v>3299.3999999999996</v>
      </c>
      <c r="L520" t="str">
        <f t="shared" si="66"/>
        <v>High Risk</v>
      </c>
      <c r="P520" s="19">
        <f t="shared" si="67"/>
        <v>2479</v>
      </c>
      <c r="R520" s="19">
        <f t="shared" si="64"/>
        <v>490718.05</v>
      </c>
      <c r="T520" s="19">
        <f t="shared" si="68"/>
        <v>540162.54</v>
      </c>
      <c r="U520" s="19">
        <f t="shared" si="69"/>
        <v>502397.1</v>
      </c>
      <c r="V520" s="21">
        <f t="shared" si="70"/>
        <v>-37765.440000000061</v>
      </c>
      <c r="W520" s="18">
        <f t="shared" si="71"/>
        <v>-6.9914955598364997E-2</v>
      </c>
    </row>
    <row r="521" spans="1:23" x14ac:dyDescent="0.3">
      <c r="A521" t="s">
        <v>474</v>
      </c>
      <c r="B521" t="s">
        <v>1448</v>
      </c>
      <c r="C521" t="s">
        <v>16</v>
      </c>
      <c r="D521" t="s">
        <v>13</v>
      </c>
      <c r="E521">
        <v>822</v>
      </c>
      <c r="F521">
        <v>367.94</v>
      </c>
      <c r="G521">
        <v>311.11</v>
      </c>
      <c r="H521">
        <v>367.94</v>
      </c>
      <c r="I521">
        <v>357</v>
      </c>
      <c r="J521">
        <v>36</v>
      </c>
      <c r="K521" s="17">
        <f t="shared" si="65"/>
        <v>428.40000000000003</v>
      </c>
      <c r="L521" t="str">
        <f t="shared" si="66"/>
        <v>Sufficuent Stock</v>
      </c>
      <c r="P521" s="19">
        <f t="shared" si="67"/>
        <v>0</v>
      </c>
      <c r="R521" s="19">
        <f t="shared" si="64"/>
        <v>0</v>
      </c>
      <c r="T521" s="19">
        <f t="shared" si="68"/>
        <v>111066.27</v>
      </c>
      <c r="U521" s="19">
        <f t="shared" si="69"/>
        <v>131354.57999999999</v>
      </c>
      <c r="V521" s="21">
        <f t="shared" si="70"/>
        <v>20288.309999999983</v>
      </c>
      <c r="W521" s="18">
        <f t="shared" si="71"/>
        <v>0.18266850953039102</v>
      </c>
    </row>
    <row r="522" spans="1:23" x14ac:dyDescent="0.3">
      <c r="A522" t="s">
        <v>1751</v>
      </c>
      <c r="B522" t="s">
        <v>2484</v>
      </c>
      <c r="C522" t="s">
        <v>12</v>
      </c>
      <c r="D522" t="s">
        <v>26</v>
      </c>
      <c r="E522">
        <v>822</v>
      </c>
      <c r="F522">
        <v>94.86</v>
      </c>
      <c r="G522">
        <v>90.91</v>
      </c>
      <c r="H522">
        <v>94.86</v>
      </c>
      <c r="I522">
        <v>452</v>
      </c>
      <c r="J522">
        <v>68</v>
      </c>
      <c r="K522" s="17">
        <f t="shared" si="65"/>
        <v>1024.5333333333333</v>
      </c>
      <c r="L522" t="str">
        <f t="shared" si="66"/>
        <v>High Risk</v>
      </c>
      <c r="P522" s="19">
        <f t="shared" si="67"/>
        <v>203</v>
      </c>
      <c r="R522" s="19">
        <f t="shared" si="64"/>
        <v>19256.579999999998</v>
      </c>
      <c r="T522" s="19">
        <f t="shared" si="68"/>
        <v>41091.32</v>
      </c>
      <c r="U522" s="19">
        <f t="shared" si="69"/>
        <v>42876.72</v>
      </c>
      <c r="V522" s="21">
        <f t="shared" si="70"/>
        <v>1785.4000000000015</v>
      </c>
      <c r="W522" s="18">
        <f t="shared" si="71"/>
        <v>4.3449565504344992E-2</v>
      </c>
    </row>
    <row r="523" spans="1:23" x14ac:dyDescent="0.3">
      <c r="A523" t="s">
        <v>59</v>
      </c>
      <c r="B523" t="s">
        <v>708</v>
      </c>
      <c r="C523" t="s">
        <v>37</v>
      </c>
      <c r="D523" t="s">
        <v>13</v>
      </c>
      <c r="E523">
        <v>829</v>
      </c>
      <c r="F523">
        <v>72.05</v>
      </c>
      <c r="G523">
        <v>65.5</v>
      </c>
      <c r="H523">
        <v>72.05</v>
      </c>
      <c r="I523">
        <v>3277</v>
      </c>
      <c r="J523">
        <v>25</v>
      </c>
      <c r="K523" s="17">
        <f t="shared" si="65"/>
        <v>2730.8333333333335</v>
      </c>
      <c r="L523" t="str">
        <f t="shared" si="66"/>
        <v>High Risk</v>
      </c>
      <c r="P523" s="19">
        <f t="shared" si="67"/>
        <v>1902</v>
      </c>
      <c r="R523" s="19">
        <f t="shared" si="64"/>
        <v>137039.1</v>
      </c>
      <c r="T523" s="19">
        <f t="shared" si="68"/>
        <v>214643.5</v>
      </c>
      <c r="U523" s="19">
        <f t="shared" si="69"/>
        <v>236107.84999999998</v>
      </c>
      <c r="V523" s="21">
        <f t="shared" si="70"/>
        <v>21464.349999999977</v>
      </c>
      <c r="W523" s="18">
        <f t="shared" si="71"/>
        <v>9.9999999999999895E-2</v>
      </c>
    </row>
    <row r="524" spans="1:23" x14ac:dyDescent="0.3">
      <c r="A524" t="s">
        <v>270</v>
      </c>
      <c r="B524" t="s">
        <v>1592</v>
      </c>
      <c r="C524" t="s">
        <v>12</v>
      </c>
      <c r="D524" t="s">
        <v>26</v>
      </c>
      <c r="E524">
        <v>830</v>
      </c>
      <c r="F524">
        <v>144.30000000000001</v>
      </c>
      <c r="G524">
        <v>130.15</v>
      </c>
      <c r="H524">
        <v>144.30000000000001</v>
      </c>
      <c r="I524">
        <v>1117</v>
      </c>
      <c r="J524">
        <v>8</v>
      </c>
      <c r="K524" s="17">
        <f t="shared" si="65"/>
        <v>297.86666666666667</v>
      </c>
      <c r="L524" t="str">
        <f t="shared" si="66"/>
        <v>Sufficuent Stock</v>
      </c>
      <c r="P524" s="19">
        <f t="shared" si="67"/>
        <v>0</v>
      </c>
      <c r="R524" s="19">
        <f t="shared" si="64"/>
        <v>0</v>
      </c>
      <c r="T524" s="19">
        <f t="shared" si="68"/>
        <v>145377.55000000002</v>
      </c>
      <c r="U524" s="19">
        <f t="shared" si="69"/>
        <v>161183.1</v>
      </c>
      <c r="V524" s="21">
        <f t="shared" si="70"/>
        <v>15805.549999999988</v>
      </c>
      <c r="W524" s="18">
        <f t="shared" si="71"/>
        <v>0.10872070687668066</v>
      </c>
    </row>
    <row r="525" spans="1:23" x14ac:dyDescent="0.3">
      <c r="A525" t="s">
        <v>347</v>
      </c>
      <c r="B525" t="s">
        <v>2244</v>
      </c>
      <c r="C525" t="s">
        <v>23</v>
      </c>
      <c r="D525" t="s">
        <v>20</v>
      </c>
      <c r="E525">
        <v>830</v>
      </c>
      <c r="F525">
        <v>101.47</v>
      </c>
      <c r="G525">
        <v>93.37</v>
      </c>
      <c r="H525">
        <v>101.47</v>
      </c>
      <c r="I525">
        <v>1392</v>
      </c>
      <c r="J525">
        <v>58</v>
      </c>
      <c r="K525" s="17">
        <f t="shared" si="65"/>
        <v>2691.2</v>
      </c>
      <c r="L525" t="str">
        <f t="shared" si="66"/>
        <v>High Risk</v>
      </c>
      <c r="P525" s="19">
        <f t="shared" si="67"/>
        <v>1862</v>
      </c>
      <c r="R525" s="19">
        <f t="shared" si="64"/>
        <v>188937.13999999998</v>
      </c>
      <c r="T525" s="19">
        <f t="shared" si="68"/>
        <v>129971.04000000001</v>
      </c>
      <c r="U525" s="19">
        <f t="shared" si="69"/>
        <v>141246.24</v>
      </c>
      <c r="V525" s="21">
        <f t="shared" si="70"/>
        <v>11275.199999999983</v>
      </c>
      <c r="W525" s="18">
        <f t="shared" si="71"/>
        <v>8.6751633286922855E-2</v>
      </c>
    </row>
    <row r="526" spans="1:23" x14ac:dyDescent="0.3">
      <c r="A526" t="s">
        <v>127</v>
      </c>
      <c r="B526" t="s">
        <v>2261</v>
      </c>
      <c r="C526" t="s">
        <v>16</v>
      </c>
      <c r="D526" t="s">
        <v>69</v>
      </c>
      <c r="E526">
        <v>830</v>
      </c>
      <c r="F526">
        <v>205.59</v>
      </c>
      <c r="G526">
        <v>217.01</v>
      </c>
      <c r="H526">
        <v>205.59</v>
      </c>
      <c r="I526">
        <v>3893</v>
      </c>
      <c r="J526">
        <v>89</v>
      </c>
      <c r="K526" s="17">
        <f t="shared" si="65"/>
        <v>11549.233333333335</v>
      </c>
      <c r="L526" t="str">
        <f t="shared" si="66"/>
        <v>High Risk</v>
      </c>
      <c r="P526" s="19">
        <f t="shared" si="67"/>
        <v>10720</v>
      </c>
      <c r="R526" s="19">
        <f t="shared" si="64"/>
        <v>2203924.7999999998</v>
      </c>
      <c r="T526" s="19">
        <f t="shared" si="68"/>
        <v>844819.92999999993</v>
      </c>
      <c r="U526" s="19">
        <f t="shared" si="69"/>
        <v>800361.87</v>
      </c>
      <c r="V526" s="21">
        <f t="shared" si="70"/>
        <v>-44458.059999999939</v>
      </c>
      <c r="W526" s="18">
        <f t="shared" si="71"/>
        <v>-5.2624303027510186E-2</v>
      </c>
    </row>
    <row r="527" spans="1:23" x14ac:dyDescent="0.3">
      <c r="A527" t="s">
        <v>303</v>
      </c>
      <c r="B527" t="s">
        <v>1371</v>
      </c>
      <c r="C527" t="s">
        <v>50</v>
      </c>
      <c r="D527" t="s">
        <v>13</v>
      </c>
      <c r="E527">
        <v>832</v>
      </c>
      <c r="F527">
        <v>199.94</v>
      </c>
      <c r="G527">
        <v>184.42</v>
      </c>
      <c r="H527">
        <v>199.94</v>
      </c>
      <c r="I527">
        <v>1551</v>
      </c>
      <c r="J527">
        <v>63</v>
      </c>
      <c r="K527" s="17">
        <f t="shared" si="65"/>
        <v>3257.1000000000004</v>
      </c>
      <c r="L527" t="str">
        <f t="shared" si="66"/>
        <v>High Risk</v>
      </c>
      <c r="P527" s="19">
        <f t="shared" si="67"/>
        <v>2426</v>
      </c>
      <c r="R527" s="19">
        <f t="shared" si="64"/>
        <v>485054.44</v>
      </c>
      <c r="T527" s="19">
        <f t="shared" si="68"/>
        <v>286035.42</v>
      </c>
      <c r="U527" s="19">
        <f t="shared" si="69"/>
        <v>310106.94</v>
      </c>
      <c r="V527" s="21">
        <f t="shared" si="70"/>
        <v>24071.520000000019</v>
      </c>
      <c r="W527" s="18">
        <f t="shared" si="71"/>
        <v>8.4155731482485702E-2</v>
      </c>
    </row>
    <row r="528" spans="1:23" x14ac:dyDescent="0.3">
      <c r="A528" t="s">
        <v>338</v>
      </c>
      <c r="B528" t="s">
        <v>3373</v>
      </c>
      <c r="C528" t="s">
        <v>12</v>
      </c>
      <c r="D528" t="s">
        <v>17</v>
      </c>
      <c r="E528">
        <v>833</v>
      </c>
      <c r="F528">
        <v>43.23</v>
      </c>
      <c r="G528">
        <v>46.5</v>
      </c>
      <c r="H528">
        <v>43.23</v>
      </c>
      <c r="I528">
        <v>2526</v>
      </c>
      <c r="J528">
        <v>5</v>
      </c>
      <c r="K528" s="17">
        <f t="shared" si="65"/>
        <v>421</v>
      </c>
      <c r="L528" t="str">
        <f t="shared" si="66"/>
        <v>Sufficuent Stock</v>
      </c>
      <c r="P528" s="19">
        <f t="shared" si="67"/>
        <v>0</v>
      </c>
      <c r="R528" s="19">
        <f t="shared" si="64"/>
        <v>0</v>
      </c>
      <c r="T528" s="19">
        <f t="shared" si="68"/>
        <v>117459</v>
      </c>
      <c r="U528" s="19">
        <f t="shared" si="69"/>
        <v>109198.98</v>
      </c>
      <c r="V528" s="21">
        <f t="shared" si="70"/>
        <v>-8260.0200000000041</v>
      </c>
      <c r="W528" s="18">
        <f t="shared" si="71"/>
        <v>-7.0322580645161323E-2</v>
      </c>
    </row>
    <row r="529" spans="1:23" x14ac:dyDescent="0.3">
      <c r="A529" t="s">
        <v>222</v>
      </c>
      <c r="B529" t="s">
        <v>2901</v>
      </c>
      <c r="C529" t="s">
        <v>23</v>
      </c>
      <c r="D529" t="s">
        <v>20</v>
      </c>
      <c r="E529">
        <v>834</v>
      </c>
      <c r="F529">
        <v>177.41</v>
      </c>
      <c r="G529">
        <v>191.5</v>
      </c>
      <c r="H529">
        <v>177.41</v>
      </c>
      <c r="I529">
        <v>1545</v>
      </c>
      <c r="J529">
        <v>9</v>
      </c>
      <c r="K529" s="17">
        <f t="shared" si="65"/>
        <v>463.5</v>
      </c>
      <c r="L529" t="str">
        <f t="shared" si="66"/>
        <v>Sufficuent Stock</v>
      </c>
      <c r="P529" s="19">
        <f t="shared" si="67"/>
        <v>0</v>
      </c>
      <c r="R529" s="19">
        <f t="shared" si="64"/>
        <v>0</v>
      </c>
      <c r="T529" s="19">
        <f t="shared" si="68"/>
        <v>295867.5</v>
      </c>
      <c r="U529" s="19">
        <f t="shared" si="69"/>
        <v>274098.45</v>
      </c>
      <c r="V529" s="21">
        <f t="shared" si="70"/>
        <v>-21769.049999999988</v>
      </c>
      <c r="W529" s="18">
        <f t="shared" si="71"/>
        <v>-7.357702349869448E-2</v>
      </c>
    </row>
    <row r="530" spans="1:23" x14ac:dyDescent="0.3">
      <c r="A530" t="s">
        <v>449</v>
      </c>
      <c r="B530" t="s">
        <v>2100</v>
      </c>
      <c r="C530" t="s">
        <v>23</v>
      </c>
      <c r="D530" t="s">
        <v>17</v>
      </c>
      <c r="E530">
        <v>836</v>
      </c>
      <c r="F530">
        <v>445.71</v>
      </c>
      <c r="G530">
        <v>454.32</v>
      </c>
      <c r="H530">
        <v>445.71</v>
      </c>
      <c r="I530">
        <v>834</v>
      </c>
      <c r="J530">
        <v>8</v>
      </c>
      <c r="K530" s="17">
        <f t="shared" si="65"/>
        <v>222.4</v>
      </c>
      <c r="L530" t="str">
        <f t="shared" si="66"/>
        <v>Sufficuent Stock</v>
      </c>
      <c r="P530" s="19">
        <f t="shared" si="67"/>
        <v>0</v>
      </c>
      <c r="R530" s="19">
        <f t="shared" si="64"/>
        <v>0</v>
      </c>
      <c r="T530" s="19">
        <f t="shared" si="68"/>
        <v>378902.88</v>
      </c>
      <c r="U530" s="19">
        <f t="shared" si="69"/>
        <v>371722.13999999996</v>
      </c>
      <c r="V530" s="21">
        <f t="shared" si="70"/>
        <v>-7180.7400000000489</v>
      </c>
      <c r="W530" s="18">
        <f t="shared" si="71"/>
        <v>-1.8951399894347725E-2</v>
      </c>
    </row>
    <row r="531" spans="1:23" x14ac:dyDescent="0.3">
      <c r="A531" t="s">
        <v>737</v>
      </c>
      <c r="B531" t="s">
        <v>1946</v>
      </c>
      <c r="C531" t="s">
        <v>12</v>
      </c>
      <c r="D531" t="s">
        <v>26</v>
      </c>
      <c r="E531">
        <v>838</v>
      </c>
      <c r="F531">
        <v>173.53</v>
      </c>
      <c r="G531">
        <v>176.78</v>
      </c>
      <c r="H531">
        <v>173.53</v>
      </c>
      <c r="I531">
        <v>2859</v>
      </c>
      <c r="J531">
        <v>75</v>
      </c>
      <c r="K531" s="17">
        <f t="shared" si="65"/>
        <v>7147.5</v>
      </c>
      <c r="L531" t="str">
        <f t="shared" si="66"/>
        <v>High Risk</v>
      </c>
      <c r="P531" s="19">
        <f t="shared" si="67"/>
        <v>6310</v>
      </c>
      <c r="R531" s="19">
        <f t="shared" si="64"/>
        <v>1094974.3</v>
      </c>
      <c r="T531" s="19">
        <f t="shared" si="68"/>
        <v>505414.02</v>
      </c>
      <c r="U531" s="19">
        <f t="shared" si="69"/>
        <v>496122.27</v>
      </c>
      <c r="V531" s="21">
        <f t="shared" si="70"/>
        <v>-9291.75</v>
      </c>
      <c r="W531" s="18">
        <f t="shared" si="71"/>
        <v>-1.8384432628125353E-2</v>
      </c>
    </row>
    <row r="532" spans="1:23" x14ac:dyDescent="0.3">
      <c r="A532" t="s">
        <v>549</v>
      </c>
      <c r="B532" t="s">
        <v>1859</v>
      </c>
      <c r="C532" t="s">
        <v>37</v>
      </c>
      <c r="D532" t="s">
        <v>26</v>
      </c>
      <c r="E532">
        <v>839</v>
      </c>
      <c r="F532">
        <v>349.8</v>
      </c>
      <c r="G532">
        <v>293.5</v>
      </c>
      <c r="H532">
        <v>349.8</v>
      </c>
      <c r="I532">
        <v>3299</v>
      </c>
      <c r="J532">
        <v>50</v>
      </c>
      <c r="K532" s="17">
        <f t="shared" si="65"/>
        <v>5498.333333333333</v>
      </c>
      <c r="L532" t="str">
        <f t="shared" si="66"/>
        <v>High Risk</v>
      </c>
      <c r="P532" s="19">
        <f t="shared" si="67"/>
        <v>4660</v>
      </c>
      <c r="R532" s="19">
        <f t="shared" si="64"/>
        <v>1630068</v>
      </c>
      <c r="T532" s="19">
        <f t="shared" si="68"/>
        <v>968256.5</v>
      </c>
      <c r="U532" s="19">
        <f t="shared" si="69"/>
        <v>1153990.2</v>
      </c>
      <c r="V532" s="21">
        <f t="shared" si="70"/>
        <v>185733.69999999995</v>
      </c>
      <c r="W532" s="18">
        <f t="shared" si="71"/>
        <v>0.19182282793867117</v>
      </c>
    </row>
    <row r="533" spans="1:23" x14ac:dyDescent="0.3">
      <c r="A533" t="s">
        <v>1010</v>
      </c>
      <c r="B533" t="s">
        <v>2844</v>
      </c>
      <c r="C533" t="s">
        <v>37</v>
      </c>
      <c r="D533" t="s">
        <v>17</v>
      </c>
      <c r="E533">
        <v>839</v>
      </c>
      <c r="F533">
        <v>140.91</v>
      </c>
      <c r="G533">
        <v>156.30000000000001</v>
      </c>
      <c r="H533">
        <v>140.91</v>
      </c>
      <c r="I533">
        <v>3961</v>
      </c>
      <c r="J533">
        <v>21</v>
      </c>
      <c r="K533" s="17">
        <f t="shared" si="65"/>
        <v>2772.7</v>
      </c>
      <c r="L533" t="str">
        <f t="shared" si="66"/>
        <v>High Risk</v>
      </c>
      <c r="P533" s="19">
        <f t="shared" si="67"/>
        <v>1934</v>
      </c>
      <c r="R533" s="19">
        <f t="shared" si="64"/>
        <v>272519.94</v>
      </c>
      <c r="T533" s="19">
        <f t="shared" si="68"/>
        <v>619104.30000000005</v>
      </c>
      <c r="U533" s="19">
        <f t="shared" si="69"/>
        <v>558144.51</v>
      </c>
      <c r="V533" s="21">
        <f t="shared" si="70"/>
        <v>-60959.790000000037</v>
      </c>
      <c r="W533" s="18">
        <f t="shared" si="71"/>
        <v>-9.8464491362763973E-2</v>
      </c>
    </row>
    <row r="534" spans="1:23" x14ac:dyDescent="0.3">
      <c r="A534" t="s">
        <v>134</v>
      </c>
      <c r="B534" t="s">
        <v>1318</v>
      </c>
      <c r="C534" t="s">
        <v>37</v>
      </c>
      <c r="D534" t="s">
        <v>20</v>
      </c>
      <c r="E534">
        <v>841</v>
      </c>
      <c r="F534">
        <v>288.58</v>
      </c>
      <c r="G534">
        <v>283.17</v>
      </c>
      <c r="H534">
        <v>288.58</v>
      </c>
      <c r="I534">
        <v>3365</v>
      </c>
      <c r="J534">
        <v>17</v>
      </c>
      <c r="K534" s="17">
        <f t="shared" si="65"/>
        <v>1906.8333333333335</v>
      </c>
      <c r="L534" t="str">
        <f t="shared" si="66"/>
        <v>High Risk</v>
      </c>
      <c r="P534" s="19">
        <f t="shared" si="67"/>
        <v>1066</v>
      </c>
      <c r="R534" s="19">
        <f t="shared" si="64"/>
        <v>307626.27999999997</v>
      </c>
      <c r="T534" s="19">
        <f t="shared" si="68"/>
        <v>952867.05</v>
      </c>
      <c r="U534" s="19">
        <f t="shared" si="69"/>
        <v>971071.7</v>
      </c>
      <c r="V534" s="21">
        <f t="shared" si="70"/>
        <v>18204.649999999907</v>
      </c>
      <c r="W534" s="18">
        <f t="shared" si="71"/>
        <v>1.9105131193276025E-2</v>
      </c>
    </row>
    <row r="535" spans="1:23" x14ac:dyDescent="0.3">
      <c r="A535" t="s">
        <v>340</v>
      </c>
      <c r="B535" t="s">
        <v>981</v>
      </c>
      <c r="C535" t="s">
        <v>37</v>
      </c>
      <c r="D535" t="s">
        <v>17</v>
      </c>
      <c r="E535">
        <v>841</v>
      </c>
      <c r="F535">
        <v>192.25</v>
      </c>
      <c r="G535">
        <v>160.32</v>
      </c>
      <c r="H535">
        <v>192.25</v>
      </c>
      <c r="I535">
        <v>367</v>
      </c>
      <c r="J535">
        <v>19</v>
      </c>
      <c r="K535" s="17">
        <f t="shared" si="65"/>
        <v>232.43333333333331</v>
      </c>
      <c r="L535" t="str">
        <f t="shared" si="66"/>
        <v>Sufficuent Stock</v>
      </c>
      <c r="P535" s="19">
        <f t="shared" si="67"/>
        <v>0</v>
      </c>
      <c r="R535" s="19">
        <f t="shared" si="64"/>
        <v>0</v>
      </c>
      <c r="T535" s="19">
        <f t="shared" si="68"/>
        <v>58837.439999999995</v>
      </c>
      <c r="U535" s="19">
        <f t="shared" si="69"/>
        <v>70555.75</v>
      </c>
      <c r="V535" s="21">
        <f t="shared" si="70"/>
        <v>11718.310000000005</v>
      </c>
      <c r="W535" s="18">
        <f t="shared" si="71"/>
        <v>0.19916417165668673</v>
      </c>
    </row>
    <row r="536" spans="1:23" x14ac:dyDescent="0.3">
      <c r="A536" t="s">
        <v>615</v>
      </c>
      <c r="B536" t="s">
        <v>729</v>
      </c>
      <c r="C536" t="s">
        <v>50</v>
      </c>
      <c r="D536" t="s">
        <v>13</v>
      </c>
      <c r="E536">
        <v>843</v>
      </c>
      <c r="F536">
        <v>449.89</v>
      </c>
      <c r="G536">
        <v>393.54</v>
      </c>
      <c r="H536">
        <v>449.89</v>
      </c>
      <c r="I536">
        <v>2504</v>
      </c>
      <c r="J536">
        <v>49</v>
      </c>
      <c r="K536" s="17">
        <f t="shared" si="65"/>
        <v>4089.8666666666668</v>
      </c>
      <c r="L536" t="str">
        <f t="shared" si="66"/>
        <v>High Risk</v>
      </c>
      <c r="P536" s="19">
        <f t="shared" si="67"/>
        <v>3247</v>
      </c>
      <c r="R536" s="19">
        <f t="shared" si="64"/>
        <v>1460792.8299999998</v>
      </c>
      <c r="T536" s="19">
        <f t="shared" si="68"/>
        <v>985424.16</v>
      </c>
      <c r="U536" s="19">
        <f t="shared" si="69"/>
        <v>1126524.56</v>
      </c>
      <c r="V536" s="21">
        <f t="shared" si="70"/>
        <v>141100.40000000002</v>
      </c>
      <c r="W536" s="18">
        <f t="shared" si="71"/>
        <v>0.14318747776591961</v>
      </c>
    </row>
    <row r="537" spans="1:23" x14ac:dyDescent="0.3">
      <c r="A537" t="s">
        <v>1375</v>
      </c>
      <c r="B537" t="s">
        <v>3042</v>
      </c>
      <c r="C537" t="s">
        <v>50</v>
      </c>
      <c r="D537" t="s">
        <v>69</v>
      </c>
      <c r="E537">
        <v>844</v>
      </c>
      <c r="F537">
        <v>296.85000000000002</v>
      </c>
      <c r="G537">
        <v>314.54000000000002</v>
      </c>
      <c r="H537">
        <v>296.85000000000002</v>
      </c>
      <c r="I537">
        <v>2208</v>
      </c>
      <c r="J537">
        <v>23</v>
      </c>
      <c r="K537" s="17">
        <f t="shared" si="65"/>
        <v>1692.8</v>
      </c>
      <c r="L537" t="str">
        <f t="shared" si="66"/>
        <v>High Risk</v>
      </c>
      <c r="P537" s="19">
        <f t="shared" si="67"/>
        <v>849</v>
      </c>
      <c r="R537" s="19">
        <f t="shared" si="64"/>
        <v>252025.65000000002</v>
      </c>
      <c r="T537" s="19">
        <f t="shared" si="68"/>
        <v>694504.32000000007</v>
      </c>
      <c r="U537" s="19">
        <f t="shared" si="69"/>
        <v>655444.80000000005</v>
      </c>
      <c r="V537" s="21">
        <f t="shared" si="70"/>
        <v>-39059.520000000019</v>
      </c>
      <c r="W537" s="18">
        <f t="shared" si="71"/>
        <v>-5.624085966808675E-2</v>
      </c>
    </row>
    <row r="538" spans="1:23" x14ac:dyDescent="0.3">
      <c r="A538" t="s">
        <v>737</v>
      </c>
      <c r="B538" t="s">
        <v>1971</v>
      </c>
      <c r="C538" t="s">
        <v>37</v>
      </c>
      <c r="D538" t="s">
        <v>26</v>
      </c>
      <c r="E538">
        <v>844</v>
      </c>
      <c r="F538">
        <v>360.94</v>
      </c>
      <c r="G538">
        <v>339.73</v>
      </c>
      <c r="H538">
        <v>360.94</v>
      </c>
      <c r="I538">
        <v>3853</v>
      </c>
      <c r="J538">
        <v>25</v>
      </c>
      <c r="K538" s="17">
        <f t="shared" si="65"/>
        <v>3210.8333333333335</v>
      </c>
      <c r="L538" t="str">
        <f t="shared" si="66"/>
        <v>High Risk</v>
      </c>
      <c r="P538" s="19">
        <f t="shared" si="67"/>
        <v>2367</v>
      </c>
      <c r="R538" s="19">
        <f t="shared" si="64"/>
        <v>854344.98</v>
      </c>
      <c r="T538" s="19">
        <f t="shared" si="68"/>
        <v>1308979.6900000002</v>
      </c>
      <c r="U538" s="19">
        <f t="shared" si="69"/>
        <v>1390701.82</v>
      </c>
      <c r="V538" s="21">
        <f t="shared" si="70"/>
        <v>81722.129999999888</v>
      </c>
      <c r="W538" s="18">
        <f t="shared" si="71"/>
        <v>6.2431931239513641E-2</v>
      </c>
    </row>
    <row r="539" spans="1:23" x14ac:dyDescent="0.3">
      <c r="A539" t="s">
        <v>115</v>
      </c>
      <c r="B539" t="s">
        <v>1494</v>
      </c>
      <c r="C539" t="s">
        <v>37</v>
      </c>
      <c r="D539" t="s">
        <v>13</v>
      </c>
      <c r="E539">
        <v>844</v>
      </c>
      <c r="F539">
        <v>358.46</v>
      </c>
      <c r="G539">
        <v>306.51</v>
      </c>
      <c r="H539">
        <v>358.46</v>
      </c>
      <c r="I539">
        <v>3688</v>
      </c>
      <c r="J539">
        <v>16</v>
      </c>
      <c r="K539" s="17">
        <f t="shared" si="65"/>
        <v>1966.9333333333334</v>
      </c>
      <c r="L539" t="str">
        <f t="shared" si="66"/>
        <v>High Risk</v>
      </c>
      <c r="P539" s="19">
        <f t="shared" si="67"/>
        <v>1123</v>
      </c>
      <c r="R539" s="19">
        <f t="shared" si="64"/>
        <v>402550.57999999996</v>
      </c>
      <c r="T539" s="19">
        <f t="shared" si="68"/>
        <v>1130408.8799999999</v>
      </c>
      <c r="U539" s="19">
        <f t="shared" si="69"/>
        <v>1322000.48</v>
      </c>
      <c r="V539" s="21">
        <f t="shared" si="70"/>
        <v>191591.60000000009</v>
      </c>
      <c r="W539" s="18">
        <f t="shared" si="71"/>
        <v>0.16948876056246134</v>
      </c>
    </row>
    <row r="540" spans="1:23" x14ac:dyDescent="0.3">
      <c r="A540" t="s">
        <v>751</v>
      </c>
      <c r="B540" t="s">
        <v>1041</v>
      </c>
      <c r="C540" t="s">
        <v>12</v>
      </c>
      <c r="D540" t="s">
        <v>26</v>
      </c>
      <c r="E540">
        <v>845</v>
      </c>
      <c r="F540">
        <v>256.68</v>
      </c>
      <c r="G540">
        <v>226.09</v>
      </c>
      <c r="H540">
        <v>256.68</v>
      </c>
      <c r="I540">
        <v>3246</v>
      </c>
      <c r="J540">
        <v>8</v>
      </c>
      <c r="K540" s="17">
        <f t="shared" si="65"/>
        <v>865.6</v>
      </c>
      <c r="L540" t="str">
        <f t="shared" si="66"/>
        <v>High Risk</v>
      </c>
      <c r="P540" s="19">
        <f t="shared" si="67"/>
        <v>21</v>
      </c>
      <c r="R540" s="19">
        <f t="shared" si="64"/>
        <v>5390.28</v>
      </c>
      <c r="T540" s="19">
        <f t="shared" si="68"/>
        <v>733888.14</v>
      </c>
      <c r="U540" s="19">
        <f t="shared" si="69"/>
        <v>833183.28</v>
      </c>
      <c r="V540" s="21">
        <f t="shared" si="70"/>
        <v>99295.140000000014</v>
      </c>
      <c r="W540" s="18">
        <f t="shared" si="71"/>
        <v>0.13530010172939982</v>
      </c>
    </row>
    <row r="541" spans="1:23" x14ac:dyDescent="0.3">
      <c r="A541" t="s">
        <v>256</v>
      </c>
      <c r="B541" t="s">
        <v>2692</v>
      </c>
      <c r="C541" t="s">
        <v>23</v>
      </c>
      <c r="D541" t="s">
        <v>17</v>
      </c>
      <c r="E541">
        <v>847</v>
      </c>
      <c r="F541">
        <v>283.95</v>
      </c>
      <c r="G541">
        <v>250.18</v>
      </c>
      <c r="H541">
        <v>283.95</v>
      </c>
      <c r="I541">
        <v>2203</v>
      </c>
      <c r="J541">
        <v>56</v>
      </c>
      <c r="K541" s="17">
        <f t="shared" si="65"/>
        <v>4112.2666666666664</v>
      </c>
      <c r="L541" t="str">
        <f t="shared" si="66"/>
        <v>High Risk</v>
      </c>
      <c r="P541" s="19">
        <f t="shared" si="67"/>
        <v>3266</v>
      </c>
      <c r="R541" s="19">
        <f t="shared" si="64"/>
        <v>927380.7</v>
      </c>
      <c r="T541" s="19">
        <f t="shared" si="68"/>
        <v>551146.54</v>
      </c>
      <c r="U541" s="19">
        <f t="shared" si="69"/>
        <v>625541.85</v>
      </c>
      <c r="V541" s="21">
        <f t="shared" si="70"/>
        <v>74395.309999999939</v>
      </c>
      <c r="W541" s="18">
        <f t="shared" si="71"/>
        <v>0.13498281237508983</v>
      </c>
    </row>
    <row r="542" spans="1:23" x14ac:dyDescent="0.3">
      <c r="A542" t="s">
        <v>395</v>
      </c>
      <c r="B542" t="s">
        <v>2183</v>
      </c>
      <c r="C542" t="s">
        <v>37</v>
      </c>
      <c r="D542" t="s">
        <v>26</v>
      </c>
      <c r="E542">
        <v>848</v>
      </c>
      <c r="F542">
        <v>270.47000000000003</v>
      </c>
      <c r="G542">
        <v>244.02</v>
      </c>
      <c r="H542">
        <v>270.47000000000003</v>
      </c>
      <c r="I542">
        <v>1121</v>
      </c>
      <c r="J542">
        <v>31</v>
      </c>
      <c r="K542" s="17">
        <f t="shared" si="65"/>
        <v>1158.3666666666668</v>
      </c>
      <c r="L542" t="str">
        <f t="shared" si="66"/>
        <v>High Risk</v>
      </c>
      <c r="P542" s="19">
        <f t="shared" si="67"/>
        <v>311</v>
      </c>
      <c r="R542" s="19">
        <f t="shared" si="64"/>
        <v>84116.170000000013</v>
      </c>
      <c r="T542" s="19">
        <f t="shared" si="68"/>
        <v>273546.42</v>
      </c>
      <c r="U542" s="19">
        <f t="shared" si="69"/>
        <v>303196.87000000005</v>
      </c>
      <c r="V542" s="21">
        <f t="shared" si="70"/>
        <v>29650.45000000007</v>
      </c>
      <c r="W542" s="18">
        <f t="shared" si="71"/>
        <v>0.10839275469223861</v>
      </c>
    </row>
    <row r="543" spans="1:23" x14ac:dyDescent="0.3">
      <c r="A543" t="s">
        <v>125</v>
      </c>
      <c r="B543" t="s">
        <v>1785</v>
      </c>
      <c r="C543" t="s">
        <v>16</v>
      </c>
      <c r="D543" t="s">
        <v>20</v>
      </c>
      <c r="E543">
        <v>848</v>
      </c>
      <c r="F543">
        <v>403.24</v>
      </c>
      <c r="G543">
        <v>407.94</v>
      </c>
      <c r="H543">
        <v>403.24</v>
      </c>
      <c r="I543">
        <v>115</v>
      </c>
      <c r="J543">
        <v>20</v>
      </c>
      <c r="K543" s="17">
        <f t="shared" si="65"/>
        <v>76.666666666666671</v>
      </c>
      <c r="L543" t="str">
        <f t="shared" si="66"/>
        <v>Sufficuent Stock</v>
      </c>
      <c r="P543" s="19">
        <f t="shared" si="67"/>
        <v>0</v>
      </c>
      <c r="R543" s="19">
        <f t="shared" si="64"/>
        <v>0</v>
      </c>
      <c r="T543" s="19">
        <f t="shared" si="68"/>
        <v>46913.1</v>
      </c>
      <c r="U543" s="19">
        <f t="shared" si="69"/>
        <v>46372.6</v>
      </c>
      <c r="V543" s="21">
        <f t="shared" si="70"/>
        <v>-540.5</v>
      </c>
      <c r="W543" s="18">
        <f t="shared" si="71"/>
        <v>-1.1521302152277296E-2</v>
      </c>
    </row>
    <row r="544" spans="1:23" x14ac:dyDescent="0.3">
      <c r="A544" t="s">
        <v>879</v>
      </c>
      <c r="B544" t="s">
        <v>880</v>
      </c>
      <c r="C544" t="s">
        <v>37</v>
      </c>
      <c r="D544" t="s">
        <v>13</v>
      </c>
      <c r="E544">
        <v>849</v>
      </c>
      <c r="F544">
        <v>93.11</v>
      </c>
      <c r="G544">
        <v>82.17</v>
      </c>
      <c r="H544">
        <v>93.11</v>
      </c>
      <c r="I544">
        <v>2749</v>
      </c>
      <c r="J544">
        <v>70</v>
      </c>
      <c r="K544" s="17">
        <f t="shared" si="65"/>
        <v>6414.3333333333339</v>
      </c>
      <c r="L544" t="str">
        <f t="shared" si="66"/>
        <v>High Risk</v>
      </c>
      <c r="P544" s="19">
        <f t="shared" si="67"/>
        <v>5566</v>
      </c>
      <c r="R544" s="19">
        <f t="shared" si="64"/>
        <v>518250.26</v>
      </c>
      <c r="T544" s="19">
        <f t="shared" si="68"/>
        <v>225885.33000000002</v>
      </c>
      <c r="U544" s="19">
        <f t="shared" si="69"/>
        <v>255959.38999999998</v>
      </c>
      <c r="V544" s="21">
        <f t="shared" si="70"/>
        <v>30074.059999999969</v>
      </c>
      <c r="W544" s="18">
        <f t="shared" si="71"/>
        <v>0.13313861506632577</v>
      </c>
    </row>
    <row r="545" spans="1:23" x14ac:dyDescent="0.3">
      <c r="A545" t="s">
        <v>253</v>
      </c>
      <c r="B545" t="s">
        <v>1284</v>
      </c>
      <c r="C545" t="s">
        <v>16</v>
      </c>
      <c r="D545" t="s">
        <v>20</v>
      </c>
      <c r="E545">
        <v>851</v>
      </c>
      <c r="F545">
        <v>267.57</v>
      </c>
      <c r="G545">
        <v>232.88</v>
      </c>
      <c r="H545">
        <v>267.57</v>
      </c>
      <c r="I545">
        <v>3530</v>
      </c>
      <c r="J545">
        <v>79</v>
      </c>
      <c r="K545" s="17">
        <f t="shared" si="65"/>
        <v>9295.6666666666679</v>
      </c>
      <c r="L545" t="str">
        <f t="shared" si="66"/>
        <v>High Risk</v>
      </c>
      <c r="P545" s="19">
        <f t="shared" si="67"/>
        <v>8445</v>
      </c>
      <c r="R545" s="19">
        <f t="shared" si="64"/>
        <v>2259628.65</v>
      </c>
      <c r="T545" s="19">
        <f t="shared" si="68"/>
        <v>822066.4</v>
      </c>
      <c r="U545" s="19">
        <f t="shared" si="69"/>
        <v>944522.1</v>
      </c>
      <c r="V545" s="21">
        <f t="shared" si="70"/>
        <v>122455.69999999995</v>
      </c>
      <c r="W545" s="18">
        <f t="shared" si="71"/>
        <v>0.14896083819993122</v>
      </c>
    </row>
    <row r="546" spans="1:23" x14ac:dyDescent="0.3">
      <c r="A546" t="s">
        <v>796</v>
      </c>
      <c r="B546" t="s">
        <v>1258</v>
      </c>
      <c r="C546" t="s">
        <v>37</v>
      </c>
      <c r="D546" t="s">
        <v>13</v>
      </c>
      <c r="E546">
        <v>857</v>
      </c>
      <c r="F546">
        <v>299.02</v>
      </c>
      <c r="G546">
        <v>319.3</v>
      </c>
      <c r="H546">
        <v>299.02</v>
      </c>
      <c r="I546">
        <v>926</v>
      </c>
      <c r="J546">
        <v>18</v>
      </c>
      <c r="K546" s="17">
        <f t="shared" si="65"/>
        <v>555.6</v>
      </c>
      <c r="L546" t="str">
        <f t="shared" si="66"/>
        <v>Sufficuent Stock</v>
      </c>
      <c r="P546" s="19">
        <f t="shared" si="67"/>
        <v>0</v>
      </c>
      <c r="R546" s="19">
        <f t="shared" si="64"/>
        <v>0</v>
      </c>
      <c r="T546" s="19">
        <f t="shared" si="68"/>
        <v>295671.8</v>
      </c>
      <c r="U546" s="19">
        <f t="shared" si="69"/>
        <v>276892.51999999996</v>
      </c>
      <c r="V546" s="21">
        <f t="shared" si="70"/>
        <v>-18779.280000000028</v>
      </c>
      <c r="W546" s="18">
        <f t="shared" si="71"/>
        <v>-6.3513936736611432E-2</v>
      </c>
    </row>
    <row r="547" spans="1:23" x14ac:dyDescent="0.3">
      <c r="A547" t="s">
        <v>123</v>
      </c>
      <c r="B547" t="s">
        <v>265</v>
      </c>
      <c r="C547" t="s">
        <v>23</v>
      </c>
      <c r="D547" t="s">
        <v>13</v>
      </c>
      <c r="E547">
        <v>860</v>
      </c>
      <c r="F547">
        <v>83.64</v>
      </c>
      <c r="G547">
        <v>74.66</v>
      </c>
      <c r="H547">
        <v>83.64</v>
      </c>
      <c r="I547">
        <v>3408</v>
      </c>
      <c r="J547">
        <v>38</v>
      </c>
      <c r="K547" s="17">
        <f t="shared" si="65"/>
        <v>4316.8</v>
      </c>
      <c r="L547" t="str">
        <f t="shared" si="66"/>
        <v>High Risk</v>
      </c>
      <c r="P547" s="19">
        <f t="shared" si="67"/>
        <v>3457</v>
      </c>
      <c r="R547" s="19">
        <f t="shared" si="64"/>
        <v>289143.48</v>
      </c>
      <c r="T547" s="19">
        <f t="shared" si="68"/>
        <v>254441.28</v>
      </c>
      <c r="U547" s="19">
        <f t="shared" si="69"/>
        <v>285045.12</v>
      </c>
      <c r="V547" s="21">
        <f t="shared" si="70"/>
        <v>30603.839999999997</v>
      </c>
      <c r="W547" s="18">
        <f t="shared" si="71"/>
        <v>0.12027859630324135</v>
      </c>
    </row>
    <row r="548" spans="1:23" x14ac:dyDescent="0.3">
      <c r="A548" t="s">
        <v>398</v>
      </c>
      <c r="B548" t="s">
        <v>1502</v>
      </c>
      <c r="C548" t="s">
        <v>16</v>
      </c>
      <c r="D548" t="s">
        <v>13</v>
      </c>
      <c r="E548">
        <v>860</v>
      </c>
      <c r="F548">
        <v>415.64</v>
      </c>
      <c r="G548">
        <v>404.4</v>
      </c>
      <c r="H548">
        <v>415.64</v>
      </c>
      <c r="I548">
        <v>2100</v>
      </c>
      <c r="J548">
        <v>70</v>
      </c>
      <c r="K548" s="17">
        <f t="shared" si="65"/>
        <v>4900</v>
      </c>
      <c r="L548" t="str">
        <f t="shared" si="66"/>
        <v>High Risk</v>
      </c>
      <c r="P548" s="19">
        <f t="shared" si="67"/>
        <v>4040</v>
      </c>
      <c r="R548" s="19">
        <f t="shared" si="64"/>
        <v>1679185.5999999999</v>
      </c>
      <c r="T548" s="19">
        <f t="shared" si="68"/>
        <v>849240</v>
      </c>
      <c r="U548" s="19">
        <f t="shared" si="69"/>
        <v>872844</v>
      </c>
      <c r="V548" s="21">
        <f t="shared" si="70"/>
        <v>23604</v>
      </c>
      <c r="W548" s="18">
        <f t="shared" si="71"/>
        <v>2.7794263105835805E-2</v>
      </c>
    </row>
    <row r="549" spans="1:23" x14ac:dyDescent="0.3">
      <c r="A549" t="s">
        <v>743</v>
      </c>
      <c r="B549" t="s">
        <v>744</v>
      </c>
      <c r="C549" t="s">
        <v>23</v>
      </c>
      <c r="D549" t="s">
        <v>20</v>
      </c>
      <c r="E549">
        <v>860</v>
      </c>
      <c r="F549">
        <v>192.3</v>
      </c>
      <c r="G549">
        <v>204.36</v>
      </c>
      <c r="H549">
        <v>192.3</v>
      </c>
      <c r="I549">
        <v>1656</v>
      </c>
      <c r="J549">
        <v>20</v>
      </c>
      <c r="K549" s="17">
        <f t="shared" si="65"/>
        <v>1104</v>
      </c>
      <c r="L549" t="str">
        <f t="shared" si="66"/>
        <v>High Risk</v>
      </c>
      <c r="P549" s="19">
        <f t="shared" si="67"/>
        <v>244</v>
      </c>
      <c r="R549" s="19">
        <f t="shared" si="64"/>
        <v>46921.200000000004</v>
      </c>
      <c r="T549" s="19">
        <f t="shared" si="68"/>
        <v>338420.16000000003</v>
      </c>
      <c r="U549" s="19">
        <f t="shared" si="69"/>
        <v>318448.80000000005</v>
      </c>
      <c r="V549" s="21">
        <f t="shared" si="70"/>
        <v>-19971.359999999986</v>
      </c>
      <c r="W549" s="18">
        <f t="shared" si="71"/>
        <v>-5.901350557839103E-2</v>
      </c>
    </row>
    <row r="550" spans="1:23" x14ac:dyDescent="0.3">
      <c r="A550" t="s">
        <v>1102</v>
      </c>
      <c r="B550" t="s">
        <v>1528</v>
      </c>
      <c r="C550" t="s">
        <v>16</v>
      </c>
      <c r="D550" t="s">
        <v>17</v>
      </c>
      <c r="E550">
        <v>861</v>
      </c>
      <c r="F550">
        <v>482.4</v>
      </c>
      <c r="G550">
        <v>498.33</v>
      </c>
      <c r="H550">
        <v>482.4</v>
      </c>
      <c r="I550">
        <v>2565</v>
      </c>
      <c r="J550">
        <v>16</v>
      </c>
      <c r="K550" s="17">
        <f t="shared" si="65"/>
        <v>1368</v>
      </c>
      <c r="L550" t="str">
        <f t="shared" si="66"/>
        <v>High Risk</v>
      </c>
      <c r="P550" s="19">
        <f t="shared" si="67"/>
        <v>507</v>
      </c>
      <c r="R550" s="19">
        <f t="shared" si="64"/>
        <v>244576.8</v>
      </c>
      <c r="T550" s="19">
        <f t="shared" si="68"/>
        <v>1278216.45</v>
      </c>
      <c r="U550" s="19">
        <f t="shared" si="69"/>
        <v>1237356</v>
      </c>
      <c r="V550" s="21">
        <f t="shared" si="70"/>
        <v>-40860.449999999953</v>
      </c>
      <c r="W550" s="18">
        <f t="shared" si="71"/>
        <v>-3.1966769008488313E-2</v>
      </c>
    </row>
    <row r="551" spans="1:23" x14ac:dyDescent="0.3">
      <c r="A551" t="s">
        <v>1113</v>
      </c>
      <c r="B551" t="s">
        <v>2820</v>
      </c>
      <c r="C551" t="s">
        <v>16</v>
      </c>
      <c r="D551" t="s">
        <v>69</v>
      </c>
      <c r="E551">
        <v>861</v>
      </c>
      <c r="F551">
        <v>235.39</v>
      </c>
      <c r="G551">
        <v>219.19</v>
      </c>
      <c r="H551">
        <v>235.39</v>
      </c>
      <c r="I551">
        <v>1674</v>
      </c>
      <c r="J551">
        <v>40</v>
      </c>
      <c r="K551" s="17">
        <f t="shared" si="65"/>
        <v>2232</v>
      </c>
      <c r="L551" t="str">
        <f t="shared" si="66"/>
        <v>High Risk</v>
      </c>
      <c r="P551" s="19">
        <f t="shared" si="67"/>
        <v>1371</v>
      </c>
      <c r="R551" s="19">
        <f t="shared" si="64"/>
        <v>322719.69</v>
      </c>
      <c r="T551" s="19">
        <f t="shared" si="68"/>
        <v>366924.06</v>
      </c>
      <c r="U551" s="19">
        <f t="shared" si="69"/>
        <v>394042.86</v>
      </c>
      <c r="V551" s="21">
        <f t="shared" si="70"/>
        <v>27118.799999999988</v>
      </c>
      <c r="W551" s="18">
        <f t="shared" si="71"/>
        <v>7.3908481226333284E-2</v>
      </c>
    </row>
    <row r="552" spans="1:23" x14ac:dyDescent="0.3">
      <c r="A552" t="s">
        <v>500</v>
      </c>
      <c r="B552" t="s">
        <v>2494</v>
      </c>
      <c r="C552" t="s">
        <v>12</v>
      </c>
      <c r="D552" t="s">
        <v>26</v>
      </c>
      <c r="E552">
        <v>867</v>
      </c>
      <c r="F552">
        <v>257.54000000000002</v>
      </c>
      <c r="G552">
        <v>239.72</v>
      </c>
      <c r="H552">
        <v>257.54000000000002</v>
      </c>
      <c r="I552">
        <v>3156</v>
      </c>
      <c r="J552">
        <v>72</v>
      </c>
      <c r="K552" s="17">
        <f t="shared" si="65"/>
        <v>7574.4000000000005</v>
      </c>
      <c r="L552" t="str">
        <f t="shared" si="66"/>
        <v>High Risk</v>
      </c>
      <c r="P552" s="19">
        <f t="shared" si="67"/>
        <v>6708</v>
      </c>
      <c r="R552" s="19">
        <f t="shared" si="64"/>
        <v>1727578.32</v>
      </c>
      <c r="T552" s="19">
        <f t="shared" si="68"/>
        <v>756556.32</v>
      </c>
      <c r="U552" s="19">
        <f t="shared" si="69"/>
        <v>812796.24000000011</v>
      </c>
      <c r="V552" s="21">
        <f t="shared" si="70"/>
        <v>56239.920000000158</v>
      </c>
      <c r="W552" s="18">
        <f t="shared" si="71"/>
        <v>7.4336726180544183E-2</v>
      </c>
    </row>
    <row r="553" spans="1:23" x14ac:dyDescent="0.3">
      <c r="A553" t="s">
        <v>349</v>
      </c>
      <c r="B553" t="s">
        <v>3127</v>
      </c>
      <c r="C553" t="s">
        <v>23</v>
      </c>
      <c r="D553" t="s">
        <v>13</v>
      </c>
      <c r="E553">
        <v>868</v>
      </c>
      <c r="F553">
        <v>360.64</v>
      </c>
      <c r="G553">
        <v>331.19</v>
      </c>
      <c r="H553">
        <v>360.64</v>
      </c>
      <c r="I553">
        <v>2671</v>
      </c>
      <c r="J553">
        <v>26</v>
      </c>
      <c r="K553" s="17">
        <f t="shared" si="65"/>
        <v>2314.8666666666668</v>
      </c>
      <c r="L553" t="str">
        <f t="shared" si="66"/>
        <v>High Risk</v>
      </c>
      <c r="P553" s="19">
        <f t="shared" si="67"/>
        <v>1447</v>
      </c>
      <c r="R553" s="19">
        <f t="shared" si="64"/>
        <v>521846.07999999996</v>
      </c>
      <c r="T553" s="19">
        <f t="shared" si="68"/>
        <v>884608.49</v>
      </c>
      <c r="U553" s="19">
        <f t="shared" si="69"/>
        <v>963269.44</v>
      </c>
      <c r="V553" s="21">
        <f t="shared" si="70"/>
        <v>78660.949999999953</v>
      </c>
      <c r="W553" s="18">
        <f t="shared" si="71"/>
        <v>8.8921766961562801E-2</v>
      </c>
    </row>
    <row r="554" spans="1:23" x14ac:dyDescent="0.3">
      <c r="A554" t="s">
        <v>546</v>
      </c>
      <c r="B554" t="s">
        <v>3342</v>
      </c>
      <c r="C554" t="s">
        <v>50</v>
      </c>
      <c r="D554" t="s">
        <v>26</v>
      </c>
      <c r="E554">
        <v>869</v>
      </c>
      <c r="F554">
        <v>146.01</v>
      </c>
      <c r="G554">
        <v>129.56</v>
      </c>
      <c r="H554">
        <v>146.01</v>
      </c>
      <c r="I554">
        <v>1960</v>
      </c>
      <c r="J554">
        <v>28</v>
      </c>
      <c r="K554" s="17">
        <f t="shared" si="65"/>
        <v>1829.3333333333333</v>
      </c>
      <c r="L554" t="str">
        <f t="shared" si="66"/>
        <v>High Risk</v>
      </c>
      <c r="P554" s="19">
        <f t="shared" si="67"/>
        <v>961</v>
      </c>
      <c r="R554" s="19">
        <f t="shared" si="64"/>
        <v>140315.60999999999</v>
      </c>
      <c r="T554" s="19">
        <f t="shared" si="68"/>
        <v>253937.6</v>
      </c>
      <c r="U554" s="19">
        <f t="shared" si="69"/>
        <v>286179.59999999998</v>
      </c>
      <c r="V554" s="21">
        <f t="shared" si="70"/>
        <v>32241.999999999971</v>
      </c>
      <c r="W554" s="18">
        <f t="shared" si="71"/>
        <v>0.12696820006174733</v>
      </c>
    </row>
    <row r="555" spans="1:23" x14ac:dyDescent="0.3">
      <c r="A555" t="s">
        <v>1153</v>
      </c>
      <c r="B555" t="s">
        <v>2318</v>
      </c>
      <c r="C555" t="s">
        <v>23</v>
      </c>
      <c r="D555" t="s">
        <v>13</v>
      </c>
      <c r="E555">
        <v>873</v>
      </c>
      <c r="F555">
        <v>231.74</v>
      </c>
      <c r="G555">
        <v>244.22</v>
      </c>
      <c r="H555">
        <v>231.74</v>
      </c>
      <c r="I555">
        <v>1469</v>
      </c>
      <c r="J555">
        <v>7</v>
      </c>
      <c r="K555" s="17">
        <f t="shared" si="65"/>
        <v>342.76666666666665</v>
      </c>
      <c r="L555" t="str">
        <f t="shared" si="66"/>
        <v>Sufficuent Stock</v>
      </c>
      <c r="P555" s="19">
        <f t="shared" si="67"/>
        <v>0</v>
      </c>
      <c r="R555" s="19">
        <f t="shared" si="64"/>
        <v>0</v>
      </c>
      <c r="T555" s="19">
        <f t="shared" si="68"/>
        <v>358759.18</v>
      </c>
      <c r="U555" s="19">
        <f t="shared" si="69"/>
        <v>340426.06</v>
      </c>
      <c r="V555" s="21">
        <f t="shared" si="70"/>
        <v>-18333.119999999995</v>
      </c>
      <c r="W555" s="18">
        <f t="shared" si="71"/>
        <v>-5.1101465891409376E-2</v>
      </c>
    </row>
    <row r="556" spans="1:23" x14ac:dyDescent="0.3">
      <c r="A556" t="s">
        <v>533</v>
      </c>
      <c r="B556" t="s">
        <v>1285</v>
      </c>
      <c r="C556" t="s">
        <v>16</v>
      </c>
      <c r="D556" t="s">
        <v>26</v>
      </c>
      <c r="E556">
        <v>874</v>
      </c>
      <c r="F556">
        <v>431.09</v>
      </c>
      <c r="G556">
        <v>359.98</v>
      </c>
      <c r="H556">
        <v>431.09</v>
      </c>
      <c r="I556">
        <v>3111</v>
      </c>
      <c r="J556">
        <v>85</v>
      </c>
      <c r="K556" s="17">
        <f t="shared" si="65"/>
        <v>8814.5</v>
      </c>
      <c r="L556" t="str">
        <f t="shared" si="66"/>
        <v>High Risk</v>
      </c>
      <c r="P556" s="19">
        <f t="shared" si="67"/>
        <v>7941</v>
      </c>
      <c r="R556" s="19">
        <f t="shared" si="64"/>
        <v>3423285.69</v>
      </c>
      <c r="T556" s="19">
        <f t="shared" si="68"/>
        <v>1119897.78</v>
      </c>
      <c r="U556" s="19">
        <f t="shared" si="69"/>
        <v>1341120.99</v>
      </c>
      <c r="V556" s="21">
        <f t="shared" si="70"/>
        <v>221223.20999999996</v>
      </c>
      <c r="W556" s="18">
        <f t="shared" si="71"/>
        <v>0.19753875215289735</v>
      </c>
    </row>
    <row r="557" spans="1:23" x14ac:dyDescent="0.3">
      <c r="A557" t="s">
        <v>256</v>
      </c>
      <c r="B557" t="s">
        <v>2177</v>
      </c>
      <c r="C557" t="s">
        <v>23</v>
      </c>
      <c r="D557" t="s">
        <v>17</v>
      </c>
      <c r="E557">
        <v>876</v>
      </c>
      <c r="F557">
        <v>121.38</v>
      </c>
      <c r="G557">
        <v>113.51</v>
      </c>
      <c r="H557">
        <v>121.38</v>
      </c>
      <c r="I557">
        <v>1446</v>
      </c>
      <c r="J557">
        <v>20</v>
      </c>
      <c r="K557" s="17">
        <f t="shared" si="65"/>
        <v>964</v>
      </c>
      <c r="L557" t="str">
        <f t="shared" si="66"/>
        <v>High Risk</v>
      </c>
      <c r="P557" s="19">
        <f t="shared" si="67"/>
        <v>88</v>
      </c>
      <c r="R557" s="19">
        <f t="shared" si="64"/>
        <v>10681.439999999999</v>
      </c>
      <c r="T557" s="19">
        <f t="shared" si="68"/>
        <v>164135.46000000002</v>
      </c>
      <c r="U557" s="19">
        <f t="shared" si="69"/>
        <v>175515.47999999998</v>
      </c>
      <c r="V557" s="21">
        <f t="shared" si="70"/>
        <v>11380.01999999996</v>
      </c>
      <c r="W557" s="18">
        <f t="shared" si="71"/>
        <v>6.9333098405426591E-2</v>
      </c>
    </row>
    <row r="558" spans="1:23" x14ac:dyDescent="0.3">
      <c r="A558" t="s">
        <v>498</v>
      </c>
      <c r="B558" t="s">
        <v>3138</v>
      </c>
      <c r="C558" t="s">
        <v>23</v>
      </c>
      <c r="D558" t="s">
        <v>13</v>
      </c>
      <c r="E558">
        <v>882</v>
      </c>
      <c r="F558">
        <v>475.2</v>
      </c>
      <c r="G558">
        <v>478.27</v>
      </c>
      <c r="H558">
        <v>475.2</v>
      </c>
      <c r="I558">
        <v>2757</v>
      </c>
      <c r="J558">
        <v>72</v>
      </c>
      <c r="K558" s="17">
        <f t="shared" si="65"/>
        <v>6616.8</v>
      </c>
      <c r="L558" t="str">
        <f t="shared" si="66"/>
        <v>High Risk</v>
      </c>
      <c r="P558" s="19">
        <f t="shared" si="67"/>
        <v>5735</v>
      </c>
      <c r="R558" s="19">
        <f t="shared" si="64"/>
        <v>2725272</v>
      </c>
      <c r="T558" s="19">
        <f t="shared" si="68"/>
        <v>1318590.3899999999</v>
      </c>
      <c r="U558" s="19">
        <f t="shared" si="69"/>
        <v>1310126.3999999999</v>
      </c>
      <c r="V558" s="21">
        <f t="shared" si="70"/>
        <v>-8463.9899999999907</v>
      </c>
      <c r="W558" s="18">
        <f t="shared" si="71"/>
        <v>-6.4189683651493861E-3</v>
      </c>
    </row>
    <row r="559" spans="1:23" x14ac:dyDescent="0.3">
      <c r="A559" t="s">
        <v>177</v>
      </c>
      <c r="B559" t="s">
        <v>1787</v>
      </c>
      <c r="C559" t="s">
        <v>12</v>
      </c>
      <c r="D559" t="s">
        <v>20</v>
      </c>
      <c r="E559">
        <v>883</v>
      </c>
      <c r="F559">
        <v>342.93</v>
      </c>
      <c r="G559">
        <v>311.42</v>
      </c>
      <c r="H559">
        <v>342.93</v>
      </c>
      <c r="I559">
        <v>3001</v>
      </c>
      <c r="J559">
        <v>64</v>
      </c>
      <c r="K559" s="17">
        <f t="shared" si="65"/>
        <v>6402.1333333333332</v>
      </c>
      <c r="L559" t="str">
        <f t="shared" si="66"/>
        <v>High Risk</v>
      </c>
      <c r="P559" s="19">
        <f t="shared" si="67"/>
        <v>5520</v>
      </c>
      <c r="R559" s="19">
        <f t="shared" si="64"/>
        <v>1892973.6</v>
      </c>
      <c r="T559" s="19">
        <f t="shared" si="68"/>
        <v>934571.42</v>
      </c>
      <c r="U559" s="19">
        <f t="shared" si="69"/>
        <v>1029132.93</v>
      </c>
      <c r="V559" s="21">
        <f t="shared" si="70"/>
        <v>94561.510000000009</v>
      </c>
      <c r="W559" s="18">
        <f t="shared" si="71"/>
        <v>0.10118168389955687</v>
      </c>
    </row>
    <row r="560" spans="1:23" x14ac:dyDescent="0.3">
      <c r="A560" t="s">
        <v>462</v>
      </c>
      <c r="B560" t="s">
        <v>463</v>
      </c>
      <c r="C560" t="s">
        <v>37</v>
      </c>
      <c r="D560" t="s">
        <v>69</v>
      </c>
      <c r="E560">
        <v>883</v>
      </c>
      <c r="F560">
        <v>92.47</v>
      </c>
      <c r="G560">
        <v>87.59</v>
      </c>
      <c r="H560">
        <v>92.47</v>
      </c>
      <c r="I560">
        <v>870</v>
      </c>
      <c r="J560">
        <v>50</v>
      </c>
      <c r="K560" s="17">
        <f t="shared" si="65"/>
        <v>1450</v>
      </c>
      <c r="L560" t="str">
        <f t="shared" si="66"/>
        <v>High Risk</v>
      </c>
      <c r="P560" s="19">
        <f t="shared" si="67"/>
        <v>567</v>
      </c>
      <c r="R560" s="19">
        <f t="shared" si="64"/>
        <v>52430.49</v>
      </c>
      <c r="T560" s="19">
        <f t="shared" si="68"/>
        <v>76203.3</v>
      </c>
      <c r="U560" s="19">
        <f t="shared" si="69"/>
        <v>80448.899999999994</v>
      </c>
      <c r="V560" s="21">
        <f t="shared" si="70"/>
        <v>4245.5999999999913</v>
      </c>
      <c r="W560" s="18">
        <f t="shared" si="71"/>
        <v>5.5714122616736951E-2</v>
      </c>
    </row>
    <row r="561" spans="1:23" x14ac:dyDescent="0.3">
      <c r="A561" t="s">
        <v>314</v>
      </c>
      <c r="B561" t="s">
        <v>2390</v>
      </c>
      <c r="C561" t="s">
        <v>12</v>
      </c>
      <c r="D561" t="s">
        <v>69</v>
      </c>
      <c r="E561">
        <v>884</v>
      </c>
      <c r="F561">
        <v>65.290000000000006</v>
      </c>
      <c r="G561">
        <v>61.98</v>
      </c>
      <c r="H561">
        <v>65.290000000000006</v>
      </c>
      <c r="I561">
        <v>584</v>
      </c>
      <c r="J561">
        <v>80</v>
      </c>
      <c r="K561" s="17">
        <f t="shared" si="65"/>
        <v>1557.3333333333333</v>
      </c>
      <c r="L561" t="str">
        <f t="shared" si="66"/>
        <v>High Risk</v>
      </c>
      <c r="P561" s="19">
        <f t="shared" si="67"/>
        <v>674</v>
      </c>
      <c r="R561" s="19">
        <f t="shared" si="64"/>
        <v>44005.460000000006</v>
      </c>
      <c r="T561" s="19">
        <f t="shared" si="68"/>
        <v>36196.32</v>
      </c>
      <c r="U561" s="19">
        <f t="shared" si="69"/>
        <v>38129.360000000001</v>
      </c>
      <c r="V561" s="21">
        <f t="shared" si="70"/>
        <v>1933.0400000000009</v>
      </c>
      <c r="W561" s="18">
        <f t="shared" si="71"/>
        <v>5.3404323975475981E-2</v>
      </c>
    </row>
    <row r="562" spans="1:23" x14ac:dyDescent="0.3">
      <c r="A562" t="s">
        <v>416</v>
      </c>
      <c r="B562" t="s">
        <v>1202</v>
      </c>
      <c r="C562" t="s">
        <v>37</v>
      </c>
      <c r="D562" t="s">
        <v>26</v>
      </c>
      <c r="E562">
        <v>886</v>
      </c>
      <c r="F562">
        <v>373.51</v>
      </c>
      <c r="G562">
        <v>350.11</v>
      </c>
      <c r="H562">
        <v>373.51</v>
      </c>
      <c r="I562">
        <v>1794</v>
      </c>
      <c r="J562">
        <v>33</v>
      </c>
      <c r="K562" s="17">
        <f t="shared" si="65"/>
        <v>1973.3999999999999</v>
      </c>
      <c r="L562" t="str">
        <f t="shared" si="66"/>
        <v>High Risk</v>
      </c>
      <c r="P562" s="19">
        <f t="shared" si="67"/>
        <v>1088</v>
      </c>
      <c r="R562" s="19">
        <f t="shared" si="64"/>
        <v>406378.88</v>
      </c>
      <c r="T562" s="19">
        <f t="shared" si="68"/>
        <v>628097.34</v>
      </c>
      <c r="U562" s="19">
        <f t="shared" si="69"/>
        <v>670076.93999999994</v>
      </c>
      <c r="V562" s="21">
        <f t="shared" si="70"/>
        <v>41979.599999999977</v>
      </c>
      <c r="W562" s="18">
        <f t="shared" si="71"/>
        <v>6.6836137214018418E-2</v>
      </c>
    </row>
    <row r="563" spans="1:23" x14ac:dyDescent="0.3">
      <c r="A563" t="s">
        <v>360</v>
      </c>
      <c r="B563" t="s">
        <v>361</v>
      </c>
      <c r="C563" t="s">
        <v>37</v>
      </c>
      <c r="D563" t="s">
        <v>13</v>
      </c>
      <c r="E563">
        <v>886</v>
      </c>
      <c r="F563">
        <v>244.52</v>
      </c>
      <c r="G563">
        <v>215.3</v>
      </c>
      <c r="H563">
        <v>244.52</v>
      </c>
      <c r="I563">
        <v>3548</v>
      </c>
      <c r="J563">
        <v>19</v>
      </c>
      <c r="K563" s="17">
        <f t="shared" si="65"/>
        <v>2247.0666666666666</v>
      </c>
      <c r="L563" t="str">
        <f t="shared" si="66"/>
        <v>High Risk</v>
      </c>
      <c r="P563" s="19">
        <f t="shared" si="67"/>
        <v>1362</v>
      </c>
      <c r="R563" s="19">
        <f t="shared" si="64"/>
        <v>333036.24</v>
      </c>
      <c r="T563" s="19">
        <f t="shared" si="68"/>
        <v>763884.4</v>
      </c>
      <c r="U563" s="19">
        <f t="shared" si="69"/>
        <v>867556.96000000008</v>
      </c>
      <c r="V563" s="21">
        <f t="shared" si="70"/>
        <v>103672.56000000006</v>
      </c>
      <c r="W563" s="18">
        <f t="shared" si="71"/>
        <v>0.13571760334417099</v>
      </c>
    </row>
    <row r="564" spans="1:23" x14ac:dyDescent="0.3">
      <c r="A564" t="s">
        <v>714</v>
      </c>
      <c r="B564" t="s">
        <v>715</v>
      </c>
      <c r="C564" t="s">
        <v>37</v>
      </c>
      <c r="D564" t="s">
        <v>69</v>
      </c>
      <c r="E564">
        <v>886</v>
      </c>
      <c r="F564">
        <v>69.08</v>
      </c>
      <c r="G564">
        <v>73.05</v>
      </c>
      <c r="H564">
        <v>69.08</v>
      </c>
      <c r="I564">
        <v>3672</v>
      </c>
      <c r="J564">
        <v>30</v>
      </c>
      <c r="K564" s="17">
        <f t="shared" si="65"/>
        <v>3672</v>
      </c>
      <c r="L564" t="str">
        <f t="shared" si="66"/>
        <v>High Risk</v>
      </c>
      <c r="P564" s="19">
        <f t="shared" si="67"/>
        <v>2786</v>
      </c>
      <c r="R564" s="19">
        <f t="shared" si="64"/>
        <v>192456.88</v>
      </c>
      <c r="T564" s="19">
        <f t="shared" si="68"/>
        <v>268239.59999999998</v>
      </c>
      <c r="U564" s="19">
        <f t="shared" si="69"/>
        <v>253661.75999999998</v>
      </c>
      <c r="V564" s="21">
        <f t="shared" si="70"/>
        <v>-14577.839999999997</v>
      </c>
      <c r="W564" s="18">
        <f t="shared" si="71"/>
        <v>-5.4346338124572201E-2</v>
      </c>
    </row>
    <row r="565" spans="1:23" x14ac:dyDescent="0.3">
      <c r="A565" t="s">
        <v>96</v>
      </c>
      <c r="B565" t="s">
        <v>990</v>
      </c>
      <c r="C565" t="s">
        <v>50</v>
      </c>
      <c r="D565" t="s">
        <v>26</v>
      </c>
      <c r="E565">
        <v>887</v>
      </c>
      <c r="F565">
        <v>50.33</v>
      </c>
      <c r="G565">
        <v>51.49</v>
      </c>
      <c r="H565">
        <v>50.33</v>
      </c>
      <c r="I565">
        <v>2676</v>
      </c>
      <c r="J565">
        <v>74</v>
      </c>
      <c r="K565" s="17">
        <f t="shared" si="65"/>
        <v>6600.8</v>
      </c>
      <c r="L565" t="str">
        <f t="shared" si="66"/>
        <v>High Risk</v>
      </c>
      <c r="P565" s="19">
        <f t="shared" si="67"/>
        <v>5714</v>
      </c>
      <c r="R565" s="19">
        <f t="shared" si="64"/>
        <v>287585.62</v>
      </c>
      <c r="T565" s="19">
        <f t="shared" si="68"/>
        <v>137787.24000000002</v>
      </c>
      <c r="U565" s="19">
        <f t="shared" si="69"/>
        <v>134683.07999999999</v>
      </c>
      <c r="V565" s="21">
        <f t="shared" si="70"/>
        <v>-3104.1600000000326</v>
      </c>
      <c r="W565" s="18">
        <f t="shared" si="71"/>
        <v>-2.2528646339095203E-2</v>
      </c>
    </row>
    <row r="566" spans="1:23" x14ac:dyDescent="0.3">
      <c r="A566" t="s">
        <v>523</v>
      </c>
      <c r="B566" t="s">
        <v>775</v>
      </c>
      <c r="C566" t="s">
        <v>16</v>
      </c>
      <c r="D566" t="s">
        <v>69</v>
      </c>
      <c r="E566">
        <v>887</v>
      </c>
      <c r="F566">
        <v>90.61</v>
      </c>
      <c r="G566">
        <v>94.85</v>
      </c>
      <c r="H566">
        <v>90.61</v>
      </c>
      <c r="I566">
        <v>3635</v>
      </c>
      <c r="J566">
        <v>63</v>
      </c>
      <c r="K566" s="17">
        <f t="shared" si="65"/>
        <v>7633.5</v>
      </c>
      <c r="L566" t="str">
        <f t="shared" si="66"/>
        <v>High Risk</v>
      </c>
      <c r="P566" s="19">
        <f t="shared" si="67"/>
        <v>6747</v>
      </c>
      <c r="R566" s="19">
        <f t="shared" si="64"/>
        <v>611345.67000000004</v>
      </c>
      <c r="T566" s="19">
        <f t="shared" si="68"/>
        <v>344779.75</v>
      </c>
      <c r="U566" s="19">
        <f t="shared" si="69"/>
        <v>329367.34999999998</v>
      </c>
      <c r="V566" s="21">
        <f t="shared" si="70"/>
        <v>-15412.400000000023</v>
      </c>
      <c r="W566" s="18">
        <f t="shared" si="71"/>
        <v>-4.4702161307327425E-2</v>
      </c>
    </row>
    <row r="567" spans="1:23" x14ac:dyDescent="0.3">
      <c r="A567" t="s">
        <v>374</v>
      </c>
      <c r="B567" t="s">
        <v>2882</v>
      </c>
      <c r="C567" t="s">
        <v>12</v>
      </c>
      <c r="D567" t="s">
        <v>26</v>
      </c>
      <c r="E567">
        <v>888</v>
      </c>
      <c r="F567">
        <v>539.16</v>
      </c>
      <c r="G567">
        <v>454.64</v>
      </c>
      <c r="H567">
        <v>539.16</v>
      </c>
      <c r="I567">
        <v>1005</v>
      </c>
      <c r="J567">
        <v>63</v>
      </c>
      <c r="K567" s="17">
        <f t="shared" si="65"/>
        <v>2110.5</v>
      </c>
      <c r="L567" t="str">
        <f t="shared" si="66"/>
        <v>High Risk</v>
      </c>
      <c r="P567" s="19">
        <f t="shared" si="67"/>
        <v>1223</v>
      </c>
      <c r="R567" s="19">
        <f t="shared" si="64"/>
        <v>659392.67999999993</v>
      </c>
      <c r="T567" s="19">
        <f t="shared" si="68"/>
        <v>456913.2</v>
      </c>
      <c r="U567" s="19">
        <f t="shared" si="69"/>
        <v>541855.79999999993</v>
      </c>
      <c r="V567" s="21">
        <f t="shared" si="70"/>
        <v>84942.599999999919</v>
      </c>
      <c r="W567" s="18">
        <f t="shared" si="71"/>
        <v>0.18590533169100809</v>
      </c>
    </row>
    <row r="568" spans="1:23" x14ac:dyDescent="0.3">
      <c r="A568" t="s">
        <v>18</v>
      </c>
      <c r="B568" t="s">
        <v>3054</v>
      </c>
      <c r="C568" t="s">
        <v>37</v>
      </c>
      <c r="D568" t="s">
        <v>13</v>
      </c>
      <c r="E568">
        <v>891</v>
      </c>
      <c r="F568">
        <v>117.72</v>
      </c>
      <c r="G568">
        <v>113.07</v>
      </c>
      <c r="H568">
        <v>117.72</v>
      </c>
      <c r="I568">
        <v>3371</v>
      </c>
      <c r="J568">
        <v>16</v>
      </c>
      <c r="K568" s="17">
        <f t="shared" si="65"/>
        <v>1797.8666666666666</v>
      </c>
      <c r="L568" t="str">
        <f t="shared" si="66"/>
        <v>High Risk</v>
      </c>
      <c r="P568" s="19">
        <f t="shared" si="67"/>
        <v>907</v>
      </c>
      <c r="R568" s="19">
        <f t="shared" si="64"/>
        <v>106772.04</v>
      </c>
      <c r="T568" s="19">
        <f t="shared" si="68"/>
        <v>381158.97</v>
      </c>
      <c r="U568" s="19">
        <f t="shared" si="69"/>
        <v>396834.12</v>
      </c>
      <c r="V568" s="21">
        <f t="shared" si="70"/>
        <v>15675.150000000023</v>
      </c>
      <c r="W568" s="18">
        <f t="shared" si="71"/>
        <v>4.1124966834704228E-2</v>
      </c>
    </row>
    <row r="569" spans="1:23" x14ac:dyDescent="0.3">
      <c r="A569" t="s">
        <v>123</v>
      </c>
      <c r="B569" t="s">
        <v>570</v>
      </c>
      <c r="C569" t="s">
        <v>37</v>
      </c>
      <c r="D569" t="s">
        <v>26</v>
      </c>
      <c r="E569">
        <v>892</v>
      </c>
      <c r="F569">
        <v>157.91999999999999</v>
      </c>
      <c r="G569">
        <v>159.81</v>
      </c>
      <c r="H569">
        <v>157.91999999999999</v>
      </c>
      <c r="I569">
        <v>1933</v>
      </c>
      <c r="J569">
        <v>75</v>
      </c>
      <c r="K569" s="17">
        <f t="shared" si="65"/>
        <v>4832.5</v>
      </c>
      <c r="L569" t="str">
        <f t="shared" si="66"/>
        <v>High Risk</v>
      </c>
      <c r="P569" s="19">
        <f t="shared" si="67"/>
        <v>3941</v>
      </c>
      <c r="R569" s="19">
        <f t="shared" si="64"/>
        <v>622362.72</v>
      </c>
      <c r="T569" s="19">
        <f t="shared" si="68"/>
        <v>308912.73</v>
      </c>
      <c r="U569" s="19">
        <f t="shared" si="69"/>
        <v>305259.36</v>
      </c>
      <c r="V569" s="21">
        <f t="shared" si="70"/>
        <v>-3653.3699999999953</v>
      </c>
      <c r="W569" s="18">
        <f t="shared" si="71"/>
        <v>-1.1826544021024952E-2</v>
      </c>
    </row>
    <row r="570" spans="1:23" x14ac:dyDescent="0.3">
      <c r="A570" t="s">
        <v>612</v>
      </c>
      <c r="B570" t="s">
        <v>613</v>
      </c>
      <c r="C570" t="s">
        <v>12</v>
      </c>
      <c r="D570" t="s">
        <v>69</v>
      </c>
      <c r="E570">
        <v>892</v>
      </c>
      <c r="F570">
        <v>196.75</v>
      </c>
      <c r="G570">
        <v>174.44</v>
      </c>
      <c r="H570">
        <v>196.75</v>
      </c>
      <c r="I570">
        <v>3217</v>
      </c>
      <c r="J570">
        <v>6</v>
      </c>
      <c r="K570" s="17">
        <f t="shared" si="65"/>
        <v>643.4</v>
      </c>
      <c r="L570" t="str">
        <f t="shared" si="66"/>
        <v>Sufficuent Stock</v>
      </c>
      <c r="P570" s="19">
        <f t="shared" si="67"/>
        <v>0</v>
      </c>
      <c r="R570" s="19">
        <f t="shared" si="64"/>
        <v>0</v>
      </c>
      <c r="T570" s="19">
        <f t="shared" si="68"/>
        <v>561173.48</v>
      </c>
      <c r="U570" s="19">
        <f t="shared" si="69"/>
        <v>632944.75</v>
      </c>
      <c r="V570" s="21">
        <f t="shared" si="70"/>
        <v>71771.270000000019</v>
      </c>
      <c r="W570" s="18">
        <f t="shared" si="71"/>
        <v>0.12789497821600554</v>
      </c>
    </row>
    <row r="571" spans="1:23" x14ac:dyDescent="0.3">
      <c r="A571" t="s">
        <v>115</v>
      </c>
      <c r="B571" t="s">
        <v>2876</v>
      </c>
      <c r="C571" t="s">
        <v>37</v>
      </c>
      <c r="D571" t="s">
        <v>13</v>
      </c>
      <c r="E571">
        <v>893</v>
      </c>
      <c r="F571">
        <v>28.4</v>
      </c>
      <c r="G571">
        <v>25.42</v>
      </c>
      <c r="H571">
        <v>28.4</v>
      </c>
      <c r="I571">
        <v>2493</v>
      </c>
      <c r="J571">
        <v>77</v>
      </c>
      <c r="K571" s="17">
        <f t="shared" si="65"/>
        <v>6398.7</v>
      </c>
      <c r="L571" t="str">
        <f t="shared" si="66"/>
        <v>High Risk</v>
      </c>
      <c r="P571" s="19">
        <f t="shared" si="67"/>
        <v>5506</v>
      </c>
      <c r="R571" s="19">
        <f t="shared" si="64"/>
        <v>156370.4</v>
      </c>
      <c r="T571" s="19">
        <f t="shared" si="68"/>
        <v>63372.060000000005</v>
      </c>
      <c r="U571" s="19">
        <f t="shared" si="69"/>
        <v>70801.2</v>
      </c>
      <c r="V571" s="21">
        <f t="shared" si="70"/>
        <v>7429.1399999999921</v>
      </c>
      <c r="W571" s="18">
        <f t="shared" si="71"/>
        <v>0.11723052714398098</v>
      </c>
    </row>
    <row r="572" spans="1:23" x14ac:dyDescent="0.3">
      <c r="A572" t="s">
        <v>35</v>
      </c>
      <c r="B572" t="s">
        <v>772</v>
      </c>
      <c r="C572" t="s">
        <v>37</v>
      </c>
      <c r="D572" t="s">
        <v>17</v>
      </c>
      <c r="E572">
        <v>893</v>
      </c>
      <c r="F572">
        <v>312.33999999999997</v>
      </c>
      <c r="G572">
        <v>310.61</v>
      </c>
      <c r="H572">
        <v>312.33999999999997</v>
      </c>
      <c r="I572">
        <v>2590</v>
      </c>
      <c r="J572">
        <v>22</v>
      </c>
      <c r="K572" s="17">
        <f t="shared" si="65"/>
        <v>1899.3333333333333</v>
      </c>
      <c r="L572" t="str">
        <f t="shared" si="66"/>
        <v>High Risk</v>
      </c>
      <c r="P572" s="19">
        <f t="shared" si="67"/>
        <v>1007</v>
      </c>
      <c r="R572" s="19">
        <f t="shared" si="64"/>
        <v>314526.37999999995</v>
      </c>
      <c r="T572" s="19">
        <f t="shared" si="68"/>
        <v>804479.9</v>
      </c>
      <c r="U572" s="19">
        <f t="shared" si="69"/>
        <v>808960.6</v>
      </c>
      <c r="V572" s="21">
        <f t="shared" si="70"/>
        <v>4480.6999999999534</v>
      </c>
      <c r="W572" s="18">
        <f t="shared" si="71"/>
        <v>5.569685457647796E-3</v>
      </c>
    </row>
    <row r="573" spans="1:23" x14ac:dyDescent="0.3">
      <c r="A573" t="s">
        <v>136</v>
      </c>
      <c r="B573" t="s">
        <v>565</v>
      </c>
      <c r="C573" t="s">
        <v>23</v>
      </c>
      <c r="D573" t="s">
        <v>26</v>
      </c>
      <c r="E573">
        <v>894</v>
      </c>
      <c r="F573">
        <v>360.05</v>
      </c>
      <c r="G573">
        <v>379.93</v>
      </c>
      <c r="H573">
        <v>360.05</v>
      </c>
      <c r="I573">
        <v>1563</v>
      </c>
      <c r="J573">
        <v>28</v>
      </c>
      <c r="K573" s="17">
        <f t="shared" si="65"/>
        <v>1458.8</v>
      </c>
      <c r="L573" t="str">
        <f t="shared" si="66"/>
        <v>High Risk</v>
      </c>
      <c r="P573" s="19">
        <f t="shared" si="67"/>
        <v>565</v>
      </c>
      <c r="R573" s="19">
        <f t="shared" si="64"/>
        <v>203428.25</v>
      </c>
      <c r="T573" s="19">
        <f t="shared" si="68"/>
        <v>593830.59</v>
      </c>
      <c r="U573" s="19">
        <f t="shared" si="69"/>
        <v>562758.15</v>
      </c>
      <c r="V573" s="21">
        <f t="shared" si="70"/>
        <v>-31072.439999999944</v>
      </c>
      <c r="W573" s="18">
        <f t="shared" si="71"/>
        <v>-5.232542836838356E-2</v>
      </c>
    </row>
    <row r="574" spans="1:23" x14ac:dyDescent="0.3">
      <c r="A574" t="s">
        <v>525</v>
      </c>
      <c r="B574" t="s">
        <v>700</v>
      </c>
      <c r="C574" t="s">
        <v>37</v>
      </c>
      <c r="D574" t="s">
        <v>20</v>
      </c>
      <c r="E574">
        <v>895</v>
      </c>
      <c r="F574">
        <v>11.77</v>
      </c>
      <c r="G574">
        <v>10.62</v>
      </c>
      <c r="H574">
        <v>11.77</v>
      </c>
      <c r="I574">
        <v>2587</v>
      </c>
      <c r="J574">
        <v>69</v>
      </c>
      <c r="K574" s="17">
        <f t="shared" si="65"/>
        <v>5950.1</v>
      </c>
      <c r="L574" t="str">
        <f t="shared" si="66"/>
        <v>High Risk</v>
      </c>
      <c r="P574" s="19">
        <f t="shared" si="67"/>
        <v>5056</v>
      </c>
      <c r="R574" s="19">
        <f t="shared" si="64"/>
        <v>59509.119999999995</v>
      </c>
      <c r="T574" s="19">
        <f t="shared" si="68"/>
        <v>27473.94</v>
      </c>
      <c r="U574" s="19">
        <f t="shared" si="69"/>
        <v>30448.989999999998</v>
      </c>
      <c r="V574" s="21">
        <f t="shared" si="70"/>
        <v>2975.0499999999993</v>
      </c>
      <c r="W574" s="18">
        <f t="shared" si="71"/>
        <v>0.10828625235404894</v>
      </c>
    </row>
    <row r="575" spans="1:23" x14ac:dyDescent="0.3">
      <c r="A575" t="s">
        <v>498</v>
      </c>
      <c r="B575" t="s">
        <v>2892</v>
      </c>
      <c r="C575" t="s">
        <v>12</v>
      </c>
      <c r="D575" t="s">
        <v>69</v>
      </c>
      <c r="E575">
        <v>895</v>
      </c>
      <c r="F575">
        <v>211.91</v>
      </c>
      <c r="G575">
        <v>183.02</v>
      </c>
      <c r="H575">
        <v>211.91</v>
      </c>
      <c r="I575">
        <v>991</v>
      </c>
      <c r="J575">
        <v>37</v>
      </c>
      <c r="K575" s="17">
        <f t="shared" si="65"/>
        <v>1222.2333333333333</v>
      </c>
      <c r="L575" t="str">
        <f t="shared" si="66"/>
        <v>High Risk</v>
      </c>
      <c r="P575" s="19">
        <f t="shared" si="67"/>
        <v>328</v>
      </c>
      <c r="R575" s="19">
        <f t="shared" si="64"/>
        <v>69506.48</v>
      </c>
      <c r="T575" s="19">
        <f t="shared" si="68"/>
        <v>181372.82</v>
      </c>
      <c r="U575" s="19">
        <f t="shared" si="69"/>
        <v>210002.81</v>
      </c>
      <c r="V575" s="21">
        <f t="shared" si="70"/>
        <v>28629.989999999991</v>
      </c>
      <c r="W575" s="18">
        <f t="shared" si="71"/>
        <v>0.15785160091793241</v>
      </c>
    </row>
    <row r="576" spans="1:23" x14ac:dyDescent="0.3">
      <c r="A576" t="s">
        <v>539</v>
      </c>
      <c r="B576" t="s">
        <v>3205</v>
      </c>
      <c r="C576" t="s">
        <v>16</v>
      </c>
      <c r="D576" t="s">
        <v>17</v>
      </c>
      <c r="E576">
        <v>896</v>
      </c>
      <c r="F576">
        <v>120.48</v>
      </c>
      <c r="G576">
        <v>100.56</v>
      </c>
      <c r="H576">
        <v>120.48</v>
      </c>
      <c r="I576">
        <v>171</v>
      </c>
      <c r="J576">
        <v>79</v>
      </c>
      <c r="K576" s="17">
        <f t="shared" si="65"/>
        <v>450.3</v>
      </c>
      <c r="L576" t="str">
        <f t="shared" si="66"/>
        <v>Sufficuent Stock</v>
      </c>
      <c r="P576" s="19">
        <f t="shared" si="67"/>
        <v>0</v>
      </c>
      <c r="R576" s="19">
        <f t="shared" si="64"/>
        <v>0</v>
      </c>
      <c r="T576" s="19">
        <f t="shared" si="68"/>
        <v>17195.760000000002</v>
      </c>
      <c r="U576" s="19">
        <f t="shared" si="69"/>
        <v>20602.080000000002</v>
      </c>
      <c r="V576" s="21">
        <f t="shared" si="70"/>
        <v>3406.3199999999997</v>
      </c>
      <c r="W576" s="18">
        <f t="shared" si="71"/>
        <v>0.19809069212410496</v>
      </c>
    </row>
    <row r="577" spans="1:23" x14ac:dyDescent="0.3">
      <c r="A577" t="s">
        <v>360</v>
      </c>
      <c r="B577" t="s">
        <v>504</v>
      </c>
      <c r="C577" t="s">
        <v>23</v>
      </c>
      <c r="D577" t="s">
        <v>69</v>
      </c>
      <c r="E577">
        <v>898</v>
      </c>
      <c r="F577">
        <v>249.47</v>
      </c>
      <c r="G577">
        <v>222.39</v>
      </c>
      <c r="H577">
        <v>249.47</v>
      </c>
      <c r="I577">
        <v>929</v>
      </c>
      <c r="J577">
        <v>78</v>
      </c>
      <c r="K577" s="17">
        <f t="shared" si="65"/>
        <v>2415.4</v>
      </c>
      <c r="L577" t="str">
        <f t="shared" si="66"/>
        <v>High Risk</v>
      </c>
      <c r="P577" s="19">
        <f t="shared" si="67"/>
        <v>1518</v>
      </c>
      <c r="R577" s="19">
        <f t="shared" si="64"/>
        <v>378695.46</v>
      </c>
      <c r="T577" s="19">
        <f t="shared" si="68"/>
        <v>206600.31</v>
      </c>
      <c r="U577" s="19">
        <f t="shared" si="69"/>
        <v>231757.63</v>
      </c>
      <c r="V577" s="21">
        <f t="shared" si="70"/>
        <v>25157.320000000007</v>
      </c>
      <c r="W577" s="18">
        <f t="shared" si="71"/>
        <v>0.12176806511084134</v>
      </c>
    </row>
    <row r="578" spans="1:23" x14ac:dyDescent="0.3">
      <c r="A578" t="s">
        <v>1076</v>
      </c>
      <c r="B578" t="s">
        <v>3229</v>
      </c>
      <c r="C578" t="s">
        <v>16</v>
      </c>
      <c r="D578" t="s">
        <v>20</v>
      </c>
      <c r="E578">
        <v>898</v>
      </c>
      <c r="F578">
        <v>438.67</v>
      </c>
      <c r="G578">
        <v>402.68</v>
      </c>
      <c r="H578">
        <v>438.67</v>
      </c>
      <c r="I578">
        <v>931</v>
      </c>
      <c r="J578">
        <v>63</v>
      </c>
      <c r="K578" s="17">
        <f t="shared" si="65"/>
        <v>1955.1000000000001</v>
      </c>
      <c r="L578" t="str">
        <f t="shared" si="66"/>
        <v>High Risk</v>
      </c>
      <c r="P578" s="19">
        <f t="shared" si="67"/>
        <v>1058</v>
      </c>
      <c r="R578" s="19">
        <f t="shared" ref="R578:R641" si="72">P578*H578</f>
        <v>464112.86000000004</v>
      </c>
      <c r="T578" s="19">
        <f t="shared" si="68"/>
        <v>374895.08</v>
      </c>
      <c r="U578" s="19">
        <f t="shared" si="69"/>
        <v>408401.77</v>
      </c>
      <c r="V578" s="21">
        <f t="shared" si="70"/>
        <v>33506.69</v>
      </c>
      <c r="W578" s="18">
        <f t="shared" si="71"/>
        <v>8.9376179596702104E-2</v>
      </c>
    </row>
    <row r="579" spans="1:23" x14ac:dyDescent="0.3">
      <c r="A579" t="s">
        <v>308</v>
      </c>
      <c r="B579" t="s">
        <v>1619</v>
      </c>
      <c r="C579" t="s">
        <v>37</v>
      </c>
      <c r="D579" t="s">
        <v>26</v>
      </c>
      <c r="E579">
        <v>901</v>
      </c>
      <c r="F579">
        <v>238.72</v>
      </c>
      <c r="G579">
        <v>250.54</v>
      </c>
      <c r="H579">
        <v>238.72</v>
      </c>
      <c r="I579">
        <v>2296</v>
      </c>
      <c r="J579">
        <v>24</v>
      </c>
      <c r="K579" s="17">
        <f t="shared" ref="K579:K642" si="73">(I579/30)*J579</f>
        <v>1836.8</v>
      </c>
      <c r="L579" t="str">
        <f t="shared" ref="L579:L642" si="74">IF(E579&lt;K579,"High Risk","Sufficuent Stock")</f>
        <v>High Risk</v>
      </c>
      <c r="P579" s="19">
        <f t="shared" ref="P579:P642" si="75">ROUNDUP(MAX(0,K579-E579),0)</f>
        <v>936</v>
      </c>
      <c r="R579" s="19">
        <f t="shared" si="72"/>
        <v>223441.92000000001</v>
      </c>
      <c r="T579" s="19">
        <f t="shared" ref="T579:T642" si="76">I579*G579</f>
        <v>575239.84</v>
      </c>
      <c r="U579" s="19">
        <f t="shared" ref="U579:U642" si="77">I579*H579</f>
        <v>548101.12</v>
      </c>
      <c r="V579" s="21">
        <f t="shared" ref="V579:V642" si="78">U579-T579</f>
        <v>-27138.719999999972</v>
      </c>
      <c r="W579" s="18">
        <f t="shared" ref="W579:W642" si="79">IFERROR(V579/T579,0)</f>
        <v>-4.7178095314121454E-2</v>
      </c>
    </row>
    <row r="580" spans="1:23" x14ac:dyDescent="0.3">
      <c r="A580" t="s">
        <v>193</v>
      </c>
      <c r="B580" t="s">
        <v>3055</v>
      </c>
      <c r="C580" t="s">
        <v>16</v>
      </c>
      <c r="D580" t="s">
        <v>13</v>
      </c>
      <c r="E580">
        <v>901</v>
      </c>
      <c r="F580">
        <v>147.22999999999999</v>
      </c>
      <c r="G580">
        <v>144.69999999999999</v>
      </c>
      <c r="H580">
        <v>147.22999999999999</v>
      </c>
      <c r="I580">
        <v>918</v>
      </c>
      <c r="J580">
        <v>81</v>
      </c>
      <c r="K580" s="17">
        <f t="shared" si="73"/>
        <v>2478.6</v>
      </c>
      <c r="L580" t="str">
        <f t="shared" si="74"/>
        <v>High Risk</v>
      </c>
      <c r="P580" s="19">
        <f t="shared" si="75"/>
        <v>1578</v>
      </c>
      <c r="R580" s="19">
        <f t="shared" si="72"/>
        <v>232328.93999999997</v>
      </c>
      <c r="T580" s="19">
        <f t="shared" si="76"/>
        <v>132834.59999999998</v>
      </c>
      <c r="U580" s="19">
        <f t="shared" si="77"/>
        <v>135157.13999999998</v>
      </c>
      <c r="V580" s="21">
        <f t="shared" si="78"/>
        <v>2322.5400000000081</v>
      </c>
      <c r="W580" s="18">
        <f t="shared" si="79"/>
        <v>1.7484450587422318E-2</v>
      </c>
    </row>
    <row r="581" spans="1:23" x14ac:dyDescent="0.3">
      <c r="A581" t="s">
        <v>436</v>
      </c>
      <c r="B581" t="s">
        <v>2418</v>
      </c>
      <c r="C581" t="s">
        <v>23</v>
      </c>
      <c r="D581" t="s">
        <v>26</v>
      </c>
      <c r="E581">
        <v>902</v>
      </c>
      <c r="F581">
        <v>150.49</v>
      </c>
      <c r="G581">
        <v>162.38</v>
      </c>
      <c r="H581">
        <v>150.49</v>
      </c>
      <c r="I581">
        <v>2488</v>
      </c>
      <c r="J581">
        <v>81</v>
      </c>
      <c r="K581" s="17">
        <f t="shared" si="73"/>
        <v>6717.6</v>
      </c>
      <c r="L581" t="str">
        <f t="shared" si="74"/>
        <v>High Risk</v>
      </c>
      <c r="P581" s="19">
        <f t="shared" si="75"/>
        <v>5816</v>
      </c>
      <c r="R581" s="19">
        <f t="shared" si="72"/>
        <v>875249.84000000008</v>
      </c>
      <c r="T581" s="19">
        <f t="shared" si="76"/>
        <v>404001.44</v>
      </c>
      <c r="U581" s="19">
        <f t="shared" si="77"/>
        <v>374419.12</v>
      </c>
      <c r="V581" s="21">
        <f t="shared" si="78"/>
        <v>-29582.320000000007</v>
      </c>
      <c r="W581" s="18">
        <f t="shared" si="79"/>
        <v>-7.3223303362483075E-2</v>
      </c>
    </row>
    <row r="582" spans="1:23" x14ac:dyDescent="0.3">
      <c r="A582" t="s">
        <v>838</v>
      </c>
      <c r="B582" t="s">
        <v>1851</v>
      </c>
      <c r="C582" t="s">
        <v>16</v>
      </c>
      <c r="D582" t="s">
        <v>20</v>
      </c>
      <c r="E582">
        <v>902</v>
      </c>
      <c r="F582">
        <v>71.53</v>
      </c>
      <c r="G582">
        <v>67.56</v>
      </c>
      <c r="H582">
        <v>71.53</v>
      </c>
      <c r="I582">
        <v>279</v>
      </c>
      <c r="J582">
        <v>76</v>
      </c>
      <c r="K582" s="17">
        <f t="shared" si="73"/>
        <v>706.80000000000007</v>
      </c>
      <c r="L582" t="str">
        <f t="shared" si="74"/>
        <v>Sufficuent Stock</v>
      </c>
      <c r="P582" s="19">
        <f t="shared" si="75"/>
        <v>0</v>
      </c>
      <c r="R582" s="19">
        <f t="shared" si="72"/>
        <v>0</v>
      </c>
      <c r="T582" s="19">
        <f t="shared" si="76"/>
        <v>18849.240000000002</v>
      </c>
      <c r="U582" s="19">
        <f t="shared" si="77"/>
        <v>19956.87</v>
      </c>
      <c r="V582" s="21">
        <f t="shared" si="78"/>
        <v>1107.6299999999974</v>
      </c>
      <c r="W582" s="18">
        <f t="shared" si="79"/>
        <v>5.8762581409117678E-2</v>
      </c>
    </row>
    <row r="583" spans="1:23" x14ac:dyDescent="0.3">
      <c r="A583" t="s">
        <v>692</v>
      </c>
      <c r="B583" t="s">
        <v>693</v>
      </c>
      <c r="C583" t="s">
        <v>12</v>
      </c>
      <c r="D583" t="s">
        <v>20</v>
      </c>
      <c r="E583">
        <v>902</v>
      </c>
      <c r="F583">
        <v>35.270000000000003</v>
      </c>
      <c r="G583">
        <v>31.93</v>
      </c>
      <c r="H583">
        <v>35.270000000000003</v>
      </c>
      <c r="I583">
        <v>1886</v>
      </c>
      <c r="J583">
        <v>56</v>
      </c>
      <c r="K583" s="17">
        <f t="shared" si="73"/>
        <v>3520.5333333333333</v>
      </c>
      <c r="L583" t="str">
        <f t="shared" si="74"/>
        <v>High Risk</v>
      </c>
      <c r="P583" s="19">
        <f t="shared" si="75"/>
        <v>2619</v>
      </c>
      <c r="R583" s="19">
        <f t="shared" si="72"/>
        <v>92372.13</v>
      </c>
      <c r="T583" s="19">
        <f t="shared" si="76"/>
        <v>60219.979999999996</v>
      </c>
      <c r="U583" s="19">
        <f t="shared" si="77"/>
        <v>66519.22</v>
      </c>
      <c r="V583" s="21">
        <f t="shared" si="78"/>
        <v>6299.2400000000052</v>
      </c>
      <c r="W583" s="18">
        <f t="shared" si="79"/>
        <v>0.10460382085812725</v>
      </c>
    </row>
    <row r="584" spans="1:23" x14ac:dyDescent="0.3">
      <c r="A584" t="s">
        <v>335</v>
      </c>
      <c r="B584" t="s">
        <v>1738</v>
      </c>
      <c r="C584" t="s">
        <v>16</v>
      </c>
      <c r="D584" t="s">
        <v>26</v>
      </c>
      <c r="E584">
        <v>903</v>
      </c>
      <c r="F584">
        <v>491.92</v>
      </c>
      <c r="G584">
        <v>418.12</v>
      </c>
      <c r="H584">
        <v>491.92</v>
      </c>
      <c r="I584">
        <v>3818</v>
      </c>
      <c r="J584">
        <v>18</v>
      </c>
      <c r="K584" s="17">
        <f t="shared" si="73"/>
        <v>2290.8000000000002</v>
      </c>
      <c r="L584" t="str">
        <f t="shared" si="74"/>
        <v>High Risk</v>
      </c>
      <c r="P584" s="19">
        <f t="shared" si="75"/>
        <v>1388</v>
      </c>
      <c r="R584" s="19">
        <f t="shared" si="72"/>
        <v>682784.96000000008</v>
      </c>
      <c r="T584" s="19">
        <f t="shared" si="76"/>
        <v>1596382.16</v>
      </c>
      <c r="U584" s="19">
        <f t="shared" si="77"/>
        <v>1878150.56</v>
      </c>
      <c r="V584" s="21">
        <f t="shared" si="78"/>
        <v>281768.40000000014</v>
      </c>
      <c r="W584" s="18">
        <f t="shared" si="79"/>
        <v>0.17650435281737309</v>
      </c>
    </row>
    <row r="585" spans="1:23" x14ac:dyDescent="0.3">
      <c r="A585" t="s">
        <v>340</v>
      </c>
      <c r="B585" t="s">
        <v>1809</v>
      </c>
      <c r="C585" t="s">
        <v>37</v>
      </c>
      <c r="D585" t="s">
        <v>17</v>
      </c>
      <c r="E585">
        <v>904</v>
      </c>
      <c r="F585">
        <v>244.03</v>
      </c>
      <c r="G585">
        <v>261.42</v>
      </c>
      <c r="H585">
        <v>244.03</v>
      </c>
      <c r="I585">
        <v>2725</v>
      </c>
      <c r="J585">
        <v>24</v>
      </c>
      <c r="K585" s="17">
        <f t="shared" si="73"/>
        <v>2180</v>
      </c>
      <c r="L585" t="str">
        <f t="shared" si="74"/>
        <v>High Risk</v>
      </c>
      <c r="P585" s="19">
        <f t="shared" si="75"/>
        <v>1276</v>
      </c>
      <c r="R585" s="19">
        <f t="shared" si="72"/>
        <v>311382.28000000003</v>
      </c>
      <c r="T585" s="19">
        <f t="shared" si="76"/>
        <v>712369.5</v>
      </c>
      <c r="U585" s="19">
        <f t="shared" si="77"/>
        <v>664981.75</v>
      </c>
      <c r="V585" s="21">
        <f t="shared" si="78"/>
        <v>-47387.75</v>
      </c>
      <c r="W585" s="18">
        <f t="shared" si="79"/>
        <v>-6.6521306709509606E-2</v>
      </c>
    </row>
    <row r="586" spans="1:23" x14ac:dyDescent="0.3">
      <c r="A586" t="s">
        <v>363</v>
      </c>
      <c r="B586" t="s">
        <v>2572</v>
      </c>
      <c r="C586" t="s">
        <v>23</v>
      </c>
      <c r="D586" t="s">
        <v>69</v>
      </c>
      <c r="E586">
        <v>906</v>
      </c>
      <c r="F586">
        <v>121.27</v>
      </c>
      <c r="G586">
        <v>118.19</v>
      </c>
      <c r="H586">
        <v>121.27</v>
      </c>
      <c r="I586">
        <v>2682</v>
      </c>
      <c r="J586">
        <v>55</v>
      </c>
      <c r="K586" s="17">
        <f t="shared" si="73"/>
        <v>4917</v>
      </c>
      <c r="L586" t="str">
        <f t="shared" si="74"/>
        <v>High Risk</v>
      </c>
      <c r="P586" s="19">
        <f t="shared" si="75"/>
        <v>4011</v>
      </c>
      <c r="R586" s="19">
        <f t="shared" si="72"/>
        <v>486413.97</v>
      </c>
      <c r="T586" s="19">
        <f t="shared" si="76"/>
        <v>316985.58</v>
      </c>
      <c r="U586" s="19">
        <f t="shared" si="77"/>
        <v>325246.14</v>
      </c>
      <c r="V586" s="21">
        <f t="shared" si="78"/>
        <v>8260.5599999999977</v>
      </c>
      <c r="W586" s="18">
        <f t="shared" si="79"/>
        <v>2.6059734326085108E-2</v>
      </c>
    </row>
    <row r="587" spans="1:23" x14ac:dyDescent="0.3">
      <c r="A587" t="s">
        <v>521</v>
      </c>
      <c r="B587" t="s">
        <v>938</v>
      </c>
      <c r="C587" t="s">
        <v>37</v>
      </c>
      <c r="D587" t="s">
        <v>26</v>
      </c>
      <c r="E587">
        <v>906</v>
      </c>
      <c r="F587">
        <v>238.39</v>
      </c>
      <c r="G587">
        <v>211.05</v>
      </c>
      <c r="H587">
        <v>238.39</v>
      </c>
      <c r="I587">
        <v>3762</v>
      </c>
      <c r="J587">
        <v>77</v>
      </c>
      <c r="K587" s="17">
        <f t="shared" si="73"/>
        <v>9655.8000000000011</v>
      </c>
      <c r="L587" t="str">
        <f t="shared" si="74"/>
        <v>High Risk</v>
      </c>
      <c r="P587" s="19">
        <f t="shared" si="75"/>
        <v>8750</v>
      </c>
      <c r="R587" s="19">
        <f t="shared" si="72"/>
        <v>2085912.4999999998</v>
      </c>
      <c r="T587" s="19">
        <f t="shared" si="76"/>
        <v>793970.10000000009</v>
      </c>
      <c r="U587" s="19">
        <f t="shared" si="77"/>
        <v>896823.17999999993</v>
      </c>
      <c r="V587" s="21">
        <f t="shared" si="78"/>
        <v>102853.07999999984</v>
      </c>
      <c r="W587" s="18">
        <f t="shared" si="79"/>
        <v>0.12954276237858306</v>
      </c>
    </row>
    <row r="588" spans="1:23" x14ac:dyDescent="0.3">
      <c r="A588" t="s">
        <v>727</v>
      </c>
      <c r="B588" t="s">
        <v>2185</v>
      </c>
      <c r="C588" t="s">
        <v>50</v>
      </c>
      <c r="D588" t="s">
        <v>17</v>
      </c>
      <c r="E588">
        <v>907</v>
      </c>
      <c r="F588">
        <v>496.17</v>
      </c>
      <c r="G588">
        <v>453.52</v>
      </c>
      <c r="H588">
        <v>496.17</v>
      </c>
      <c r="I588">
        <v>2479</v>
      </c>
      <c r="J588">
        <v>75</v>
      </c>
      <c r="K588" s="17">
        <f t="shared" si="73"/>
        <v>6197.5000000000009</v>
      </c>
      <c r="L588" t="str">
        <f t="shared" si="74"/>
        <v>High Risk</v>
      </c>
      <c r="P588" s="19">
        <f t="shared" si="75"/>
        <v>5291</v>
      </c>
      <c r="R588" s="19">
        <f t="shared" si="72"/>
        <v>2625235.4700000002</v>
      </c>
      <c r="T588" s="19">
        <f t="shared" si="76"/>
        <v>1124276.0799999998</v>
      </c>
      <c r="U588" s="19">
        <f t="shared" si="77"/>
        <v>1230005.43</v>
      </c>
      <c r="V588" s="21">
        <f t="shared" si="78"/>
        <v>105729.35000000009</v>
      </c>
      <c r="W588" s="18">
        <f t="shared" si="79"/>
        <v>9.4042159110954412E-2</v>
      </c>
    </row>
    <row r="589" spans="1:23" x14ac:dyDescent="0.3">
      <c r="A589" t="s">
        <v>253</v>
      </c>
      <c r="B589" t="s">
        <v>3208</v>
      </c>
      <c r="C589" t="s">
        <v>37</v>
      </c>
      <c r="D589" t="s">
        <v>20</v>
      </c>
      <c r="E589">
        <v>912</v>
      </c>
      <c r="F589">
        <v>77.31</v>
      </c>
      <c r="G589">
        <v>82.54</v>
      </c>
      <c r="H589">
        <v>77.31</v>
      </c>
      <c r="I589">
        <v>3897</v>
      </c>
      <c r="J589">
        <v>25</v>
      </c>
      <c r="K589" s="17">
        <f t="shared" si="73"/>
        <v>3247.5</v>
      </c>
      <c r="L589" t="str">
        <f t="shared" si="74"/>
        <v>High Risk</v>
      </c>
      <c r="P589" s="19">
        <f t="shared" si="75"/>
        <v>2336</v>
      </c>
      <c r="R589" s="19">
        <f t="shared" si="72"/>
        <v>180596.16</v>
      </c>
      <c r="T589" s="19">
        <f t="shared" si="76"/>
        <v>321658.38</v>
      </c>
      <c r="U589" s="19">
        <f t="shared" si="77"/>
        <v>301277.07</v>
      </c>
      <c r="V589" s="21">
        <f t="shared" si="78"/>
        <v>-20381.309999999998</v>
      </c>
      <c r="W589" s="18">
        <f t="shared" si="79"/>
        <v>-6.336321783377756E-2</v>
      </c>
    </row>
    <row r="590" spans="1:23" x14ac:dyDescent="0.3">
      <c r="A590" t="s">
        <v>940</v>
      </c>
      <c r="B590" t="s">
        <v>2832</v>
      </c>
      <c r="C590" t="s">
        <v>16</v>
      </c>
      <c r="D590" t="s">
        <v>69</v>
      </c>
      <c r="E590">
        <v>915</v>
      </c>
      <c r="F590">
        <v>343.2</v>
      </c>
      <c r="G590">
        <v>317.5</v>
      </c>
      <c r="H590">
        <v>343.2</v>
      </c>
      <c r="I590">
        <v>3784</v>
      </c>
      <c r="J590">
        <v>14</v>
      </c>
      <c r="K590" s="17">
        <f t="shared" si="73"/>
        <v>1765.8666666666668</v>
      </c>
      <c r="L590" t="str">
        <f t="shared" si="74"/>
        <v>High Risk</v>
      </c>
      <c r="P590" s="19">
        <f t="shared" si="75"/>
        <v>851</v>
      </c>
      <c r="R590" s="19">
        <f t="shared" si="72"/>
        <v>292063.2</v>
      </c>
      <c r="T590" s="19">
        <f t="shared" si="76"/>
        <v>1201420</v>
      </c>
      <c r="U590" s="19">
        <f t="shared" si="77"/>
        <v>1298668.8</v>
      </c>
      <c r="V590" s="21">
        <f t="shared" si="78"/>
        <v>97248.800000000047</v>
      </c>
      <c r="W590" s="18">
        <f t="shared" si="79"/>
        <v>8.0944881889763814E-2</v>
      </c>
    </row>
    <row r="591" spans="1:23" x14ac:dyDescent="0.3">
      <c r="A591" t="s">
        <v>1113</v>
      </c>
      <c r="B591" t="s">
        <v>2038</v>
      </c>
      <c r="C591" t="s">
        <v>23</v>
      </c>
      <c r="D591" t="s">
        <v>20</v>
      </c>
      <c r="E591">
        <v>917</v>
      </c>
      <c r="F591">
        <v>426.77</v>
      </c>
      <c r="G591">
        <v>405.57</v>
      </c>
      <c r="H591">
        <v>426.77</v>
      </c>
      <c r="I591">
        <v>1453</v>
      </c>
      <c r="J591">
        <v>25</v>
      </c>
      <c r="K591" s="17">
        <f t="shared" si="73"/>
        <v>1210.8333333333333</v>
      </c>
      <c r="L591" t="str">
        <f t="shared" si="74"/>
        <v>High Risk</v>
      </c>
      <c r="P591" s="19">
        <f t="shared" si="75"/>
        <v>294</v>
      </c>
      <c r="R591" s="19">
        <f t="shared" si="72"/>
        <v>125470.37999999999</v>
      </c>
      <c r="T591" s="19">
        <f t="shared" si="76"/>
        <v>589293.21</v>
      </c>
      <c r="U591" s="19">
        <f t="shared" si="77"/>
        <v>620096.80999999994</v>
      </c>
      <c r="V591" s="21">
        <f t="shared" si="78"/>
        <v>30803.599999999977</v>
      </c>
      <c r="W591" s="18">
        <f t="shared" si="79"/>
        <v>5.2272110856325632E-2</v>
      </c>
    </row>
    <row r="592" spans="1:23" x14ac:dyDescent="0.3">
      <c r="A592" t="s">
        <v>333</v>
      </c>
      <c r="B592" t="s">
        <v>1209</v>
      </c>
      <c r="C592" t="s">
        <v>12</v>
      </c>
      <c r="D592" t="s">
        <v>26</v>
      </c>
      <c r="E592">
        <v>921</v>
      </c>
      <c r="F592">
        <v>262.97000000000003</v>
      </c>
      <c r="G592">
        <v>264.19</v>
      </c>
      <c r="H592">
        <v>262.97000000000003</v>
      </c>
      <c r="I592">
        <v>1479</v>
      </c>
      <c r="J592">
        <v>56</v>
      </c>
      <c r="K592" s="17">
        <f t="shared" si="73"/>
        <v>2760.7999999999997</v>
      </c>
      <c r="L592" t="str">
        <f t="shared" si="74"/>
        <v>High Risk</v>
      </c>
      <c r="P592" s="19">
        <f t="shared" si="75"/>
        <v>1840</v>
      </c>
      <c r="R592" s="19">
        <f t="shared" si="72"/>
        <v>483864.80000000005</v>
      </c>
      <c r="T592" s="19">
        <f t="shared" si="76"/>
        <v>390737.01</v>
      </c>
      <c r="U592" s="19">
        <f t="shared" si="77"/>
        <v>388932.63000000006</v>
      </c>
      <c r="V592" s="21">
        <f t="shared" si="78"/>
        <v>-1804.3799999999464</v>
      </c>
      <c r="W592" s="18">
        <f t="shared" si="79"/>
        <v>-4.6178886407508375E-3</v>
      </c>
    </row>
    <row r="593" spans="1:23" x14ac:dyDescent="0.3">
      <c r="A593" t="s">
        <v>80</v>
      </c>
      <c r="B593" t="s">
        <v>625</v>
      </c>
      <c r="C593" t="s">
        <v>50</v>
      </c>
      <c r="D593" t="s">
        <v>69</v>
      </c>
      <c r="E593">
        <v>923</v>
      </c>
      <c r="F593">
        <v>472.56</v>
      </c>
      <c r="G593">
        <v>452.33</v>
      </c>
      <c r="H593">
        <v>472.56</v>
      </c>
      <c r="I593">
        <v>1172</v>
      </c>
      <c r="J593">
        <v>33</v>
      </c>
      <c r="K593" s="17">
        <f t="shared" si="73"/>
        <v>1289.2</v>
      </c>
      <c r="L593" t="str">
        <f t="shared" si="74"/>
        <v>High Risk</v>
      </c>
      <c r="P593" s="19">
        <f t="shared" si="75"/>
        <v>367</v>
      </c>
      <c r="R593" s="19">
        <f t="shared" si="72"/>
        <v>173429.52</v>
      </c>
      <c r="T593" s="19">
        <f t="shared" si="76"/>
        <v>530130.76</v>
      </c>
      <c r="U593" s="19">
        <f t="shared" si="77"/>
        <v>553840.31999999995</v>
      </c>
      <c r="V593" s="21">
        <f t="shared" si="78"/>
        <v>23709.559999999939</v>
      </c>
      <c r="W593" s="18">
        <f t="shared" si="79"/>
        <v>4.4723984701434676E-2</v>
      </c>
    </row>
    <row r="594" spans="1:23" x14ac:dyDescent="0.3">
      <c r="A594" t="s">
        <v>349</v>
      </c>
      <c r="B594" t="s">
        <v>350</v>
      </c>
      <c r="C594" t="s">
        <v>50</v>
      </c>
      <c r="D594" t="s">
        <v>13</v>
      </c>
      <c r="E594">
        <v>925</v>
      </c>
      <c r="F594">
        <v>163.62</v>
      </c>
      <c r="G594">
        <v>163.09</v>
      </c>
      <c r="H594">
        <v>163.62</v>
      </c>
      <c r="I594">
        <v>3807</v>
      </c>
      <c r="J594">
        <v>9</v>
      </c>
      <c r="K594" s="17">
        <f t="shared" si="73"/>
        <v>1142.1000000000001</v>
      </c>
      <c r="L594" t="str">
        <f t="shared" si="74"/>
        <v>High Risk</v>
      </c>
      <c r="P594" s="19">
        <f t="shared" si="75"/>
        <v>218</v>
      </c>
      <c r="R594" s="19">
        <f t="shared" si="72"/>
        <v>35669.160000000003</v>
      </c>
      <c r="T594" s="19">
        <f t="shared" si="76"/>
        <v>620883.63</v>
      </c>
      <c r="U594" s="19">
        <f t="shared" si="77"/>
        <v>622901.34</v>
      </c>
      <c r="V594" s="21">
        <f t="shared" si="78"/>
        <v>2017.7099999999627</v>
      </c>
      <c r="W594" s="18">
        <f t="shared" si="79"/>
        <v>3.2497394076889462E-3</v>
      </c>
    </row>
    <row r="595" spans="1:23" x14ac:dyDescent="0.3">
      <c r="A595" t="s">
        <v>51</v>
      </c>
      <c r="B595" t="s">
        <v>1065</v>
      </c>
      <c r="C595" t="s">
        <v>50</v>
      </c>
      <c r="D595" t="s">
        <v>13</v>
      </c>
      <c r="E595">
        <v>925</v>
      </c>
      <c r="F595">
        <v>366.05</v>
      </c>
      <c r="G595">
        <v>351.22</v>
      </c>
      <c r="H595">
        <v>366.05</v>
      </c>
      <c r="I595">
        <v>3679</v>
      </c>
      <c r="J595">
        <v>67</v>
      </c>
      <c r="K595" s="17">
        <f t="shared" si="73"/>
        <v>8216.4333333333343</v>
      </c>
      <c r="L595" t="str">
        <f t="shared" si="74"/>
        <v>High Risk</v>
      </c>
      <c r="P595" s="19">
        <f t="shared" si="75"/>
        <v>7292</v>
      </c>
      <c r="R595" s="19">
        <f t="shared" si="72"/>
        <v>2669236.6</v>
      </c>
      <c r="T595" s="19">
        <f t="shared" si="76"/>
        <v>1292138.3800000001</v>
      </c>
      <c r="U595" s="19">
        <f t="shared" si="77"/>
        <v>1346697.95</v>
      </c>
      <c r="V595" s="21">
        <f t="shared" si="78"/>
        <v>54559.569999999832</v>
      </c>
      <c r="W595" s="18">
        <f t="shared" si="79"/>
        <v>4.2224246910768044E-2</v>
      </c>
    </row>
    <row r="596" spans="1:23" x14ac:dyDescent="0.3">
      <c r="A596" t="s">
        <v>1679</v>
      </c>
      <c r="B596" t="s">
        <v>3076</v>
      </c>
      <c r="C596" t="s">
        <v>16</v>
      </c>
      <c r="D596" t="s">
        <v>17</v>
      </c>
      <c r="E596">
        <v>927</v>
      </c>
      <c r="F596">
        <v>410.41</v>
      </c>
      <c r="G596">
        <v>444.78</v>
      </c>
      <c r="H596">
        <v>410.41</v>
      </c>
      <c r="I596">
        <v>1765</v>
      </c>
      <c r="J596">
        <v>60</v>
      </c>
      <c r="K596" s="17">
        <f t="shared" si="73"/>
        <v>3530</v>
      </c>
      <c r="L596" t="str">
        <f t="shared" si="74"/>
        <v>High Risk</v>
      </c>
      <c r="P596" s="19">
        <f t="shared" si="75"/>
        <v>2603</v>
      </c>
      <c r="R596" s="19">
        <f t="shared" si="72"/>
        <v>1068297.23</v>
      </c>
      <c r="T596" s="19">
        <f t="shared" si="76"/>
        <v>785036.7</v>
      </c>
      <c r="U596" s="19">
        <f t="shared" si="77"/>
        <v>724373.65</v>
      </c>
      <c r="V596" s="21">
        <f t="shared" si="78"/>
        <v>-60663.04999999993</v>
      </c>
      <c r="W596" s="18">
        <f t="shared" si="79"/>
        <v>-7.7274158010701838E-2</v>
      </c>
    </row>
    <row r="597" spans="1:23" x14ac:dyDescent="0.3">
      <c r="A597" t="s">
        <v>755</v>
      </c>
      <c r="B597" t="s">
        <v>2149</v>
      </c>
      <c r="C597" t="s">
        <v>12</v>
      </c>
      <c r="D597" t="s">
        <v>17</v>
      </c>
      <c r="E597">
        <v>929</v>
      </c>
      <c r="F597">
        <v>434.15</v>
      </c>
      <c r="G597">
        <v>390.13</v>
      </c>
      <c r="H597">
        <v>434.15</v>
      </c>
      <c r="I597">
        <v>2688</v>
      </c>
      <c r="J597">
        <v>80</v>
      </c>
      <c r="K597" s="17">
        <f t="shared" si="73"/>
        <v>7168</v>
      </c>
      <c r="L597" t="str">
        <f t="shared" si="74"/>
        <v>High Risk</v>
      </c>
      <c r="P597" s="19">
        <f t="shared" si="75"/>
        <v>6239</v>
      </c>
      <c r="R597" s="19">
        <f t="shared" si="72"/>
        <v>2708661.8499999996</v>
      </c>
      <c r="T597" s="19">
        <f t="shared" si="76"/>
        <v>1048669.44</v>
      </c>
      <c r="U597" s="19">
        <f t="shared" si="77"/>
        <v>1166995.2</v>
      </c>
      <c r="V597" s="21">
        <f t="shared" si="78"/>
        <v>118325.76000000001</v>
      </c>
      <c r="W597" s="18">
        <f t="shared" si="79"/>
        <v>0.11283418347730245</v>
      </c>
    </row>
    <row r="598" spans="1:23" x14ac:dyDescent="0.3">
      <c r="A598" t="s">
        <v>923</v>
      </c>
      <c r="B598" t="s">
        <v>1912</v>
      </c>
      <c r="C598" t="s">
        <v>12</v>
      </c>
      <c r="D598" t="s">
        <v>13</v>
      </c>
      <c r="E598">
        <v>929</v>
      </c>
      <c r="F598">
        <v>70.3</v>
      </c>
      <c r="G598">
        <v>68.53</v>
      </c>
      <c r="H598">
        <v>70.3</v>
      </c>
      <c r="I598">
        <v>311</v>
      </c>
      <c r="J598">
        <v>74</v>
      </c>
      <c r="K598" s="17">
        <f t="shared" si="73"/>
        <v>767.13333333333333</v>
      </c>
      <c r="L598" t="str">
        <f t="shared" si="74"/>
        <v>Sufficuent Stock</v>
      </c>
      <c r="P598" s="19">
        <f t="shared" si="75"/>
        <v>0</v>
      </c>
      <c r="R598" s="19">
        <f t="shared" si="72"/>
        <v>0</v>
      </c>
      <c r="T598" s="19">
        <f t="shared" si="76"/>
        <v>21312.83</v>
      </c>
      <c r="U598" s="19">
        <f t="shared" si="77"/>
        <v>21863.3</v>
      </c>
      <c r="V598" s="21">
        <f t="shared" si="78"/>
        <v>550.46999999999753</v>
      </c>
      <c r="W598" s="18">
        <f t="shared" si="79"/>
        <v>2.5828104479789754E-2</v>
      </c>
    </row>
    <row r="599" spans="1:23" x14ac:dyDescent="0.3">
      <c r="A599" t="s">
        <v>48</v>
      </c>
      <c r="B599" t="s">
        <v>515</v>
      </c>
      <c r="C599" t="s">
        <v>23</v>
      </c>
      <c r="D599" t="s">
        <v>69</v>
      </c>
      <c r="E599">
        <v>929</v>
      </c>
      <c r="F599">
        <v>259.37</v>
      </c>
      <c r="G599">
        <v>217.57</v>
      </c>
      <c r="H599">
        <v>259.37</v>
      </c>
      <c r="I599">
        <v>636</v>
      </c>
      <c r="J599">
        <v>30</v>
      </c>
      <c r="K599" s="17">
        <f t="shared" si="73"/>
        <v>636</v>
      </c>
      <c r="L599" t="str">
        <f t="shared" si="74"/>
        <v>Sufficuent Stock</v>
      </c>
      <c r="P599" s="19">
        <f t="shared" si="75"/>
        <v>0</v>
      </c>
      <c r="R599" s="19">
        <f t="shared" si="72"/>
        <v>0</v>
      </c>
      <c r="T599" s="19">
        <f t="shared" si="76"/>
        <v>138374.51999999999</v>
      </c>
      <c r="U599" s="19">
        <f t="shared" si="77"/>
        <v>164959.32</v>
      </c>
      <c r="V599" s="21">
        <f t="shared" si="78"/>
        <v>26584.800000000017</v>
      </c>
      <c r="W599" s="18">
        <f t="shared" si="79"/>
        <v>0.1921220756538127</v>
      </c>
    </row>
    <row r="600" spans="1:23" x14ac:dyDescent="0.3">
      <c r="A600" t="s">
        <v>427</v>
      </c>
      <c r="B600" t="s">
        <v>2830</v>
      </c>
      <c r="C600" t="s">
        <v>16</v>
      </c>
      <c r="D600" t="s">
        <v>69</v>
      </c>
      <c r="E600">
        <v>932</v>
      </c>
      <c r="F600">
        <v>418.55</v>
      </c>
      <c r="G600">
        <v>455.95</v>
      </c>
      <c r="H600">
        <v>418.55</v>
      </c>
      <c r="I600">
        <v>1503</v>
      </c>
      <c r="J600">
        <v>25</v>
      </c>
      <c r="K600" s="17">
        <f t="shared" si="73"/>
        <v>1252.5</v>
      </c>
      <c r="L600" t="str">
        <f t="shared" si="74"/>
        <v>High Risk</v>
      </c>
      <c r="P600" s="19">
        <f t="shared" si="75"/>
        <v>321</v>
      </c>
      <c r="R600" s="19">
        <f t="shared" si="72"/>
        <v>134354.55000000002</v>
      </c>
      <c r="T600" s="19">
        <f t="shared" si="76"/>
        <v>685292.85</v>
      </c>
      <c r="U600" s="19">
        <f t="shared" si="77"/>
        <v>629080.65</v>
      </c>
      <c r="V600" s="21">
        <f t="shared" si="78"/>
        <v>-56212.199999999953</v>
      </c>
      <c r="W600" s="18">
        <f t="shared" si="79"/>
        <v>-8.2026537997587384E-2</v>
      </c>
    </row>
    <row r="601" spans="1:23" x14ac:dyDescent="0.3">
      <c r="A601" t="s">
        <v>1497</v>
      </c>
      <c r="B601" t="s">
        <v>1498</v>
      </c>
      <c r="C601" t="s">
        <v>37</v>
      </c>
      <c r="D601" t="s">
        <v>69</v>
      </c>
      <c r="E601">
        <v>934</v>
      </c>
      <c r="F601">
        <v>499.55</v>
      </c>
      <c r="G601">
        <v>459.05</v>
      </c>
      <c r="H601">
        <v>499.55</v>
      </c>
      <c r="I601">
        <v>383</v>
      </c>
      <c r="J601">
        <v>69</v>
      </c>
      <c r="K601" s="17">
        <f t="shared" si="73"/>
        <v>880.90000000000009</v>
      </c>
      <c r="L601" t="str">
        <f t="shared" si="74"/>
        <v>Sufficuent Stock</v>
      </c>
      <c r="P601" s="19">
        <f t="shared" si="75"/>
        <v>0</v>
      </c>
      <c r="R601" s="19">
        <f t="shared" si="72"/>
        <v>0</v>
      </c>
      <c r="T601" s="19">
        <f t="shared" si="76"/>
        <v>175816.15</v>
      </c>
      <c r="U601" s="19">
        <f t="shared" si="77"/>
        <v>191327.65</v>
      </c>
      <c r="V601" s="21">
        <f t="shared" si="78"/>
        <v>15511.5</v>
      </c>
      <c r="W601" s="18">
        <f t="shared" si="79"/>
        <v>8.8225683476745462E-2</v>
      </c>
    </row>
    <row r="602" spans="1:23" x14ac:dyDescent="0.3">
      <c r="A602" t="s">
        <v>498</v>
      </c>
      <c r="B602" t="s">
        <v>1843</v>
      </c>
      <c r="C602" t="s">
        <v>37</v>
      </c>
      <c r="D602" t="s">
        <v>13</v>
      </c>
      <c r="E602">
        <v>937</v>
      </c>
      <c r="F602">
        <v>292.60000000000002</v>
      </c>
      <c r="G602">
        <v>316.16000000000003</v>
      </c>
      <c r="H602">
        <v>292.60000000000002</v>
      </c>
      <c r="I602">
        <v>3008</v>
      </c>
      <c r="J602">
        <v>76</v>
      </c>
      <c r="K602" s="17">
        <f t="shared" si="73"/>
        <v>7620.2666666666664</v>
      </c>
      <c r="L602" t="str">
        <f t="shared" si="74"/>
        <v>High Risk</v>
      </c>
      <c r="P602" s="19">
        <f t="shared" si="75"/>
        <v>6684</v>
      </c>
      <c r="R602" s="19">
        <f t="shared" si="72"/>
        <v>1955738.4000000001</v>
      </c>
      <c r="T602" s="19">
        <f t="shared" si="76"/>
        <v>951009.28000000003</v>
      </c>
      <c r="U602" s="19">
        <f t="shared" si="77"/>
        <v>880140.80000000005</v>
      </c>
      <c r="V602" s="21">
        <f t="shared" si="78"/>
        <v>-70868.479999999981</v>
      </c>
      <c r="W602" s="18">
        <f t="shared" si="79"/>
        <v>-7.4519230769230754E-2</v>
      </c>
    </row>
    <row r="603" spans="1:23" x14ac:dyDescent="0.3">
      <c r="A603" t="s">
        <v>626</v>
      </c>
      <c r="B603" t="s">
        <v>1924</v>
      </c>
      <c r="C603" t="s">
        <v>37</v>
      </c>
      <c r="D603" t="s">
        <v>26</v>
      </c>
      <c r="E603">
        <v>938</v>
      </c>
      <c r="F603">
        <v>145.68</v>
      </c>
      <c r="G603">
        <v>159.34</v>
      </c>
      <c r="H603">
        <v>145.68</v>
      </c>
      <c r="I603">
        <v>822</v>
      </c>
      <c r="J603">
        <v>51</v>
      </c>
      <c r="K603" s="17">
        <f t="shared" si="73"/>
        <v>1397.3999999999999</v>
      </c>
      <c r="L603" t="str">
        <f t="shared" si="74"/>
        <v>High Risk</v>
      </c>
      <c r="P603" s="19">
        <f t="shared" si="75"/>
        <v>460</v>
      </c>
      <c r="R603" s="19">
        <f t="shared" si="72"/>
        <v>67012.800000000003</v>
      </c>
      <c r="T603" s="19">
        <f t="shared" si="76"/>
        <v>130977.48</v>
      </c>
      <c r="U603" s="19">
        <f t="shared" si="77"/>
        <v>119748.96</v>
      </c>
      <c r="V603" s="21">
        <f t="shared" si="78"/>
        <v>-11228.51999999999</v>
      </c>
      <c r="W603" s="18">
        <f t="shared" si="79"/>
        <v>-8.5728630601229996E-2</v>
      </c>
    </row>
    <row r="604" spans="1:23" x14ac:dyDescent="0.3">
      <c r="A604" t="s">
        <v>216</v>
      </c>
      <c r="B604" t="s">
        <v>1773</v>
      </c>
      <c r="C604" t="s">
        <v>12</v>
      </c>
      <c r="D604" t="s">
        <v>20</v>
      </c>
      <c r="E604">
        <v>940</v>
      </c>
      <c r="F604">
        <v>289.44</v>
      </c>
      <c r="G604">
        <v>280</v>
      </c>
      <c r="H604">
        <v>289.44</v>
      </c>
      <c r="I604">
        <v>1667</v>
      </c>
      <c r="J604">
        <v>54</v>
      </c>
      <c r="K604" s="17">
        <f t="shared" si="73"/>
        <v>3000.6000000000004</v>
      </c>
      <c r="L604" t="str">
        <f t="shared" si="74"/>
        <v>High Risk</v>
      </c>
      <c r="P604" s="19">
        <f t="shared" si="75"/>
        <v>2061</v>
      </c>
      <c r="R604" s="19">
        <f t="shared" si="72"/>
        <v>596535.84</v>
      </c>
      <c r="T604" s="19">
        <f t="shared" si="76"/>
        <v>466760</v>
      </c>
      <c r="U604" s="19">
        <f t="shared" si="77"/>
        <v>482496.48</v>
      </c>
      <c r="V604" s="21">
        <f t="shared" si="78"/>
        <v>15736.479999999981</v>
      </c>
      <c r="W604" s="18">
        <f t="shared" si="79"/>
        <v>3.3714285714285676E-2</v>
      </c>
    </row>
    <row r="605" spans="1:23" x14ac:dyDescent="0.3">
      <c r="A605" t="s">
        <v>590</v>
      </c>
      <c r="B605" t="s">
        <v>2664</v>
      </c>
      <c r="C605" t="s">
        <v>16</v>
      </c>
      <c r="D605" t="s">
        <v>13</v>
      </c>
      <c r="E605">
        <v>941</v>
      </c>
      <c r="F605">
        <v>320.17</v>
      </c>
      <c r="G605">
        <v>330.46</v>
      </c>
      <c r="H605">
        <v>320.17</v>
      </c>
      <c r="I605">
        <v>3931</v>
      </c>
      <c r="J605">
        <v>70</v>
      </c>
      <c r="K605" s="17">
        <f t="shared" si="73"/>
        <v>9172.3333333333339</v>
      </c>
      <c r="L605" t="str">
        <f t="shared" si="74"/>
        <v>High Risk</v>
      </c>
      <c r="P605" s="19">
        <f t="shared" si="75"/>
        <v>8232</v>
      </c>
      <c r="R605" s="19">
        <f t="shared" si="72"/>
        <v>2635639.44</v>
      </c>
      <c r="T605" s="19">
        <f t="shared" si="76"/>
        <v>1299038.26</v>
      </c>
      <c r="U605" s="19">
        <f t="shared" si="77"/>
        <v>1258588.27</v>
      </c>
      <c r="V605" s="21">
        <f t="shared" si="78"/>
        <v>-40449.989999999991</v>
      </c>
      <c r="W605" s="18">
        <f t="shared" si="79"/>
        <v>-3.1138413121103908E-2</v>
      </c>
    </row>
    <row r="606" spans="1:23" x14ac:dyDescent="0.3">
      <c r="A606" t="s">
        <v>328</v>
      </c>
      <c r="B606" t="s">
        <v>3379</v>
      </c>
      <c r="C606" t="s">
        <v>23</v>
      </c>
      <c r="D606" t="s">
        <v>20</v>
      </c>
      <c r="E606">
        <v>946</v>
      </c>
      <c r="F606">
        <v>226.94</v>
      </c>
      <c r="G606">
        <v>251.28</v>
      </c>
      <c r="H606">
        <v>226.94</v>
      </c>
      <c r="I606">
        <v>1941</v>
      </c>
      <c r="J606">
        <v>9</v>
      </c>
      <c r="K606" s="17">
        <f t="shared" si="73"/>
        <v>582.30000000000007</v>
      </c>
      <c r="L606" t="str">
        <f t="shared" si="74"/>
        <v>Sufficuent Stock</v>
      </c>
      <c r="P606" s="19">
        <f t="shared" si="75"/>
        <v>0</v>
      </c>
      <c r="R606" s="19">
        <f t="shared" si="72"/>
        <v>0</v>
      </c>
      <c r="T606" s="19">
        <f t="shared" si="76"/>
        <v>487734.48</v>
      </c>
      <c r="U606" s="19">
        <f t="shared" si="77"/>
        <v>440490.54</v>
      </c>
      <c r="V606" s="21">
        <f t="shared" si="78"/>
        <v>-47243.94</v>
      </c>
      <c r="W606" s="18">
        <f t="shared" si="79"/>
        <v>-9.6864056033110477E-2</v>
      </c>
    </row>
    <row r="607" spans="1:23" x14ac:dyDescent="0.3">
      <c r="A607" t="s">
        <v>203</v>
      </c>
      <c r="B607" t="s">
        <v>1486</v>
      </c>
      <c r="C607" t="s">
        <v>37</v>
      </c>
      <c r="D607" t="s">
        <v>13</v>
      </c>
      <c r="E607">
        <v>946</v>
      </c>
      <c r="F607">
        <v>156.26</v>
      </c>
      <c r="G607">
        <v>171.57</v>
      </c>
      <c r="H607">
        <v>156.26</v>
      </c>
      <c r="I607">
        <v>2316</v>
      </c>
      <c r="J607">
        <v>28</v>
      </c>
      <c r="K607" s="17">
        <f t="shared" si="73"/>
        <v>2161.6</v>
      </c>
      <c r="L607" t="str">
        <f t="shared" si="74"/>
        <v>High Risk</v>
      </c>
      <c r="P607" s="19">
        <f t="shared" si="75"/>
        <v>1216</v>
      </c>
      <c r="R607" s="19">
        <f t="shared" si="72"/>
        <v>190012.15999999997</v>
      </c>
      <c r="T607" s="19">
        <f t="shared" si="76"/>
        <v>397356.12</v>
      </c>
      <c r="U607" s="19">
        <f t="shared" si="77"/>
        <v>361898.16</v>
      </c>
      <c r="V607" s="21">
        <f t="shared" si="78"/>
        <v>-35457.960000000021</v>
      </c>
      <c r="W607" s="18">
        <f t="shared" si="79"/>
        <v>-8.9234714693711081E-2</v>
      </c>
    </row>
    <row r="608" spans="1:23" x14ac:dyDescent="0.3">
      <c r="A608" t="s">
        <v>155</v>
      </c>
      <c r="B608" t="s">
        <v>2058</v>
      </c>
      <c r="C608" t="s">
        <v>50</v>
      </c>
      <c r="D608" t="s">
        <v>13</v>
      </c>
      <c r="E608">
        <v>950</v>
      </c>
      <c r="F608">
        <v>550.87</v>
      </c>
      <c r="G608">
        <v>468.93</v>
      </c>
      <c r="H608">
        <v>550.87</v>
      </c>
      <c r="I608">
        <v>1899</v>
      </c>
      <c r="J608">
        <v>18</v>
      </c>
      <c r="K608" s="17">
        <f t="shared" si="73"/>
        <v>1139.3999999999999</v>
      </c>
      <c r="L608" t="str">
        <f t="shared" si="74"/>
        <v>High Risk</v>
      </c>
      <c r="P608" s="19">
        <f t="shared" si="75"/>
        <v>190</v>
      </c>
      <c r="R608" s="19">
        <f t="shared" si="72"/>
        <v>104665.3</v>
      </c>
      <c r="T608" s="19">
        <f t="shared" si="76"/>
        <v>890498.07000000007</v>
      </c>
      <c r="U608" s="19">
        <f t="shared" si="77"/>
        <v>1046102.13</v>
      </c>
      <c r="V608" s="21">
        <f t="shared" si="78"/>
        <v>155604.05999999994</v>
      </c>
      <c r="W608" s="18">
        <f t="shared" si="79"/>
        <v>0.17473823385153425</v>
      </c>
    </row>
    <row r="609" spans="1:23" x14ac:dyDescent="0.3">
      <c r="A609" t="s">
        <v>459</v>
      </c>
      <c r="B609" t="s">
        <v>3050</v>
      </c>
      <c r="C609" t="s">
        <v>23</v>
      </c>
      <c r="D609" t="s">
        <v>17</v>
      </c>
      <c r="E609">
        <v>951</v>
      </c>
      <c r="F609">
        <v>91.12</v>
      </c>
      <c r="G609">
        <v>89.95</v>
      </c>
      <c r="H609">
        <v>91.12</v>
      </c>
      <c r="I609">
        <v>842</v>
      </c>
      <c r="J609">
        <v>69</v>
      </c>
      <c r="K609" s="17">
        <f t="shared" si="73"/>
        <v>1936.6</v>
      </c>
      <c r="L609" t="str">
        <f t="shared" si="74"/>
        <v>High Risk</v>
      </c>
      <c r="P609" s="19">
        <f t="shared" si="75"/>
        <v>986</v>
      </c>
      <c r="R609" s="19">
        <f t="shared" si="72"/>
        <v>89844.32</v>
      </c>
      <c r="T609" s="19">
        <f t="shared" si="76"/>
        <v>75737.900000000009</v>
      </c>
      <c r="U609" s="19">
        <f t="shared" si="77"/>
        <v>76723.040000000008</v>
      </c>
      <c r="V609" s="21">
        <f t="shared" si="78"/>
        <v>985.13999999999942</v>
      </c>
      <c r="W609" s="18">
        <f t="shared" si="79"/>
        <v>1.3007226236798211E-2</v>
      </c>
    </row>
    <row r="610" spans="1:23" x14ac:dyDescent="0.3">
      <c r="A610" t="s">
        <v>103</v>
      </c>
      <c r="B610" t="s">
        <v>1887</v>
      </c>
      <c r="C610" t="s">
        <v>16</v>
      </c>
      <c r="D610" t="s">
        <v>26</v>
      </c>
      <c r="E610">
        <v>951</v>
      </c>
      <c r="F610">
        <v>195.03</v>
      </c>
      <c r="G610">
        <v>209.68</v>
      </c>
      <c r="H610">
        <v>195.03</v>
      </c>
      <c r="I610">
        <v>3239</v>
      </c>
      <c r="J610">
        <v>66</v>
      </c>
      <c r="K610" s="17">
        <f t="shared" si="73"/>
        <v>7125.8</v>
      </c>
      <c r="L610" t="str">
        <f t="shared" si="74"/>
        <v>High Risk</v>
      </c>
      <c r="P610" s="19">
        <f t="shared" si="75"/>
        <v>6175</v>
      </c>
      <c r="R610" s="19">
        <f t="shared" si="72"/>
        <v>1204310.25</v>
      </c>
      <c r="T610" s="19">
        <f t="shared" si="76"/>
        <v>679153.52</v>
      </c>
      <c r="U610" s="19">
        <f t="shared" si="77"/>
        <v>631702.17000000004</v>
      </c>
      <c r="V610" s="21">
        <f t="shared" si="78"/>
        <v>-47451.349999999977</v>
      </c>
      <c r="W610" s="18">
        <f t="shared" si="79"/>
        <v>-6.9868370850820261E-2</v>
      </c>
    </row>
    <row r="611" spans="1:23" x14ac:dyDescent="0.3">
      <c r="A611" t="s">
        <v>273</v>
      </c>
      <c r="B611" t="s">
        <v>3356</v>
      </c>
      <c r="C611" t="s">
        <v>50</v>
      </c>
      <c r="D611" t="s">
        <v>20</v>
      </c>
      <c r="E611">
        <v>952</v>
      </c>
      <c r="F611">
        <v>167.34</v>
      </c>
      <c r="G611">
        <v>161.76</v>
      </c>
      <c r="H611">
        <v>167.34</v>
      </c>
      <c r="I611">
        <v>809</v>
      </c>
      <c r="J611">
        <v>32</v>
      </c>
      <c r="K611" s="17">
        <f t="shared" si="73"/>
        <v>862.93333333333328</v>
      </c>
      <c r="L611" t="str">
        <f t="shared" si="74"/>
        <v>Sufficuent Stock</v>
      </c>
      <c r="P611" s="19">
        <f t="shared" si="75"/>
        <v>0</v>
      </c>
      <c r="R611" s="19">
        <f t="shared" si="72"/>
        <v>0</v>
      </c>
      <c r="T611" s="19">
        <f t="shared" si="76"/>
        <v>130863.84</v>
      </c>
      <c r="U611" s="19">
        <f t="shared" si="77"/>
        <v>135378.06</v>
      </c>
      <c r="V611" s="21">
        <f t="shared" si="78"/>
        <v>4514.2200000000012</v>
      </c>
      <c r="W611" s="18">
        <f t="shared" si="79"/>
        <v>3.4495548961424344E-2</v>
      </c>
    </row>
    <row r="612" spans="1:23" x14ac:dyDescent="0.3">
      <c r="A612" t="s">
        <v>686</v>
      </c>
      <c r="B612" t="s">
        <v>3363</v>
      </c>
      <c r="C612" t="s">
        <v>23</v>
      </c>
      <c r="D612" t="s">
        <v>13</v>
      </c>
      <c r="E612">
        <v>953</v>
      </c>
      <c r="F612">
        <v>214.75</v>
      </c>
      <c r="G612">
        <v>214.05</v>
      </c>
      <c r="H612">
        <v>214.75</v>
      </c>
      <c r="I612">
        <v>1160</v>
      </c>
      <c r="J612">
        <v>18</v>
      </c>
      <c r="K612" s="17">
        <f t="shared" si="73"/>
        <v>696</v>
      </c>
      <c r="L612" t="str">
        <f t="shared" si="74"/>
        <v>Sufficuent Stock</v>
      </c>
      <c r="P612" s="19">
        <f t="shared" si="75"/>
        <v>0</v>
      </c>
      <c r="R612" s="19">
        <f t="shared" si="72"/>
        <v>0</v>
      </c>
      <c r="T612" s="19">
        <f t="shared" si="76"/>
        <v>248298</v>
      </c>
      <c r="U612" s="19">
        <f t="shared" si="77"/>
        <v>249110</v>
      </c>
      <c r="V612" s="21">
        <f t="shared" si="78"/>
        <v>812</v>
      </c>
      <c r="W612" s="18">
        <f t="shared" si="79"/>
        <v>3.270263957019388E-3</v>
      </c>
    </row>
    <row r="613" spans="1:23" x14ac:dyDescent="0.3">
      <c r="A613" t="s">
        <v>629</v>
      </c>
      <c r="B613" t="s">
        <v>1431</v>
      </c>
      <c r="C613" t="s">
        <v>12</v>
      </c>
      <c r="D613" t="s">
        <v>69</v>
      </c>
      <c r="E613">
        <v>956</v>
      </c>
      <c r="F613">
        <v>100.07</v>
      </c>
      <c r="G613">
        <v>99.15</v>
      </c>
      <c r="H613">
        <v>100.07</v>
      </c>
      <c r="I613">
        <v>2582</v>
      </c>
      <c r="J613">
        <v>42</v>
      </c>
      <c r="K613" s="17">
        <f t="shared" si="73"/>
        <v>3614.7999999999997</v>
      </c>
      <c r="L613" t="str">
        <f t="shared" si="74"/>
        <v>High Risk</v>
      </c>
      <c r="P613" s="19">
        <f t="shared" si="75"/>
        <v>2659</v>
      </c>
      <c r="R613" s="19">
        <f t="shared" si="72"/>
        <v>266086.13</v>
      </c>
      <c r="T613" s="19">
        <f t="shared" si="76"/>
        <v>256005.30000000002</v>
      </c>
      <c r="U613" s="19">
        <f t="shared" si="77"/>
        <v>258380.74</v>
      </c>
      <c r="V613" s="21">
        <f t="shared" si="78"/>
        <v>2375.4399999999732</v>
      </c>
      <c r="W613" s="18">
        <f t="shared" si="79"/>
        <v>9.278870398386178E-3</v>
      </c>
    </row>
    <row r="614" spans="1:23" x14ac:dyDescent="0.3">
      <c r="A614" t="s">
        <v>44</v>
      </c>
      <c r="B614" t="s">
        <v>588</v>
      </c>
      <c r="C614" t="s">
        <v>50</v>
      </c>
      <c r="D614" t="s">
        <v>17</v>
      </c>
      <c r="E614">
        <v>960</v>
      </c>
      <c r="F614">
        <v>276.16000000000003</v>
      </c>
      <c r="G614">
        <v>264.82</v>
      </c>
      <c r="H614">
        <v>276.16000000000003</v>
      </c>
      <c r="I614">
        <v>3522</v>
      </c>
      <c r="J614">
        <v>48</v>
      </c>
      <c r="K614" s="17">
        <f t="shared" si="73"/>
        <v>5635.2000000000007</v>
      </c>
      <c r="L614" t="str">
        <f t="shared" si="74"/>
        <v>High Risk</v>
      </c>
      <c r="P614" s="19">
        <f t="shared" si="75"/>
        <v>4676</v>
      </c>
      <c r="R614" s="19">
        <f t="shared" si="72"/>
        <v>1291324.1600000001</v>
      </c>
      <c r="T614" s="19">
        <f t="shared" si="76"/>
        <v>932696.03999999992</v>
      </c>
      <c r="U614" s="19">
        <f t="shared" si="77"/>
        <v>972635.52000000014</v>
      </c>
      <c r="V614" s="21">
        <f t="shared" si="78"/>
        <v>39939.480000000214</v>
      </c>
      <c r="W614" s="18">
        <f t="shared" si="79"/>
        <v>4.2821539158674052E-2</v>
      </c>
    </row>
    <row r="615" spans="1:23" x14ac:dyDescent="0.3">
      <c r="A615" t="s">
        <v>121</v>
      </c>
      <c r="B615" t="s">
        <v>881</v>
      </c>
      <c r="C615" t="s">
        <v>37</v>
      </c>
      <c r="D615" t="s">
        <v>20</v>
      </c>
      <c r="E615">
        <v>960</v>
      </c>
      <c r="F615">
        <v>377.62</v>
      </c>
      <c r="G615">
        <v>371.13</v>
      </c>
      <c r="H615">
        <v>377.62</v>
      </c>
      <c r="I615">
        <v>2530</v>
      </c>
      <c r="J615">
        <v>31</v>
      </c>
      <c r="K615" s="17">
        <f t="shared" si="73"/>
        <v>2614.333333333333</v>
      </c>
      <c r="L615" t="str">
        <f t="shared" si="74"/>
        <v>High Risk</v>
      </c>
      <c r="P615" s="19">
        <f t="shared" si="75"/>
        <v>1655</v>
      </c>
      <c r="R615" s="19">
        <f t="shared" si="72"/>
        <v>624961.1</v>
      </c>
      <c r="T615" s="19">
        <f t="shared" si="76"/>
        <v>938958.9</v>
      </c>
      <c r="U615" s="19">
        <f t="shared" si="77"/>
        <v>955378.6</v>
      </c>
      <c r="V615" s="21">
        <f t="shared" si="78"/>
        <v>16419.699999999953</v>
      </c>
      <c r="W615" s="18">
        <f t="shared" si="79"/>
        <v>1.7487133888394853E-2</v>
      </c>
    </row>
    <row r="616" spans="1:23" x14ac:dyDescent="0.3">
      <c r="A616" t="s">
        <v>129</v>
      </c>
      <c r="B616" t="s">
        <v>1245</v>
      </c>
      <c r="C616" t="s">
        <v>37</v>
      </c>
      <c r="D616" t="s">
        <v>13</v>
      </c>
      <c r="E616">
        <v>967</v>
      </c>
      <c r="F616">
        <v>19.04</v>
      </c>
      <c r="G616">
        <v>18.97</v>
      </c>
      <c r="H616">
        <v>19.04</v>
      </c>
      <c r="I616">
        <v>2585</v>
      </c>
      <c r="J616">
        <v>76</v>
      </c>
      <c r="K616" s="17">
        <f t="shared" si="73"/>
        <v>6548.666666666667</v>
      </c>
      <c r="L616" t="str">
        <f t="shared" si="74"/>
        <v>High Risk</v>
      </c>
      <c r="P616" s="19">
        <f t="shared" si="75"/>
        <v>5582</v>
      </c>
      <c r="R616" s="19">
        <f t="shared" si="72"/>
        <v>106281.28</v>
      </c>
      <c r="T616" s="19">
        <f t="shared" si="76"/>
        <v>49037.45</v>
      </c>
      <c r="U616" s="19">
        <f t="shared" si="77"/>
        <v>49218.399999999994</v>
      </c>
      <c r="V616" s="21">
        <f t="shared" si="78"/>
        <v>180.94999999999709</v>
      </c>
      <c r="W616" s="18">
        <f t="shared" si="79"/>
        <v>3.6900369003689446E-3</v>
      </c>
    </row>
    <row r="617" spans="1:23" x14ac:dyDescent="0.3">
      <c r="A617" t="s">
        <v>533</v>
      </c>
      <c r="B617" t="s">
        <v>2710</v>
      </c>
      <c r="C617" t="s">
        <v>50</v>
      </c>
      <c r="D617" t="s">
        <v>17</v>
      </c>
      <c r="E617">
        <v>970</v>
      </c>
      <c r="F617">
        <v>453.87</v>
      </c>
      <c r="G617">
        <v>499.12</v>
      </c>
      <c r="H617">
        <v>453.87</v>
      </c>
      <c r="I617">
        <v>3791</v>
      </c>
      <c r="J617">
        <v>82</v>
      </c>
      <c r="K617" s="17">
        <f t="shared" si="73"/>
        <v>10362.066666666666</v>
      </c>
      <c r="L617" t="str">
        <f t="shared" si="74"/>
        <v>High Risk</v>
      </c>
      <c r="P617" s="19">
        <f t="shared" si="75"/>
        <v>9393</v>
      </c>
      <c r="R617" s="19">
        <f t="shared" si="72"/>
        <v>4263200.91</v>
      </c>
      <c r="T617" s="19">
        <f t="shared" si="76"/>
        <v>1892163.92</v>
      </c>
      <c r="U617" s="19">
        <f t="shared" si="77"/>
        <v>1720621.17</v>
      </c>
      <c r="V617" s="21">
        <f t="shared" si="78"/>
        <v>-171542.75</v>
      </c>
      <c r="W617" s="18">
        <f t="shared" si="79"/>
        <v>-9.0659560827055619E-2</v>
      </c>
    </row>
    <row r="618" spans="1:23" x14ac:dyDescent="0.3">
      <c r="A618" t="s">
        <v>714</v>
      </c>
      <c r="B618" t="s">
        <v>2616</v>
      </c>
      <c r="C618" t="s">
        <v>12</v>
      </c>
      <c r="D618" t="s">
        <v>26</v>
      </c>
      <c r="E618">
        <v>972</v>
      </c>
      <c r="F618">
        <v>370.51</v>
      </c>
      <c r="G618">
        <v>329.41</v>
      </c>
      <c r="H618">
        <v>370.51</v>
      </c>
      <c r="I618">
        <v>62</v>
      </c>
      <c r="J618">
        <v>86</v>
      </c>
      <c r="K618" s="17">
        <f t="shared" si="73"/>
        <v>177.73333333333335</v>
      </c>
      <c r="L618" t="str">
        <f t="shared" si="74"/>
        <v>Sufficuent Stock</v>
      </c>
      <c r="P618" s="19">
        <f t="shared" si="75"/>
        <v>0</v>
      </c>
      <c r="R618" s="19">
        <f t="shared" si="72"/>
        <v>0</v>
      </c>
      <c r="T618" s="19">
        <f t="shared" si="76"/>
        <v>20423.420000000002</v>
      </c>
      <c r="U618" s="19">
        <f t="shared" si="77"/>
        <v>22971.62</v>
      </c>
      <c r="V618" s="21">
        <f t="shared" si="78"/>
        <v>2548.1999999999971</v>
      </c>
      <c r="W618" s="18">
        <f t="shared" si="79"/>
        <v>0.12476852554567242</v>
      </c>
    </row>
    <row r="619" spans="1:23" x14ac:dyDescent="0.3">
      <c r="A619" t="s">
        <v>78</v>
      </c>
      <c r="B619" t="s">
        <v>79</v>
      </c>
      <c r="C619" t="s">
        <v>23</v>
      </c>
      <c r="D619" t="s">
        <v>13</v>
      </c>
      <c r="E619">
        <v>980</v>
      </c>
      <c r="F619">
        <v>514.98</v>
      </c>
      <c r="G619">
        <v>446.47</v>
      </c>
      <c r="H619">
        <v>514.98</v>
      </c>
      <c r="I619">
        <v>929</v>
      </c>
      <c r="J619">
        <v>62</v>
      </c>
      <c r="K619" s="17">
        <f t="shared" si="73"/>
        <v>1919.9333333333332</v>
      </c>
      <c r="L619" t="str">
        <f t="shared" si="74"/>
        <v>High Risk</v>
      </c>
      <c r="P619" s="19">
        <f t="shared" si="75"/>
        <v>940</v>
      </c>
      <c r="R619" s="19">
        <f t="shared" si="72"/>
        <v>484081.2</v>
      </c>
      <c r="T619" s="19">
        <f t="shared" si="76"/>
        <v>414770.63</v>
      </c>
      <c r="U619" s="19">
        <f t="shared" si="77"/>
        <v>478416.42000000004</v>
      </c>
      <c r="V619" s="21">
        <f t="shared" si="78"/>
        <v>63645.790000000037</v>
      </c>
      <c r="W619" s="18">
        <f t="shared" si="79"/>
        <v>0.15344816001075109</v>
      </c>
    </row>
    <row r="620" spans="1:23" x14ac:dyDescent="0.3">
      <c r="A620" t="s">
        <v>546</v>
      </c>
      <c r="B620" t="s">
        <v>2932</v>
      </c>
      <c r="C620" t="s">
        <v>37</v>
      </c>
      <c r="D620" t="s">
        <v>17</v>
      </c>
      <c r="E620">
        <v>982</v>
      </c>
      <c r="F620">
        <v>315.02</v>
      </c>
      <c r="G620">
        <v>297.18</v>
      </c>
      <c r="H620">
        <v>315.02</v>
      </c>
      <c r="I620">
        <v>174</v>
      </c>
      <c r="J620">
        <v>61</v>
      </c>
      <c r="K620" s="17">
        <f t="shared" si="73"/>
        <v>353.8</v>
      </c>
      <c r="L620" t="str">
        <f t="shared" si="74"/>
        <v>Sufficuent Stock</v>
      </c>
      <c r="P620" s="19">
        <f t="shared" si="75"/>
        <v>0</v>
      </c>
      <c r="R620" s="19">
        <f t="shared" si="72"/>
        <v>0</v>
      </c>
      <c r="T620" s="19">
        <f t="shared" si="76"/>
        <v>51709.32</v>
      </c>
      <c r="U620" s="19">
        <f t="shared" si="77"/>
        <v>54813.479999999996</v>
      </c>
      <c r="V620" s="21">
        <f t="shared" si="78"/>
        <v>3104.1599999999962</v>
      </c>
      <c r="W620" s="18">
        <f t="shared" si="79"/>
        <v>6.0030957668752868E-2</v>
      </c>
    </row>
    <row r="621" spans="1:23" x14ac:dyDescent="0.3">
      <c r="A621" t="s">
        <v>592</v>
      </c>
      <c r="B621" t="s">
        <v>2128</v>
      </c>
      <c r="C621" t="s">
        <v>23</v>
      </c>
      <c r="D621" t="s">
        <v>20</v>
      </c>
      <c r="E621">
        <v>982</v>
      </c>
      <c r="F621">
        <v>44.95</v>
      </c>
      <c r="G621">
        <v>44.47</v>
      </c>
      <c r="H621">
        <v>44.95</v>
      </c>
      <c r="I621">
        <v>223</v>
      </c>
      <c r="J621">
        <v>56</v>
      </c>
      <c r="K621" s="17">
        <f t="shared" si="73"/>
        <v>416.26666666666665</v>
      </c>
      <c r="L621" t="str">
        <f t="shared" si="74"/>
        <v>Sufficuent Stock</v>
      </c>
      <c r="P621" s="19">
        <f t="shared" si="75"/>
        <v>0</v>
      </c>
      <c r="R621" s="19">
        <f t="shared" si="72"/>
        <v>0</v>
      </c>
      <c r="T621" s="19">
        <f t="shared" si="76"/>
        <v>9916.81</v>
      </c>
      <c r="U621" s="19">
        <f t="shared" si="77"/>
        <v>10023.85</v>
      </c>
      <c r="V621" s="21">
        <f t="shared" si="78"/>
        <v>107.04000000000087</v>
      </c>
      <c r="W621" s="18">
        <f t="shared" si="79"/>
        <v>1.0793793568698088E-2</v>
      </c>
    </row>
    <row r="622" spans="1:23" x14ac:dyDescent="0.3">
      <c r="A622" t="s">
        <v>100</v>
      </c>
      <c r="B622" t="s">
        <v>3336</v>
      </c>
      <c r="C622" t="s">
        <v>50</v>
      </c>
      <c r="D622" t="s">
        <v>13</v>
      </c>
      <c r="E622">
        <v>983</v>
      </c>
      <c r="F622">
        <v>428.13</v>
      </c>
      <c r="G622">
        <v>388.29</v>
      </c>
      <c r="H622">
        <v>428.13</v>
      </c>
      <c r="I622">
        <v>2348</v>
      </c>
      <c r="J622">
        <v>39</v>
      </c>
      <c r="K622" s="17">
        <f t="shared" si="73"/>
        <v>3052.4</v>
      </c>
      <c r="L622" t="str">
        <f t="shared" si="74"/>
        <v>High Risk</v>
      </c>
      <c r="P622" s="19">
        <f t="shared" si="75"/>
        <v>2070</v>
      </c>
      <c r="R622" s="19">
        <f t="shared" si="72"/>
        <v>886229.1</v>
      </c>
      <c r="T622" s="19">
        <f t="shared" si="76"/>
        <v>911704.92</v>
      </c>
      <c r="U622" s="19">
        <f t="shared" si="77"/>
        <v>1005249.24</v>
      </c>
      <c r="V622" s="21">
        <f t="shared" si="78"/>
        <v>93544.319999999949</v>
      </c>
      <c r="W622" s="18">
        <f t="shared" si="79"/>
        <v>0.10260372402070611</v>
      </c>
    </row>
    <row r="623" spans="1:23" x14ac:dyDescent="0.3">
      <c r="A623" t="s">
        <v>191</v>
      </c>
      <c r="B623" t="s">
        <v>2478</v>
      </c>
      <c r="C623" t="s">
        <v>37</v>
      </c>
      <c r="D623" t="s">
        <v>13</v>
      </c>
      <c r="E623">
        <v>990</v>
      </c>
      <c r="F623">
        <v>340.95</v>
      </c>
      <c r="G623">
        <v>331.99</v>
      </c>
      <c r="H623">
        <v>340.95</v>
      </c>
      <c r="I623">
        <v>2529</v>
      </c>
      <c r="J623">
        <v>76</v>
      </c>
      <c r="K623" s="17">
        <f t="shared" si="73"/>
        <v>6406.8</v>
      </c>
      <c r="L623" t="str">
        <f t="shared" si="74"/>
        <v>High Risk</v>
      </c>
      <c r="P623" s="19">
        <f t="shared" si="75"/>
        <v>5417</v>
      </c>
      <c r="R623" s="19">
        <f t="shared" si="72"/>
        <v>1846926.15</v>
      </c>
      <c r="T623" s="19">
        <f t="shared" si="76"/>
        <v>839602.71000000008</v>
      </c>
      <c r="U623" s="19">
        <f t="shared" si="77"/>
        <v>862262.54999999993</v>
      </c>
      <c r="V623" s="21">
        <f t="shared" si="78"/>
        <v>22659.839999999851</v>
      </c>
      <c r="W623" s="18">
        <f t="shared" si="79"/>
        <v>2.698876472182879E-2</v>
      </c>
    </row>
    <row r="624" spans="1:23" x14ac:dyDescent="0.3">
      <c r="A624" t="s">
        <v>286</v>
      </c>
      <c r="B624" t="s">
        <v>287</v>
      </c>
      <c r="C624" t="s">
        <v>50</v>
      </c>
      <c r="D624" t="s">
        <v>17</v>
      </c>
      <c r="E624">
        <v>992</v>
      </c>
      <c r="F624">
        <v>331.15</v>
      </c>
      <c r="G624">
        <v>326.52</v>
      </c>
      <c r="H624">
        <v>331.15</v>
      </c>
      <c r="I624">
        <v>1077</v>
      </c>
      <c r="J624">
        <v>8</v>
      </c>
      <c r="K624" s="17">
        <f t="shared" si="73"/>
        <v>287.2</v>
      </c>
      <c r="L624" t="str">
        <f t="shared" si="74"/>
        <v>Sufficuent Stock</v>
      </c>
      <c r="P624" s="19">
        <f t="shared" si="75"/>
        <v>0</v>
      </c>
      <c r="R624" s="19">
        <f t="shared" si="72"/>
        <v>0</v>
      </c>
      <c r="T624" s="19">
        <f t="shared" si="76"/>
        <v>351662.04</v>
      </c>
      <c r="U624" s="19">
        <f t="shared" si="77"/>
        <v>356648.55</v>
      </c>
      <c r="V624" s="21">
        <f t="shared" si="78"/>
        <v>4986.5100000000093</v>
      </c>
      <c r="W624" s="18">
        <f t="shared" si="79"/>
        <v>1.4179835844664979E-2</v>
      </c>
    </row>
    <row r="625" spans="1:23" x14ac:dyDescent="0.3">
      <c r="A625" t="s">
        <v>509</v>
      </c>
      <c r="B625" t="s">
        <v>510</v>
      </c>
      <c r="C625" t="s">
        <v>37</v>
      </c>
      <c r="D625" t="s">
        <v>20</v>
      </c>
      <c r="E625">
        <v>992</v>
      </c>
      <c r="F625">
        <v>289.33</v>
      </c>
      <c r="G625">
        <v>246.99</v>
      </c>
      <c r="H625">
        <v>289.33</v>
      </c>
      <c r="I625">
        <v>3552</v>
      </c>
      <c r="J625">
        <v>65</v>
      </c>
      <c r="K625" s="17">
        <f t="shared" si="73"/>
        <v>7696</v>
      </c>
      <c r="L625" t="str">
        <f t="shared" si="74"/>
        <v>High Risk</v>
      </c>
      <c r="P625" s="19">
        <f t="shared" si="75"/>
        <v>6704</v>
      </c>
      <c r="R625" s="19">
        <f t="shared" si="72"/>
        <v>1939668.3199999998</v>
      </c>
      <c r="T625" s="19">
        <f t="shared" si="76"/>
        <v>877308.48</v>
      </c>
      <c r="U625" s="19">
        <f t="shared" si="77"/>
        <v>1027700.1599999999</v>
      </c>
      <c r="V625" s="21">
        <f t="shared" si="78"/>
        <v>150391.67999999993</v>
      </c>
      <c r="W625" s="18">
        <f t="shared" si="79"/>
        <v>0.1714239442892424</v>
      </c>
    </row>
    <row r="626" spans="1:23" x14ac:dyDescent="0.3">
      <c r="A626" t="s">
        <v>751</v>
      </c>
      <c r="B626" t="s">
        <v>2670</v>
      </c>
      <c r="C626" t="s">
        <v>37</v>
      </c>
      <c r="D626" t="s">
        <v>13</v>
      </c>
      <c r="E626">
        <v>992</v>
      </c>
      <c r="F626">
        <v>152.91999999999999</v>
      </c>
      <c r="G626">
        <v>162.99</v>
      </c>
      <c r="H626">
        <v>152.91999999999999</v>
      </c>
      <c r="I626">
        <v>1200</v>
      </c>
      <c r="J626">
        <v>82</v>
      </c>
      <c r="K626" s="17">
        <f t="shared" si="73"/>
        <v>3280</v>
      </c>
      <c r="L626" t="str">
        <f t="shared" si="74"/>
        <v>High Risk</v>
      </c>
      <c r="P626" s="19">
        <f t="shared" si="75"/>
        <v>2288</v>
      </c>
      <c r="R626" s="19">
        <f t="shared" si="72"/>
        <v>349880.95999999996</v>
      </c>
      <c r="T626" s="19">
        <f t="shared" si="76"/>
        <v>195588</v>
      </c>
      <c r="U626" s="19">
        <f t="shared" si="77"/>
        <v>183503.99999999997</v>
      </c>
      <c r="V626" s="21">
        <f t="shared" si="78"/>
        <v>-12084.000000000029</v>
      </c>
      <c r="W626" s="18">
        <f t="shared" si="79"/>
        <v>-6.1782931468188383E-2</v>
      </c>
    </row>
    <row r="627" spans="1:23" x14ac:dyDescent="0.3">
      <c r="A627" t="s">
        <v>209</v>
      </c>
      <c r="B627" t="s">
        <v>3364</v>
      </c>
      <c r="C627" t="s">
        <v>16</v>
      </c>
      <c r="D627" t="s">
        <v>17</v>
      </c>
      <c r="E627">
        <v>997</v>
      </c>
      <c r="F627">
        <v>449.05</v>
      </c>
      <c r="G627">
        <v>418.92</v>
      </c>
      <c r="H627">
        <v>449.05</v>
      </c>
      <c r="I627">
        <v>752</v>
      </c>
      <c r="J627">
        <v>14</v>
      </c>
      <c r="K627" s="17">
        <f t="shared" si="73"/>
        <v>350.93333333333334</v>
      </c>
      <c r="L627" t="str">
        <f t="shared" si="74"/>
        <v>Sufficuent Stock</v>
      </c>
      <c r="P627" s="19">
        <f t="shared" si="75"/>
        <v>0</v>
      </c>
      <c r="R627" s="19">
        <f t="shared" si="72"/>
        <v>0</v>
      </c>
      <c r="T627" s="19">
        <f t="shared" si="76"/>
        <v>315027.84000000003</v>
      </c>
      <c r="U627" s="19">
        <f t="shared" si="77"/>
        <v>337685.60000000003</v>
      </c>
      <c r="V627" s="21">
        <f t="shared" si="78"/>
        <v>22657.760000000009</v>
      </c>
      <c r="W627" s="18">
        <f t="shared" si="79"/>
        <v>7.1923040198605959E-2</v>
      </c>
    </row>
    <row r="628" spans="1:23" x14ac:dyDescent="0.3">
      <c r="A628" t="s">
        <v>1146</v>
      </c>
      <c r="B628" t="s">
        <v>2875</v>
      </c>
      <c r="C628" t="s">
        <v>16</v>
      </c>
      <c r="D628" t="s">
        <v>69</v>
      </c>
      <c r="E628">
        <v>999</v>
      </c>
      <c r="F628">
        <v>113.63</v>
      </c>
      <c r="G628">
        <v>104.67</v>
      </c>
      <c r="H628">
        <v>113.63</v>
      </c>
      <c r="I628">
        <v>3638</v>
      </c>
      <c r="J628">
        <v>21</v>
      </c>
      <c r="K628" s="17">
        <f t="shared" si="73"/>
        <v>2546.6</v>
      </c>
      <c r="L628" t="str">
        <f t="shared" si="74"/>
        <v>High Risk</v>
      </c>
      <c r="P628" s="19">
        <f t="shared" si="75"/>
        <v>1548</v>
      </c>
      <c r="R628" s="19">
        <f t="shared" si="72"/>
        <v>175899.24</v>
      </c>
      <c r="T628" s="19">
        <f t="shared" si="76"/>
        <v>380789.46</v>
      </c>
      <c r="U628" s="19">
        <f t="shared" si="77"/>
        <v>413385.94</v>
      </c>
      <c r="V628" s="21">
        <f t="shared" si="78"/>
        <v>32596.479999999981</v>
      </c>
      <c r="W628" s="18">
        <f t="shared" si="79"/>
        <v>8.5602369351294491E-2</v>
      </c>
    </row>
    <row r="629" spans="1:23" x14ac:dyDescent="0.3">
      <c r="A629" t="s">
        <v>635</v>
      </c>
      <c r="B629" t="s">
        <v>2606</v>
      </c>
      <c r="C629" t="s">
        <v>12</v>
      </c>
      <c r="D629" t="s">
        <v>17</v>
      </c>
      <c r="E629">
        <v>1002</v>
      </c>
      <c r="F629">
        <v>181.11</v>
      </c>
      <c r="G629">
        <v>159.49</v>
      </c>
      <c r="H629">
        <v>181.11</v>
      </c>
      <c r="I629">
        <v>433</v>
      </c>
      <c r="J629">
        <v>47</v>
      </c>
      <c r="K629" s="17">
        <f t="shared" si="73"/>
        <v>678.36666666666667</v>
      </c>
      <c r="L629" t="str">
        <f t="shared" si="74"/>
        <v>Sufficuent Stock</v>
      </c>
      <c r="P629" s="19">
        <f t="shared" si="75"/>
        <v>0</v>
      </c>
      <c r="R629" s="19">
        <f t="shared" si="72"/>
        <v>0</v>
      </c>
      <c r="T629" s="19">
        <f t="shared" si="76"/>
        <v>69059.17</v>
      </c>
      <c r="U629" s="19">
        <f t="shared" si="77"/>
        <v>78420.63</v>
      </c>
      <c r="V629" s="21">
        <f t="shared" si="78"/>
        <v>9361.4600000000064</v>
      </c>
      <c r="W629" s="18">
        <f t="shared" si="79"/>
        <v>0.13555708821869719</v>
      </c>
    </row>
    <row r="630" spans="1:23" x14ac:dyDescent="0.3">
      <c r="A630" t="s">
        <v>1467</v>
      </c>
      <c r="B630" t="s">
        <v>2803</v>
      </c>
      <c r="C630" t="s">
        <v>37</v>
      </c>
      <c r="D630" t="s">
        <v>13</v>
      </c>
      <c r="E630">
        <v>1003</v>
      </c>
      <c r="F630">
        <v>18.809999999999999</v>
      </c>
      <c r="G630">
        <v>19.98</v>
      </c>
      <c r="H630">
        <v>18.809999999999999</v>
      </c>
      <c r="I630">
        <v>1292</v>
      </c>
      <c r="J630">
        <v>76</v>
      </c>
      <c r="K630" s="17">
        <f t="shared" si="73"/>
        <v>3273.0666666666671</v>
      </c>
      <c r="L630" t="str">
        <f t="shared" si="74"/>
        <v>High Risk</v>
      </c>
      <c r="P630" s="19">
        <f t="shared" si="75"/>
        <v>2271</v>
      </c>
      <c r="R630" s="19">
        <f t="shared" si="72"/>
        <v>42717.509999999995</v>
      </c>
      <c r="T630" s="19">
        <f t="shared" si="76"/>
        <v>25814.16</v>
      </c>
      <c r="U630" s="19">
        <f t="shared" si="77"/>
        <v>24302.519999999997</v>
      </c>
      <c r="V630" s="21">
        <f t="shared" si="78"/>
        <v>-1511.6400000000031</v>
      </c>
      <c r="W630" s="18">
        <f t="shared" si="79"/>
        <v>-5.8558558558558675E-2</v>
      </c>
    </row>
    <row r="631" spans="1:23" x14ac:dyDescent="0.3">
      <c r="A631" t="s">
        <v>27</v>
      </c>
      <c r="B631" t="s">
        <v>1892</v>
      </c>
      <c r="C631" t="s">
        <v>23</v>
      </c>
      <c r="D631" t="s">
        <v>26</v>
      </c>
      <c r="E631">
        <v>1005</v>
      </c>
      <c r="F631">
        <v>531.51</v>
      </c>
      <c r="G631">
        <v>447.66</v>
      </c>
      <c r="H631">
        <v>531.51</v>
      </c>
      <c r="I631">
        <v>2599</v>
      </c>
      <c r="J631">
        <v>71</v>
      </c>
      <c r="K631" s="17">
        <f t="shared" si="73"/>
        <v>6150.9666666666672</v>
      </c>
      <c r="L631" t="str">
        <f t="shared" si="74"/>
        <v>High Risk</v>
      </c>
      <c r="P631" s="19">
        <f t="shared" si="75"/>
        <v>5146</v>
      </c>
      <c r="R631" s="19">
        <f t="shared" si="72"/>
        <v>2735150.46</v>
      </c>
      <c r="T631" s="19">
        <f t="shared" si="76"/>
        <v>1163468.3400000001</v>
      </c>
      <c r="U631" s="19">
        <f t="shared" si="77"/>
        <v>1381394.49</v>
      </c>
      <c r="V631" s="21">
        <f t="shared" si="78"/>
        <v>217926.14999999991</v>
      </c>
      <c r="W631" s="18">
        <f t="shared" si="79"/>
        <v>0.18730733145690917</v>
      </c>
    </row>
    <row r="632" spans="1:23" x14ac:dyDescent="0.3">
      <c r="A632" t="s">
        <v>115</v>
      </c>
      <c r="B632" t="s">
        <v>2676</v>
      </c>
      <c r="C632" t="s">
        <v>16</v>
      </c>
      <c r="D632" t="s">
        <v>26</v>
      </c>
      <c r="E632">
        <v>1007</v>
      </c>
      <c r="F632">
        <v>392.04</v>
      </c>
      <c r="G632">
        <v>424.54</v>
      </c>
      <c r="H632">
        <v>392.04</v>
      </c>
      <c r="I632">
        <v>3198</v>
      </c>
      <c r="J632">
        <v>55</v>
      </c>
      <c r="K632" s="17">
        <f t="shared" si="73"/>
        <v>5863</v>
      </c>
      <c r="L632" t="str">
        <f t="shared" si="74"/>
        <v>High Risk</v>
      </c>
      <c r="P632" s="19">
        <f t="shared" si="75"/>
        <v>4856</v>
      </c>
      <c r="R632" s="19">
        <f t="shared" si="72"/>
        <v>1903746.24</v>
      </c>
      <c r="T632" s="19">
        <f t="shared" si="76"/>
        <v>1357678.9200000002</v>
      </c>
      <c r="U632" s="19">
        <f t="shared" si="77"/>
        <v>1253743.9200000002</v>
      </c>
      <c r="V632" s="21">
        <f t="shared" si="78"/>
        <v>-103935</v>
      </c>
      <c r="W632" s="18">
        <f t="shared" si="79"/>
        <v>-7.6553446082819041E-2</v>
      </c>
    </row>
    <row r="633" spans="1:23" x14ac:dyDescent="0.3">
      <c r="A633" t="s">
        <v>940</v>
      </c>
      <c r="B633" t="s">
        <v>3117</v>
      </c>
      <c r="C633" t="s">
        <v>50</v>
      </c>
      <c r="D633" t="s">
        <v>26</v>
      </c>
      <c r="E633">
        <v>1008</v>
      </c>
      <c r="F633">
        <v>287.45</v>
      </c>
      <c r="G633">
        <v>316.61</v>
      </c>
      <c r="H633">
        <v>287.45</v>
      </c>
      <c r="I633">
        <v>551</v>
      </c>
      <c r="J633">
        <v>78</v>
      </c>
      <c r="K633" s="17">
        <f t="shared" si="73"/>
        <v>1432.6000000000001</v>
      </c>
      <c r="L633" t="str">
        <f t="shared" si="74"/>
        <v>High Risk</v>
      </c>
      <c r="P633" s="19">
        <f t="shared" si="75"/>
        <v>425</v>
      </c>
      <c r="R633" s="19">
        <f t="shared" si="72"/>
        <v>122166.25</v>
      </c>
      <c r="T633" s="19">
        <f t="shared" si="76"/>
        <v>174452.11000000002</v>
      </c>
      <c r="U633" s="19">
        <f t="shared" si="77"/>
        <v>158384.94999999998</v>
      </c>
      <c r="V633" s="21">
        <f t="shared" si="78"/>
        <v>-16067.160000000033</v>
      </c>
      <c r="W633" s="18">
        <f t="shared" si="79"/>
        <v>-9.2100691702725931E-2</v>
      </c>
    </row>
    <row r="634" spans="1:23" x14ac:dyDescent="0.3">
      <c r="A634" t="s">
        <v>63</v>
      </c>
      <c r="B634" t="s">
        <v>2632</v>
      </c>
      <c r="C634" t="s">
        <v>37</v>
      </c>
      <c r="D634" t="s">
        <v>17</v>
      </c>
      <c r="E634">
        <v>1009</v>
      </c>
      <c r="F634">
        <v>84.7</v>
      </c>
      <c r="G634">
        <v>91.49</v>
      </c>
      <c r="H634">
        <v>84.7</v>
      </c>
      <c r="I634">
        <v>654</v>
      </c>
      <c r="J634">
        <v>28</v>
      </c>
      <c r="K634" s="17">
        <f t="shared" si="73"/>
        <v>610.4</v>
      </c>
      <c r="L634" t="str">
        <f t="shared" si="74"/>
        <v>Sufficuent Stock</v>
      </c>
      <c r="P634" s="19">
        <f t="shared" si="75"/>
        <v>0</v>
      </c>
      <c r="R634" s="19">
        <f t="shared" si="72"/>
        <v>0</v>
      </c>
      <c r="T634" s="19">
        <f t="shared" si="76"/>
        <v>59834.46</v>
      </c>
      <c r="U634" s="19">
        <f t="shared" si="77"/>
        <v>55393.8</v>
      </c>
      <c r="V634" s="21">
        <f t="shared" si="78"/>
        <v>-4440.6599999999962</v>
      </c>
      <c r="W634" s="18">
        <f t="shared" si="79"/>
        <v>-7.4215761285386317E-2</v>
      </c>
    </row>
    <row r="635" spans="1:23" x14ac:dyDescent="0.3">
      <c r="A635" t="s">
        <v>594</v>
      </c>
      <c r="B635" t="s">
        <v>3176</v>
      </c>
      <c r="C635" t="s">
        <v>23</v>
      </c>
      <c r="D635" t="s">
        <v>26</v>
      </c>
      <c r="E635">
        <v>1010</v>
      </c>
      <c r="F635">
        <v>269.75</v>
      </c>
      <c r="G635">
        <v>284.91000000000003</v>
      </c>
      <c r="H635">
        <v>269.75</v>
      </c>
      <c r="I635">
        <v>3115</v>
      </c>
      <c r="J635">
        <v>18</v>
      </c>
      <c r="K635" s="17">
        <f t="shared" si="73"/>
        <v>1869</v>
      </c>
      <c r="L635" t="str">
        <f t="shared" si="74"/>
        <v>High Risk</v>
      </c>
      <c r="P635" s="19">
        <f t="shared" si="75"/>
        <v>859</v>
      </c>
      <c r="R635" s="19">
        <f t="shared" si="72"/>
        <v>231715.25</v>
      </c>
      <c r="T635" s="19">
        <f t="shared" si="76"/>
        <v>887494.65</v>
      </c>
      <c r="U635" s="19">
        <f t="shared" si="77"/>
        <v>840271.25</v>
      </c>
      <c r="V635" s="21">
        <f t="shared" si="78"/>
        <v>-47223.400000000023</v>
      </c>
      <c r="W635" s="18">
        <f t="shared" si="79"/>
        <v>-5.3209785546312893E-2</v>
      </c>
    </row>
    <row r="636" spans="1:23" x14ac:dyDescent="0.3">
      <c r="A636" t="s">
        <v>123</v>
      </c>
      <c r="B636" t="s">
        <v>2200</v>
      </c>
      <c r="C636" t="s">
        <v>37</v>
      </c>
      <c r="D636" t="s">
        <v>20</v>
      </c>
      <c r="E636">
        <v>1014</v>
      </c>
      <c r="F636">
        <v>45.03</v>
      </c>
      <c r="G636">
        <v>49.42</v>
      </c>
      <c r="H636">
        <v>45.03</v>
      </c>
      <c r="I636">
        <v>3644</v>
      </c>
      <c r="J636">
        <v>17</v>
      </c>
      <c r="K636" s="17">
        <f t="shared" si="73"/>
        <v>2064.9333333333334</v>
      </c>
      <c r="L636" t="str">
        <f t="shared" si="74"/>
        <v>High Risk</v>
      </c>
      <c r="P636" s="19">
        <f t="shared" si="75"/>
        <v>1051</v>
      </c>
      <c r="R636" s="19">
        <f t="shared" si="72"/>
        <v>47326.53</v>
      </c>
      <c r="T636" s="19">
        <f t="shared" si="76"/>
        <v>180086.48</v>
      </c>
      <c r="U636" s="19">
        <f t="shared" si="77"/>
        <v>164089.32</v>
      </c>
      <c r="V636" s="21">
        <f t="shared" si="78"/>
        <v>-15997.160000000003</v>
      </c>
      <c r="W636" s="18">
        <f t="shared" si="79"/>
        <v>-8.8830433023067604E-2</v>
      </c>
    </row>
    <row r="637" spans="1:23" x14ac:dyDescent="0.3">
      <c r="A637" t="s">
        <v>134</v>
      </c>
      <c r="B637" t="s">
        <v>135</v>
      </c>
      <c r="C637" t="s">
        <v>37</v>
      </c>
      <c r="D637" t="s">
        <v>69</v>
      </c>
      <c r="E637">
        <v>1022</v>
      </c>
      <c r="F637">
        <v>96.33</v>
      </c>
      <c r="G637">
        <v>95.57</v>
      </c>
      <c r="H637">
        <v>96.33</v>
      </c>
      <c r="I637">
        <v>1476</v>
      </c>
      <c r="J637">
        <v>80</v>
      </c>
      <c r="K637" s="17">
        <f t="shared" si="73"/>
        <v>3936</v>
      </c>
      <c r="L637" t="str">
        <f t="shared" si="74"/>
        <v>High Risk</v>
      </c>
      <c r="P637" s="19">
        <f t="shared" si="75"/>
        <v>2914</v>
      </c>
      <c r="R637" s="19">
        <f t="shared" si="72"/>
        <v>280705.62</v>
      </c>
      <c r="T637" s="19">
        <f t="shared" si="76"/>
        <v>141061.31999999998</v>
      </c>
      <c r="U637" s="19">
        <f t="shared" si="77"/>
        <v>142183.07999999999</v>
      </c>
      <c r="V637" s="21">
        <f t="shared" si="78"/>
        <v>1121.7600000000093</v>
      </c>
      <c r="W637" s="18">
        <f t="shared" si="79"/>
        <v>7.9522862823062299E-3</v>
      </c>
    </row>
    <row r="638" spans="1:23" x14ac:dyDescent="0.3">
      <c r="A638" t="s">
        <v>446</v>
      </c>
      <c r="B638" t="s">
        <v>2204</v>
      </c>
      <c r="C638" t="s">
        <v>12</v>
      </c>
      <c r="D638" t="s">
        <v>13</v>
      </c>
      <c r="E638">
        <v>1022</v>
      </c>
      <c r="F638">
        <v>235.94</v>
      </c>
      <c r="G638">
        <v>225.72</v>
      </c>
      <c r="H638">
        <v>235.94</v>
      </c>
      <c r="I638">
        <v>2705</v>
      </c>
      <c r="J638">
        <v>74</v>
      </c>
      <c r="K638" s="17">
        <f t="shared" si="73"/>
        <v>6672.3333333333339</v>
      </c>
      <c r="L638" t="str">
        <f t="shared" si="74"/>
        <v>High Risk</v>
      </c>
      <c r="P638" s="19">
        <f t="shared" si="75"/>
        <v>5651</v>
      </c>
      <c r="R638" s="19">
        <f t="shared" si="72"/>
        <v>1333296.94</v>
      </c>
      <c r="T638" s="19">
        <f t="shared" si="76"/>
        <v>610572.6</v>
      </c>
      <c r="U638" s="19">
        <f t="shared" si="77"/>
        <v>638217.69999999995</v>
      </c>
      <c r="V638" s="21">
        <f t="shared" si="78"/>
        <v>27645.099999999977</v>
      </c>
      <c r="W638" s="18">
        <f t="shared" si="79"/>
        <v>4.5277334751018923E-2</v>
      </c>
    </row>
    <row r="639" spans="1:23" x14ac:dyDescent="0.3">
      <c r="A639" t="s">
        <v>438</v>
      </c>
      <c r="B639" t="s">
        <v>3264</v>
      </c>
      <c r="C639" t="s">
        <v>12</v>
      </c>
      <c r="D639" t="s">
        <v>69</v>
      </c>
      <c r="E639">
        <v>1024</v>
      </c>
      <c r="F639">
        <v>236.11</v>
      </c>
      <c r="G639">
        <v>203.87</v>
      </c>
      <c r="H639">
        <v>236.11</v>
      </c>
      <c r="I639">
        <v>3314</v>
      </c>
      <c r="J639">
        <v>72</v>
      </c>
      <c r="K639" s="17">
        <f t="shared" si="73"/>
        <v>7953.6</v>
      </c>
      <c r="L639" t="str">
        <f t="shared" si="74"/>
        <v>High Risk</v>
      </c>
      <c r="P639" s="19">
        <f t="shared" si="75"/>
        <v>6930</v>
      </c>
      <c r="R639" s="19">
        <f t="shared" si="72"/>
        <v>1636242.3</v>
      </c>
      <c r="T639" s="19">
        <f t="shared" si="76"/>
        <v>675625.18</v>
      </c>
      <c r="U639" s="19">
        <f t="shared" si="77"/>
        <v>782468.54</v>
      </c>
      <c r="V639" s="21">
        <f t="shared" si="78"/>
        <v>106843.35999999999</v>
      </c>
      <c r="W639" s="18">
        <f t="shared" si="79"/>
        <v>0.15813999117084412</v>
      </c>
    </row>
    <row r="640" spans="1:23" x14ac:dyDescent="0.3">
      <c r="A640" t="s">
        <v>940</v>
      </c>
      <c r="B640" t="s">
        <v>941</v>
      </c>
      <c r="C640" t="s">
        <v>12</v>
      </c>
      <c r="D640" t="s">
        <v>17</v>
      </c>
      <c r="E640">
        <v>1027</v>
      </c>
      <c r="F640">
        <v>77.599999999999994</v>
      </c>
      <c r="G640">
        <v>79.400000000000006</v>
      </c>
      <c r="H640">
        <v>77.599999999999994</v>
      </c>
      <c r="I640">
        <v>2480</v>
      </c>
      <c r="J640">
        <v>53</v>
      </c>
      <c r="K640" s="17">
        <f t="shared" si="73"/>
        <v>4381.3333333333339</v>
      </c>
      <c r="L640" t="str">
        <f t="shared" si="74"/>
        <v>High Risk</v>
      </c>
      <c r="P640" s="19">
        <f t="shared" si="75"/>
        <v>3355</v>
      </c>
      <c r="R640" s="19">
        <f t="shared" si="72"/>
        <v>260347.99999999997</v>
      </c>
      <c r="T640" s="19">
        <f t="shared" si="76"/>
        <v>196912</v>
      </c>
      <c r="U640" s="19">
        <f t="shared" si="77"/>
        <v>192448</v>
      </c>
      <c r="V640" s="21">
        <f t="shared" si="78"/>
        <v>-4464</v>
      </c>
      <c r="W640" s="18">
        <f t="shared" si="79"/>
        <v>-2.2670025188916875E-2</v>
      </c>
    </row>
    <row r="641" spans="1:23" x14ac:dyDescent="0.3">
      <c r="A641" t="s">
        <v>422</v>
      </c>
      <c r="B641" t="s">
        <v>423</v>
      </c>
      <c r="C641" t="s">
        <v>50</v>
      </c>
      <c r="D641" t="s">
        <v>20</v>
      </c>
      <c r="E641">
        <v>1027</v>
      </c>
      <c r="F641">
        <v>50.67</v>
      </c>
      <c r="G641">
        <v>49.21</v>
      </c>
      <c r="H641">
        <v>50.67</v>
      </c>
      <c r="I641">
        <v>2962</v>
      </c>
      <c r="J641">
        <v>29</v>
      </c>
      <c r="K641" s="17">
        <f t="shared" si="73"/>
        <v>2863.2666666666669</v>
      </c>
      <c r="L641" t="str">
        <f t="shared" si="74"/>
        <v>High Risk</v>
      </c>
      <c r="P641" s="19">
        <f t="shared" si="75"/>
        <v>1837</v>
      </c>
      <c r="R641" s="19">
        <f t="shared" si="72"/>
        <v>93080.790000000008</v>
      </c>
      <c r="T641" s="19">
        <f t="shared" si="76"/>
        <v>145760.01999999999</v>
      </c>
      <c r="U641" s="19">
        <f t="shared" si="77"/>
        <v>150084.54</v>
      </c>
      <c r="V641" s="21">
        <f t="shared" si="78"/>
        <v>4324.5200000000186</v>
      </c>
      <c r="W641" s="18">
        <f t="shared" si="79"/>
        <v>2.9668766510871903E-2</v>
      </c>
    </row>
    <row r="642" spans="1:23" x14ac:dyDescent="0.3">
      <c r="A642" t="s">
        <v>857</v>
      </c>
      <c r="B642" t="s">
        <v>1889</v>
      </c>
      <c r="C642" t="s">
        <v>12</v>
      </c>
      <c r="D642" t="s">
        <v>69</v>
      </c>
      <c r="E642">
        <v>1027</v>
      </c>
      <c r="F642">
        <v>533.54</v>
      </c>
      <c r="G642">
        <v>493.39</v>
      </c>
      <c r="H642">
        <v>533.54</v>
      </c>
      <c r="I642">
        <v>925</v>
      </c>
      <c r="J642">
        <v>42</v>
      </c>
      <c r="K642" s="17">
        <f t="shared" si="73"/>
        <v>1295</v>
      </c>
      <c r="L642" t="str">
        <f t="shared" si="74"/>
        <v>High Risk</v>
      </c>
      <c r="P642" s="19">
        <f t="shared" si="75"/>
        <v>268</v>
      </c>
      <c r="R642" s="19">
        <f t="shared" ref="R642:R705" si="80">P642*H642</f>
        <v>142988.72</v>
      </c>
      <c r="T642" s="19">
        <f t="shared" si="76"/>
        <v>456385.75</v>
      </c>
      <c r="U642" s="19">
        <f t="shared" si="77"/>
        <v>493524.49999999994</v>
      </c>
      <c r="V642" s="21">
        <f t="shared" si="78"/>
        <v>37138.749999999942</v>
      </c>
      <c r="W642" s="18">
        <f t="shared" si="79"/>
        <v>8.1375787916252731E-2</v>
      </c>
    </row>
    <row r="643" spans="1:23" x14ac:dyDescent="0.3">
      <c r="A643" t="s">
        <v>90</v>
      </c>
      <c r="B643" t="s">
        <v>2323</v>
      </c>
      <c r="C643" t="s">
        <v>23</v>
      </c>
      <c r="D643" t="s">
        <v>26</v>
      </c>
      <c r="E643">
        <v>1028</v>
      </c>
      <c r="F643">
        <v>393.69</v>
      </c>
      <c r="G643">
        <v>331.1</v>
      </c>
      <c r="H643">
        <v>393.69</v>
      </c>
      <c r="I643">
        <v>3772</v>
      </c>
      <c r="J643">
        <v>70</v>
      </c>
      <c r="K643" s="17">
        <f t="shared" ref="K643:K706" si="81">(I643/30)*J643</f>
        <v>8801.3333333333339</v>
      </c>
      <c r="L643" t="str">
        <f t="shared" ref="L643:L706" si="82">IF(E643&lt;K643,"High Risk","Sufficuent Stock")</f>
        <v>High Risk</v>
      </c>
      <c r="P643" s="19">
        <f t="shared" ref="P643:P706" si="83">ROUNDUP(MAX(0,K643-E643),0)</f>
        <v>7774</v>
      </c>
      <c r="R643" s="19">
        <f t="shared" si="80"/>
        <v>3060546.06</v>
      </c>
      <c r="T643" s="19">
        <f t="shared" ref="T643:T706" si="84">I643*G643</f>
        <v>1248909.2000000002</v>
      </c>
      <c r="U643" s="19">
        <f t="shared" ref="U643:U706" si="85">I643*H643</f>
        <v>1484998.68</v>
      </c>
      <c r="V643" s="21">
        <f t="shared" ref="V643:V706" si="86">U643-T643</f>
        <v>236089.47999999975</v>
      </c>
      <c r="W643" s="18">
        <f t="shared" ref="W643:W706" si="87">IFERROR(V643/T643,0)</f>
        <v>0.18903654485049812</v>
      </c>
    </row>
    <row r="644" spans="1:23" x14ac:dyDescent="0.3">
      <c r="A644" t="s">
        <v>533</v>
      </c>
      <c r="B644" t="s">
        <v>2190</v>
      </c>
      <c r="C644" t="s">
        <v>23</v>
      </c>
      <c r="D644" t="s">
        <v>13</v>
      </c>
      <c r="E644">
        <v>1030</v>
      </c>
      <c r="F644">
        <v>120.9</v>
      </c>
      <c r="G644">
        <v>115.31</v>
      </c>
      <c r="H644">
        <v>120.9</v>
      </c>
      <c r="I644">
        <v>2875</v>
      </c>
      <c r="J644">
        <v>85</v>
      </c>
      <c r="K644" s="17">
        <f t="shared" si="81"/>
        <v>8145.833333333333</v>
      </c>
      <c r="L644" t="str">
        <f t="shared" si="82"/>
        <v>High Risk</v>
      </c>
      <c r="P644" s="19">
        <f t="shared" si="83"/>
        <v>7116</v>
      </c>
      <c r="R644" s="19">
        <f t="shared" si="80"/>
        <v>860324.4</v>
      </c>
      <c r="T644" s="19">
        <f t="shared" si="84"/>
        <v>331516.25</v>
      </c>
      <c r="U644" s="19">
        <f t="shared" si="85"/>
        <v>347587.5</v>
      </c>
      <c r="V644" s="21">
        <f t="shared" si="86"/>
        <v>16071.25</v>
      </c>
      <c r="W644" s="18">
        <f t="shared" si="87"/>
        <v>4.8478015783540024E-2</v>
      </c>
    </row>
    <row r="645" spans="1:23" x14ac:dyDescent="0.3">
      <c r="A645" t="s">
        <v>600</v>
      </c>
      <c r="B645" t="s">
        <v>3335</v>
      </c>
      <c r="C645" t="s">
        <v>12</v>
      </c>
      <c r="D645" t="s">
        <v>20</v>
      </c>
      <c r="E645">
        <v>1032</v>
      </c>
      <c r="F645">
        <v>474.72</v>
      </c>
      <c r="G645">
        <v>434.92</v>
      </c>
      <c r="H645">
        <v>474.72</v>
      </c>
      <c r="I645">
        <v>2516</v>
      </c>
      <c r="J645">
        <v>32</v>
      </c>
      <c r="K645" s="17">
        <f t="shared" si="81"/>
        <v>2683.7333333333331</v>
      </c>
      <c r="L645" t="str">
        <f t="shared" si="82"/>
        <v>High Risk</v>
      </c>
      <c r="P645" s="19">
        <f t="shared" si="83"/>
        <v>1652</v>
      </c>
      <c r="R645" s="19">
        <f t="shared" si="80"/>
        <v>784237.44000000006</v>
      </c>
      <c r="T645" s="19">
        <f t="shared" si="84"/>
        <v>1094258.72</v>
      </c>
      <c r="U645" s="19">
        <f t="shared" si="85"/>
        <v>1194395.52</v>
      </c>
      <c r="V645" s="21">
        <f t="shared" si="86"/>
        <v>100136.80000000005</v>
      </c>
      <c r="W645" s="18">
        <f t="shared" si="87"/>
        <v>9.1511082497930704E-2</v>
      </c>
    </row>
    <row r="646" spans="1:23" x14ac:dyDescent="0.3">
      <c r="A646" t="s">
        <v>231</v>
      </c>
      <c r="B646" t="s">
        <v>2123</v>
      </c>
      <c r="C646" t="s">
        <v>50</v>
      </c>
      <c r="D646" t="s">
        <v>20</v>
      </c>
      <c r="E646">
        <v>1036</v>
      </c>
      <c r="F646">
        <v>12.82</v>
      </c>
      <c r="G646">
        <v>13.57</v>
      </c>
      <c r="H646">
        <v>12.82</v>
      </c>
      <c r="I646">
        <v>3943</v>
      </c>
      <c r="J646">
        <v>6</v>
      </c>
      <c r="K646" s="17">
        <f t="shared" si="81"/>
        <v>788.6</v>
      </c>
      <c r="L646" t="str">
        <f t="shared" si="82"/>
        <v>Sufficuent Stock</v>
      </c>
      <c r="P646" s="19">
        <f t="shared" si="83"/>
        <v>0</v>
      </c>
      <c r="R646" s="19">
        <f t="shared" si="80"/>
        <v>0</v>
      </c>
      <c r="T646" s="19">
        <f t="shared" si="84"/>
        <v>53506.51</v>
      </c>
      <c r="U646" s="19">
        <f t="shared" si="85"/>
        <v>50549.26</v>
      </c>
      <c r="V646" s="21">
        <f t="shared" si="86"/>
        <v>-2957.25</v>
      </c>
      <c r="W646" s="18">
        <f t="shared" si="87"/>
        <v>-5.5268975681650699E-2</v>
      </c>
    </row>
    <row r="647" spans="1:23" x14ac:dyDescent="0.3">
      <c r="A647" t="s">
        <v>143</v>
      </c>
      <c r="B647" t="s">
        <v>1251</v>
      </c>
      <c r="C647" t="s">
        <v>23</v>
      </c>
      <c r="D647" t="s">
        <v>26</v>
      </c>
      <c r="E647">
        <v>1039</v>
      </c>
      <c r="F647">
        <v>166.42</v>
      </c>
      <c r="G647">
        <v>167.45</v>
      </c>
      <c r="H647">
        <v>166.42</v>
      </c>
      <c r="I647">
        <v>3771</v>
      </c>
      <c r="J647">
        <v>36</v>
      </c>
      <c r="K647" s="17">
        <f t="shared" si="81"/>
        <v>4525.2</v>
      </c>
      <c r="L647" t="str">
        <f t="shared" si="82"/>
        <v>High Risk</v>
      </c>
      <c r="P647" s="19">
        <f t="shared" si="83"/>
        <v>3487</v>
      </c>
      <c r="R647" s="19">
        <f t="shared" si="80"/>
        <v>580306.53999999992</v>
      </c>
      <c r="T647" s="19">
        <f t="shared" si="84"/>
        <v>631453.94999999995</v>
      </c>
      <c r="U647" s="19">
        <f t="shared" si="85"/>
        <v>627569.81999999995</v>
      </c>
      <c r="V647" s="21">
        <f t="shared" si="86"/>
        <v>-3884.1300000000047</v>
      </c>
      <c r="W647" s="18">
        <f t="shared" si="87"/>
        <v>-6.1510898775754032E-3</v>
      </c>
    </row>
    <row r="648" spans="1:23" x14ac:dyDescent="0.3">
      <c r="A648" t="s">
        <v>331</v>
      </c>
      <c r="B648" t="s">
        <v>332</v>
      </c>
      <c r="C648" t="s">
        <v>37</v>
      </c>
      <c r="D648" t="s">
        <v>20</v>
      </c>
      <c r="E648">
        <v>1044</v>
      </c>
      <c r="F648">
        <v>421.47</v>
      </c>
      <c r="G648">
        <v>360.04</v>
      </c>
      <c r="H648">
        <v>421.47</v>
      </c>
      <c r="I648">
        <v>3461</v>
      </c>
      <c r="J648">
        <v>74</v>
      </c>
      <c r="K648" s="17">
        <f t="shared" si="81"/>
        <v>8537.1333333333332</v>
      </c>
      <c r="L648" t="str">
        <f t="shared" si="82"/>
        <v>High Risk</v>
      </c>
      <c r="P648" s="19">
        <f t="shared" si="83"/>
        <v>7494</v>
      </c>
      <c r="R648" s="19">
        <f t="shared" si="80"/>
        <v>3158496.18</v>
      </c>
      <c r="T648" s="19">
        <f t="shared" si="84"/>
        <v>1246098.4400000002</v>
      </c>
      <c r="U648" s="19">
        <f t="shared" si="85"/>
        <v>1458707.6700000002</v>
      </c>
      <c r="V648" s="21">
        <f t="shared" si="86"/>
        <v>212609.22999999998</v>
      </c>
      <c r="W648" s="18">
        <f t="shared" si="87"/>
        <v>0.17061993111876456</v>
      </c>
    </row>
    <row r="649" spans="1:23" x14ac:dyDescent="0.3">
      <c r="A649" t="s">
        <v>125</v>
      </c>
      <c r="B649" t="s">
        <v>126</v>
      </c>
      <c r="C649" t="s">
        <v>16</v>
      </c>
      <c r="D649" t="s">
        <v>69</v>
      </c>
      <c r="E649">
        <v>1044</v>
      </c>
      <c r="F649">
        <v>290.07</v>
      </c>
      <c r="G649">
        <v>259.42</v>
      </c>
      <c r="H649">
        <v>290.07</v>
      </c>
      <c r="I649">
        <v>1734</v>
      </c>
      <c r="J649">
        <v>60</v>
      </c>
      <c r="K649" s="17">
        <f t="shared" si="81"/>
        <v>3468</v>
      </c>
      <c r="L649" t="str">
        <f t="shared" si="82"/>
        <v>High Risk</v>
      </c>
      <c r="P649" s="19">
        <f t="shared" si="83"/>
        <v>2424</v>
      </c>
      <c r="R649" s="19">
        <f t="shared" si="80"/>
        <v>703129.67999999993</v>
      </c>
      <c r="T649" s="19">
        <f t="shared" si="84"/>
        <v>449834.28</v>
      </c>
      <c r="U649" s="19">
        <f t="shared" si="85"/>
        <v>502981.38</v>
      </c>
      <c r="V649" s="21">
        <f t="shared" si="86"/>
        <v>53147.099999999977</v>
      </c>
      <c r="W649" s="18">
        <f t="shared" si="87"/>
        <v>0.11814817670187334</v>
      </c>
    </row>
    <row r="650" spans="1:23" x14ac:dyDescent="0.3">
      <c r="A650" t="s">
        <v>251</v>
      </c>
      <c r="B650" t="s">
        <v>1858</v>
      </c>
      <c r="C650" t="s">
        <v>37</v>
      </c>
      <c r="D650" t="s">
        <v>17</v>
      </c>
      <c r="E650">
        <v>1046</v>
      </c>
      <c r="F650">
        <v>262.92</v>
      </c>
      <c r="G650">
        <v>252.75</v>
      </c>
      <c r="H650">
        <v>262.92</v>
      </c>
      <c r="I650">
        <v>2523</v>
      </c>
      <c r="J650">
        <v>88</v>
      </c>
      <c r="K650" s="17">
        <f t="shared" si="81"/>
        <v>7400.7999999999993</v>
      </c>
      <c r="L650" t="str">
        <f t="shared" si="82"/>
        <v>High Risk</v>
      </c>
      <c r="P650" s="19">
        <f t="shared" si="83"/>
        <v>6355</v>
      </c>
      <c r="R650" s="19">
        <f t="shared" si="80"/>
        <v>1670856.6</v>
      </c>
      <c r="T650" s="19">
        <f t="shared" si="84"/>
        <v>637688.25</v>
      </c>
      <c r="U650" s="19">
        <f t="shared" si="85"/>
        <v>663347.16</v>
      </c>
      <c r="V650" s="21">
        <f t="shared" si="86"/>
        <v>25658.910000000033</v>
      </c>
      <c r="W650" s="18">
        <f t="shared" si="87"/>
        <v>4.0237388724035657E-2</v>
      </c>
    </row>
    <row r="651" spans="1:23" x14ac:dyDescent="0.3">
      <c r="A651" t="s">
        <v>803</v>
      </c>
      <c r="B651" t="s">
        <v>2555</v>
      </c>
      <c r="C651" t="s">
        <v>16</v>
      </c>
      <c r="D651" t="s">
        <v>69</v>
      </c>
      <c r="E651">
        <v>1048</v>
      </c>
      <c r="F651">
        <v>274.77999999999997</v>
      </c>
      <c r="G651">
        <v>268.24</v>
      </c>
      <c r="H651">
        <v>274.77999999999997</v>
      </c>
      <c r="I651">
        <v>1286</v>
      </c>
      <c r="J651">
        <v>76</v>
      </c>
      <c r="K651" s="17">
        <f t="shared" si="81"/>
        <v>3257.8666666666668</v>
      </c>
      <c r="L651" t="str">
        <f t="shared" si="82"/>
        <v>High Risk</v>
      </c>
      <c r="P651" s="19">
        <f t="shared" si="83"/>
        <v>2210</v>
      </c>
      <c r="R651" s="19">
        <f t="shared" si="80"/>
        <v>607263.79999999993</v>
      </c>
      <c r="T651" s="19">
        <f t="shared" si="84"/>
        <v>344956.64</v>
      </c>
      <c r="U651" s="19">
        <f t="shared" si="85"/>
        <v>353367.07999999996</v>
      </c>
      <c r="V651" s="21">
        <f t="shared" si="86"/>
        <v>8410.4399999999441</v>
      </c>
      <c r="W651" s="18">
        <f t="shared" si="87"/>
        <v>2.4381151207873382E-2</v>
      </c>
    </row>
    <row r="652" spans="1:23" x14ac:dyDescent="0.3">
      <c r="A652" t="s">
        <v>280</v>
      </c>
      <c r="B652" t="s">
        <v>1230</v>
      </c>
      <c r="C652" t="s">
        <v>23</v>
      </c>
      <c r="D652" t="s">
        <v>13</v>
      </c>
      <c r="E652">
        <v>1049</v>
      </c>
      <c r="F652">
        <v>309.43</v>
      </c>
      <c r="G652">
        <v>307.47000000000003</v>
      </c>
      <c r="H652">
        <v>309.43</v>
      </c>
      <c r="I652">
        <v>1561</v>
      </c>
      <c r="J652">
        <v>22</v>
      </c>
      <c r="K652" s="17">
        <f t="shared" si="81"/>
        <v>1144.7333333333333</v>
      </c>
      <c r="L652" t="str">
        <f t="shared" si="82"/>
        <v>High Risk</v>
      </c>
      <c r="P652" s="19">
        <f t="shared" si="83"/>
        <v>96</v>
      </c>
      <c r="R652" s="19">
        <f t="shared" si="80"/>
        <v>29705.279999999999</v>
      </c>
      <c r="T652" s="19">
        <f t="shared" si="84"/>
        <v>479960.67000000004</v>
      </c>
      <c r="U652" s="19">
        <f t="shared" si="85"/>
        <v>483020.23000000004</v>
      </c>
      <c r="V652" s="21">
        <f t="shared" si="86"/>
        <v>3059.5599999999977</v>
      </c>
      <c r="W652" s="18">
        <f t="shared" si="87"/>
        <v>6.3746056525839862E-3</v>
      </c>
    </row>
    <row r="653" spans="1:23" x14ac:dyDescent="0.3">
      <c r="A653" t="s">
        <v>61</v>
      </c>
      <c r="B653" t="s">
        <v>62</v>
      </c>
      <c r="C653" t="s">
        <v>37</v>
      </c>
      <c r="D653" t="s">
        <v>13</v>
      </c>
      <c r="E653">
        <v>1057</v>
      </c>
      <c r="F653">
        <v>520.84</v>
      </c>
      <c r="G653">
        <v>468.48</v>
      </c>
      <c r="H653">
        <v>520.84</v>
      </c>
      <c r="I653">
        <v>3887</v>
      </c>
      <c r="J653">
        <v>43</v>
      </c>
      <c r="K653" s="17">
        <f t="shared" si="81"/>
        <v>5571.3666666666668</v>
      </c>
      <c r="L653" t="str">
        <f t="shared" si="82"/>
        <v>High Risk</v>
      </c>
      <c r="P653" s="19">
        <f t="shared" si="83"/>
        <v>4515</v>
      </c>
      <c r="R653" s="19">
        <f t="shared" si="80"/>
        <v>2351592.6</v>
      </c>
      <c r="T653" s="19">
        <f t="shared" si="84"/>
        <v>1820981.76</v>
      </c>
      <c r="U653" s="19">
        <f t="shared" si="85"/>
        <v>2024505.08</v>
      </c>
      <c r="V653" s="21">
        <f t="shared" si="86"/>
        <v>203523.32000000007</v>
      </c>
      <c r="W653" s="18">
        <f t="shared" si="87"/>
        <v>0.11176571038251369</v>
      </c>
    </row>
    <row r="654" spans="1:23" x14ac:dyDescent="0.3">
      <c r="A654" t="s">
        <v>275</v>
      </c>
      <c r="B654" t="s">
        <v>1089</v>
      </c>
      <c r="C654" t="s">
        <v>16</v>
      </c>
      <c r="D654" t="s">
        <v>20</v>
      </c>
      <c r="E654">
        <v>1058</v>
      </c>
      <c r="F654">
        <v>47.14</v>
      </c>
      <c r="G654">
        <v>39.869999999999997</v>
      </c>
      <c r="H654">
        <v>47.14</v>
      </c>
      <c r="I654">
        <v>719</v>
      </c>
      <c r="J654">
        <v>56</v>
      </c>
      <c r="K654" s="17">
        <f t="shared" si="81"/>
        <v>1342.1333333333332</v>
      </c>
      <c r="L654" t="str">
        <f t="shared" si="82"/>
        <v>High Risk</v>
      </c>
      <c r="P654" s="19">
        <f t="shared" si="83"/>
        <v>285</v>
      </c>
      <c r="R654" s="19">
        <f t="shared" si="80"/>
        <v>13434.9</v>
      </c>
      <c r="T654" s="19">
        <f t="shared" si="84"/>
        <v>28666.53</v>
      </c>
      <c r="U654" s="19">
        <f t="shared" si="85"/>
        <v>33893.660000000003</v>
      </c>
      <c r="V654" s="21">
        <f t="shared" si="86"/>
        <v>5227.1300000000047</v>
      </c>
      <c r="W654" s="18">
        <f t="shared" si="87"/>
        <v>0.18234261349385519</v>
      </c>
    </row>
    <row r="655" spans="1:23" x14ac:dyDescent="0.3">
      <c r="A655" t="s">
        <v>1410</v>
      </c>
      <c r="B655" t="s">
        <v>2621</v>
      </c>
      <c r="C655" t="s">
        <v>23</v>
      </c>
      <c r="D655" t="s">
        <v>20</v>
      </c>
      <c r="E655">
        <v>1060</v>
      </c>
      <c r="F655">
        <v>135.27000000000001</v>
      </c>
      <c r="G655">
        <v>114.07</v>
      </c>
      <c r="H655">
        <v>135.27000000000001</v>
      </c>
      <c r="I655">
        <v>2201</v>
      </c>
      <c r="J655">
        <v>44</v>
      </c>
      <c r="K655" s="17">
        <f t="shared" si="81"/>
        <v>3228.1333333333332</v>
      </c>
      <c r="L655" t="str">
        <f t="shared" si="82"/>
        <v>High Risk</v>
      </c>
      <c r="P655" s="19">
        <f t="shared" si="83"/>
        <v>2169</v>
      </c>
      <c r="R655" s="19">
        <f t="shared" si="80"/>
        <v>293400.63</v>
      </c>
      <c r="T655" s="19">
        <f t="shared" si="84"/>
        <v>251068.06999999998</v>
      </c>
      <c r="U655" s="19">
        <f t="shared" si="85"/>
        <v>297729.27</v>
      </c>
      <c r="V655" s="21">
        <f t="shared" si="86"/>
        <v>46661.200000000041</v>
      </c>
      <c r="W655" s="18">
        <f t="shared" si="87"/>
        <v>0.18585079337249075</v>
      </c>
    </row>
    <row r="656" spans="1:23" x14ac:dyDescent="0.3">
      <c r="A656" t="s">
        <v>1102</v>
      </c>
      <c r="B656" t="s">
        <v>2793</v>
      </c>
      <c r="C656" t="s">
        <v>23</v>
      </c>
      <c r="D656" t="s">
        <v>17</v>
      </c>
      <c r="E656">
        <v>1060</v>
      </c>
      <c r="F656">
        <v>148.15</v>
      </c>
      <c r="G656">
        <v>138.68</v>
      </c>
      <c r="H656">
        <v>148.15</v>
      </c>
      <c r="I656">
        <v>2527</v>
      </c>
      <c r="J656">
        <v>14</v>
      </c>
      <c r="K656" s="17">
        <f t="shared" si="81"/>
        <v>1179.2666666666667</v>
      </c>
      <c r="L656" t="str">
        <f t="shared" si="82"/>
        <v>High Risk</v>
      </c>
      <c r="P656" s="19">
        <f t="shared" si="83"/>
        <v>120</v>
      </c>
      <c r="R656" s="19">
        <f t="shared" si="80"/>
        <v>17778</v>
      </c>
      <c r="T656" s="19">
        <f t="shared" si="84"/>
        <v>350444.36000000004</v>
      </c>
      <c r="U656" s="19">
        <f t="shared" si="85"/>
        <v>374375.05</v>
      </c>
      <c r="V656" s="21">
        <f t="shared" si="86"/>
        <v>23930.689999999944</v>
      </c>
      <c r="W656" s="18">
        <f t="shared" si="87"/>
        <v>6.8286703201615062E-2</v>
      </c>
    </row>
    <row r="657" spans="1:23" x14ac:dyDescent="0.3">
      <c r="A657" t="s">
        <v>434</v>
      </c>
      <c r="B657" t="s">
        <v>1923</v>
      </c>
      <c r="C657" t="s">
        <v>50</v>
      </c>
      <c r="D657" t="s">
        <v>17</v>
      </c>
      <c r="E657">
        <v>1061</v>
      </c>
      <c r="F657">
        <v>100.72</v>
      </c>
      <c r="G657">
        <v>84.15</v>
      </c>
      <c r="H657">
        <v>100.72</v>
      </c>
      <c r="I657">
        <v>1420</v>
      </c>
      <c r="J657">
        <v>15</v>
      </c>
      <c r="K657" s="17">
        <f t="shared" si="81"/>
        <v>710</v>
      </c>
      <c r="L657" t="str">
        <f t="shared" si="82"/>
        <v>Sufficuent Stock</v>
      </c>
      <c r="P657" s="19">
        <f t="shared" si="83"/>
        <v>0</v>
      </c>
      <c r="R657" s="19">
        <f t="shared" si="80"/>
        <v>0</v>
      </c>
      <c r="T657" s="19">
        <f t="shared" si="84"/>
        <v>119493.00000000001</v>
      </c>
      <c r="U657" s="19">
        <f t="shared" si="85"/>
        <v>143022.39999999999</v>
      </c>
      <c r="V657" s="21">
        <f t="shared" si="86"/>
        <v>23529.39999999998</v>
      </c>
      <c r="W657" s="18">
        <f t="shared" si="87"/>
        <v>0.19691027926322024</v>
      </c>
    </row>
    <row r="658" spans="1:23" x14ac:dyDescent="0.3">
      <c r="A658" t="s">
        <v>203</v>
      </c>
      <c r="B658" t="s">
        <v>3051</v>
      </c>
      <c r="C658" t="s">
        <v>50</v>
      </c>
      <c r="D658" t="s">
        <v>69</v>
      </c>
      <c r="E658">
        <v>1061</v>
      </c>
      <c r="F658">
        <v>324.95</v>
      </c>
      <c r="G658">
        <v>305.02999999999997</v>
      </c>
      <c r="H658">
        <v>324.95</v>
      </c>
      <c r="I658">
        <v>1213</v>
      </c>
      <c r="J658">
        <v>18</v>
      </c>
      <c r="K658" s="17">
        <f t="shared" si="81"/>
        <v>727.8</v>
      </c>
      <c r="L658" t="str">
        <f t="shared" si="82"/>
        <v>Sufficuent Stock</v>
      </c>
      <c r="P658" s="19">
        <f t="shared" si="83"/>
        <v>0</v>
      </c>
      <c r="R658" s="19">
        <f t="shared" si="80"/>
        <v>0</v>
      </c>
      <c r="T658" s="19">
        <f t="shared" si="84"/>
        <v>370001.38999999996</v>
      </c>
      <c r="U658" s="19">
        <f t="shared" si="85"/>
        <v>394164.35</v>
      </c>
      <c r="V658" s="21">
        <f t="shared" si="86"/>
        <v>24162.960000000021</v>
      </c>
      <c r="W658" s="18">
        <f t="shared" si="87"/>
        <v>6.5305051962102151E-2</v>
      </c>
    </row>
    <row r="659" spans="1:23" x14ac:dyDescent="0.3">
      <c r="A659" t="s">
        <v>94</v>
      </c>
      <c r="B659" t="s">
        <v>2386</v>
      </c>
      <c r="C659" t="s">
        <v>16</v>
      </c>
      <c r="D659" t="s">
        <v>69</v>
      </c>
      <c r="E659">
        <v>1063</v>
      </c>
      <c r="F659">
        <v>97.64</v>
      </c>
      <c r="G659">
        <v>86.38</v>
      </c>
      <c r="H659">
        <v>97.64</v>
      </c>
      <c r="I659">
        <v>3256</v>
      </c>
      <c r="J659">
        <v>13</v>
      </c>
      <c r="K659" s="17">
        <f t="shared" si="81"/>
        <v>1410.9333333333334</v>
      </c>
      <c r="L659" t="str">
        <f t="shared" si="82"/>
        <v>High Risk</v>
      </c>
      <c r="P659" s="19">
        <f t="shared" si="83"/>
        <v>348</v>
      </c>
      <c r="R659" s="19">
        <f t="shared" si="80"/>
        <v>33978.720000000001</v>
      </c>
      <c r="T659" s="19">
        <f t="shared" si="84"/>
        <v>281253.27999999997</v>
      </c>
      <c r="U659" s="19">
        <f t="shared" si="85"/>
        <v>317915.84000000003</v>
      </c>
      <c r="V659" s="21">
        <f t="shared" si="86"/>
        <v>36662.560000000056</v>
      </c>
      <c r="W659" s="18">
        <f t="shared" si="87"/>
        <v>0.13035424866867351</v>
      </c>
    </row>
    <row r="660" spans="1:23" x14ac:dyDescent="0.3">
      <c r="A660" t="s">
        <v>191</v>
      </c>
      <c r="B660" t="s">
        <v>2523</v>
      </c>
      <c r="C660" t="s">
        <v>16</v>
      </c>
      <c r="D660" t="s">
        <v>17</v>
      </c>
      <c r="E660">
        <v>1064</v>
      </c>
      <c r="F660">
        <v>456.73</v>
      </c>
      <c r="G660">
        <v>409.17</v>
      </c>
      <c r="H660">
        <v>456.73</v>
      </c>
      <c r="I660">
        <v>3584</v>
      </c>
      <c r="J660">
        <v>82</v>
      </c>
      <c r="K660" s="17">
        <f t="shared" si="81"/>
        <v>9796.2666666666664</v>
      </c>
      <c r="L660" t="str">
        <f t="shared" si="82"/>
        <v>High Risk</v>
      </c>
      <c r="P660" s="19">
        <f t="shared" si="83"/>
        <v>8733</v>
      </c>
      <c r="R660" s="19">
        <f t="shared" si="80"/>
        <v>3988623.0900000003</v>
      </c>
      <c r="T660" s="19">
        <f t="shared" si="84"/>
        <v>1466465.28</v>
      </c>
      <c r="U660" s="19">
        <f t="shared" si="85"/>
        <v>1636920.3200000001</v>
      </c>
      <c r="V660" s="21">
        <f t="shared" si="86"/>
        <v>170455.04000000004</v>
      </c>
      <c r="W660" s="18">
        <f t="shared" si="87"/>
        <v>0.11623530561869153</v>
      </c>
    </row>
    <row r="661" spans="1:23" x14ac:dyDescent="0.3">
      <c r="A661" t="s">
        <v>340</v>
      </c>
      <c r="B661" t="s">
        <v>341</v>
      </c>
      <c r="C661" t="s">
        <v>16</v>
      </c>
      <c r="D661" t="s">
        <v>26</v>
      </c>
      <c r="E661">
        <v>1066</v>
      </c>
      <c r="F661">
        <v>259.45</v>
      </c>
      <c r="G661">
        <v>216.4</v>
      </c>
      <c r="H661">
        <v>259.45</v>
      </c>
      <c r="I661">
        <v>947</v>
      </c>
      <c r="J661">
        <v>45</v>
      </c>
      <c r="K661" s="17">
        <f t="shared" si="81"/>
        <v>1420.5</v>
      </c>
      <c r="L661" t="str">
        <f t="shared" si="82"/>
        <v>High Risk</v>
      </c>
      <c r="P661" s="19">
        <f t="shared" si="83"/>
        <v>355</v>
      </c>
      <c r="R661" s="19">
        <f t="shared" si="80"/>
        <v>92104.75</v>
      </c>
      <c r="T661" s="19">
        <f t="shared" si="84"/>
        <v>204930.80000000002</v>
      </c>
      <c r="U661" s="19">
        <f t="shared" si="85"/>
        <v>245699.15</v>
      </c>
      <c r="V661" s="21">
        <f t="shared" si="86"/>
        <v>40768.349999999977</v>
      </c>
      <c r="W661" s="18">
        <f t="shared" si="87"/>
        <v>0.19893715341959323</v>
      </c>
    </row>
    <row r="662" spans="1:23" x14ac:dyDescent="0.3">
      <c r="A662" t="s">
        <v>229</v>
      </c>
      <c r="B662" t="s">
        <v>230</v>
      </c>
      <c r="C662" t="s">
        <v>16</v>
      </c>
      <c r="D662" t="s">
        <v>69</v>
      </c>
      <c r="E662">
        <v>1068</v>
      </c>
      <c r="F662">
        <v>12.98</v>
      </c>
      <c r="G662">
        <v>11.39</v>
      </c>
      <c r="H662">
        <v>12.98</v>
      </c>
      <c r="I662">
        <v>3248</v>
      </c>
      <c r="J662">
        <v>47</v>
      </c>
      <c r="K662" s="17">
        <f t="shared" si="81"/>
        <v>5088.5333333333328</v>
      </c>
      <c r="L662" t="str">
        <f t="shared" si="82"/>
        <v>High Risk</v>
      </c>
      <c r="P662" s="19">
        <f t="shared" si="83"/>
        <v>4021</v>
      </c>
      <c r="R662" s="19">
        <f t="shared" si="80"/>
        <v>52192.58</v>
      </c>
      <c r="T662" s="19">
        <f t="shared" si="84"/>
        <v>36994.720000000001</v>
      </c>
      <c r="U662" s="19">
        <f t="shared" si="85"/>
        <v>42159.040000000001</v>
      </c>
      <c r="V662" s="21">
        <f t="shared" si="86"/>
        <v>5164.32</v>
      </c>
      <c r="W662" s="18">
        <f t="shared" si="87"/>
        <v>0.13959613696224757</v>
      </c>
    </row>
    <row r="663" spans="1:23" x14ac:dyDescent="0.3">
      <c r="A663" t="s">
        <v>211</v>
      </c>
      <c r="B663" t="s">
        <v>2003</v>
      </c>
      <c r="C663" t="s">
        <v>37</v>
      </c>
      <c r="D663" t="s">
        <v>20</v>
      </c>
      <c r="E663">
        <v>1068</v>
      </c>
      <c r="F663">
        <v>378.57</v>
      </c>
      <c r="G663">
        <v>339.38</v>
      </c>
      <c r="H663">
        <v>378.57</v>
      </c>
      <c r="I663">
        <v>1964</v>
      </c>
      <c r="J663">
        <v>35</v>
      </c>
      <c r="K663" s="17">
        <f t="shared" si="81"/>
        <v>2291.3333333333335</v>
      </c>
      <c r="L663" t="str">
        <f t="shared" si="82"/>
        <v>High Risk</v>
      </c>
      <c r="P663" s="19">
        <f t="shared" si="83"/>
        <v>1224</v>
      </c>
      <c r="R663" s="19">
        <f t="shared" si="80"/>
        <v>463369.68</v>
      </c>
      <c r="T663" s="19">
        <f t="shared" si="84"/>
        <v>666542.31999999995</v>
      </c>
      <c r="U663" s="19">
        <f t="shared" si="85"/>
        <v>743511.48</v>
      </c>
      <c r="V663" s="21">
        <f t="shared" si="86"/>
        <v>76969.160000000033</v>
      </c>
      <c r="W663" s="18">
        <f t="shared" si="87"/>
        <v>0.11547527844893635</v>
      </c>
    </row>
    <row r="664" spans="1:23" x14ac:dyDescent="0.3">
      <c r="A664" t="s">
        <v>644</v>
      </c>
      <c r="B664" t="s">
        <v>1488</v>
      </c>
      <c r="C664" t="s">
        <v>37</v>
      </c>
      <c r="D664" t="s">
        <v>13</v>
      </c>
      <c r="E664">
        <v>1068</v>
      </c>
      <c r="F664">
        <v>196.15</v>
      </c>
      <c r="G664">
        <v>174.52</v>
      </c>
      <c r="H664">
        <v>196.15</v>
      </c>
      <c r="I664">
        <v>3939</v>
      </c>
      <c r="J664">
        <v>65</v>
      </c>
      <c r="K664" s="17">
        <f t="shared" si="81"/>
        <v>8534.5</v>
      </c>
      <c r="L664" t="str">
        <f t="shared" si="82"/>
        <v>High Risk</v>
      </c>
      <c r="P664" s="19">
        <f t="shared" si="83"/>
        <v>7467</v>
      </c>
      <c r="R664" s="19">
        <f t="shared" si="80"/>
        <v>1464652.05</v>
      </c>
      <c r="T664" s="19">
        <f t="shared" si="84"/>
        <v>687434.28</v>
      </c>
      <c r="U664" s="19">
        <f t="shared" si="85"/>
        <v>772634.85</v>
      </c>
      <c r="V664" s="21">
        <f t="shared" si="86"/>
        <v>85200.569999999949</v>
      </c>
      <c r="W664" s="18">
        <f t="shared" si="87"/>
        <v>0.12393994957597976</v>
      </c>
    </row>
    <row r="665" spans="1:23" x14ac:dyDescent="0.3">
      <c r="A665" t="s">
        <v>235</v>
      </c>
      <c r="B665" t="s">
        <v>794</v>
      </c>
      <c r="C665" t="s">
        <v>50</v>
      </c>
      <c r="D665" t="s">
        <v>69</v>
      </c>
      <c r="E665">
        <v>1069</v>
      </c>
      <c r="F665">
        <v>380.86</v>
      </c>
      <c r="G665">
        <v>417.86</v>
      </c>
      <c r="H665">
        <v>380.86</v>
      </c>
      <c r="I665">
        <v>3562</v>
      </c>
      <c r="J665">
        <v>24</v>
      </c>
      <c r="K665" s="17">
        <f t="shared" si="81"/>
        <v>2849.6</v>
      </c>
      <c r="L665" t="str">
        <f t="shared" si="82"/>
        <v>High Risk</v>
      </c>
      <c r="P665" s="19">
        <f t="shared" si="83"/>
        <v>1781</v>
      </c>
      <c r="R665" s="19">
        <f t="shared" si="80"/>
        <v>678311.66</v>
      </c>
      <c r="T665" s="19">
        <f t="shared" si="84"/>
        <v>1488417.32</v>
      </c>
      <c r="U665" s="19">
        <f t="shared" si="85"/>
        <v>1356623.32</v>
      </c>
      <c r="V665" s="21">
        <f t="shared" si="86"/>
        <v>-131794</v>
      </c>
      <c r="W665" s="18">
        <f t="shared" si="87"/>
        <v>-8.8546403101517249E-2</v>
      </c>
    </row>
    <row r="666" spans="1:23" x14ac:dyDescent="0.3">
      <c r="A666" t="s">
        <v>988</v>
      </c>
      <c r="B666" t="s">
        <v>1311</v>
      </c>
      <c r="C666" t="s">
        <v>50</v>
      </c>
      <c r="D666" t="s">
        <v>13</v>
      </c>
      <c r="E666">
        <v>1073</v>
      </c>
      <c r="F666">
        <v>173.81</v>
      </c>
      <c r="G666">
        <v>152.29</v>
      </c>
      <c r="H666">
        <v>173.81</v>
      </c>
      <c r="I666">
        <v>2814</v>
      </c>
      <c r="J666">
        <v>54</v>
      </c>
      <c r="K666" s="17">
        <f t="shared" si="81"/>
        <v>5065.2</v>
      </c>
      <c r="L666" t="str">
        <f t="shared" si="82"/>
        <v>High Risk</v>
      </c>
      <c r="P666" s="19">
        <f t="shared" si="83"/>
        <v>3993</v>
      </c>
      <c r="R666" s="19">
        <f t="shared" si="80"/>
        <v>694023.33</v>
      </c>
      <c r="T666" s="19">
        <f t="shared" si="84"/>
        <v>428544.06</v>
      </c>
      <c r="U666" s="19">
        <f t="shared" si="85"/>
        <v>489101.34</v>
      </c>
      <c r="V666" s="21">
        <f t="shared" si="86"/>
        <v>60557.280000000028</v>
      </c>
      <c r="W666" s="18">
        <f t="shared" si="87"/>
        <v>0.14130934401470885</v>
      </c>
    </row>
    <row r="667" spans="1:23" x14ac:dyDescent="0.3">
      <c r="A667" t="s">
        <v>1679</v>
      </c>
      <c r="B667" t="s">
        <v>3080</v>
      </c>
      <c r="C667" t="s">
        <v>12</v>
      </c>
      <c r="D667" t="s">
        <v>17</v>
      </c>
      <c r="E667">
        <v>1074</v>
      </c>
      <c r="F667">
        <v>409.08</v>
      </c>
      <c r="G667">
        <v>420.83</v>
      </c>
      <c r="H667">
        <v>409.08</v>
      </c>
      <c r="I667">
        <v>1727</v>
      </c>
      <c r="J667">
        <v>63</v>
      </c>
      <c r="K667" s="17">
        <f t="shared" si="81"/>
        <v>3626.7000000000003</v>
      </c>
      <c r="L667" t="str">
        <f t="shared" si="82"/>
        <v>High Risk</v>
      </c>
      <c r="P667" s="19">
        <f t="shared" si="83"/>
        <v>2553</v>
      </c>
      <c r="R667" s="19">
        <f t="shared" si="80"/>
        <v>1044381.24</v>
      </c>
      <c r="T667" s="19">
        <f t="shared" si="84"/>
        <v>726773.40999999992</v>
      </c>
      <c r="U667" s="19">
        <f t="shared" si="85"/>
        <v>706481.15999999992</v>
      </c>
      <c r="V667" s="21">
        <f t="shared" si="86"/>
        <v>-20292.25</v>
      </c>
      <c r="W667" s="18">
        <f t="shared" si="87"/>
        <v>-2.7921013235748405E-2</v>
      </c>
    </row>
    <row r="668" spans="1:23" x14ac:dyDescent="0.3">
      <c r="A668" t="s">
        <v>657</v>
      </c>
      <c r="B668" t="s">
        <v>2868</v>
      </c>
      <c r="C668" t="s">
        <v>12</v>
      </c>
      <c r="D668" t="s">
        <v>26</v>
      </c>
      <c r="E668">
        <v>1074</v>
      </c>
      <c r="F668">
        <v>151.85</v>
      </c>
      <c r="G668">
        <v>159.84</v>
      </c>
      <c r="H668">
        <v>151.85</v>
      </c>
      <c r="I668">
        <v>263</v>
      </c>
      <c r="J668">
        <v>50</v>
      </c>
      <c r="K668" s="17">
        <f t="shared" si="81"/>
        <v>438.33333333333337</v>
      </c>
      <c r="L668" t="str">
        <f t="shared" si="82"/>
        <v>Sufficuent Stock</v>
      </c>
      <c r="P668" s="19">
        <f t="shared" si="83"/>
        <v>0</v>
      </c>
      <c r="R668" s="19">
        <f t="shared" si="80"/>
        <v>0</v>
      </c>
      <c r="T668" s="19">
        <f t="shared" si="84"/>
        <v>42037.919999999998</v>
      </c>
      <c r="U668" s="19">
        <f t="shared" si="85"/>
        <v>39936.549999999996</v>
      </c>
      <c r="V668" s="21">
        <f t="shared" si="86"/>
        <v>-2101.3700000000026</v>
      </c>
      <c r="W668" s="18">
        <f t="shared" si="87"/>
        <v>-4.9987487487487554E-2</v>
      </c>
    </row>
    <row r="669" spans="1:23" x14ac:dyDescent="0.3">
      <c r="A669" t="s">
        <v>434</v>
      </c>
      <c r="B669" t="s">
        <v>1900</v>
      </c>
      <c r="C669" t="s">
        <v>12</v>
      </c>
      <c r="D669" t="s">
        <v>26</v>
      </c>
      <c r="E669">
        <v>1077</v>
      </c>
      <c r="F669">
        <v>291.06</v>
      </c>
      <c r="G669">
        <v>256.58</v>
      </c>
      <c r="H669">
        <v>291.06</v>
      </c>
      <c r="I669">
        <v>2460</v>
      </c>
      <c r="J669">
        <v>74</v>
      </c>
      <c r="K669" s="17">
        <f t="shared" si="81"/>
        <v>6068</v>
      </c>
      <c r="L669" t="str">
        <f t="shared" si="82"/>
        <v>High Risk</v>
      </c>
      <c r="P669" s="19">
        <f t="shared" si="83"/>
        <v>4991</v>
      </c>
      <c r="R669" s="19">
        <f t="shared" si="80"/>
        <v>1452680.46</v>
      </c>
      <c r="T669" s="19">
        <f t="shared" si="84"/>
        <v>631186.79999999993</v>
      </c>
      <c r="U669" s="19">
        <f t="shared" si="85"/>
        <v>716007.6</v>
      </c>
      <c r="V669" s="21">
        <f t="shared" si="86"/>
        <v>84820.800000000047</v>
      </c>
      <c r="W669" s="18">
        <f t="shared" si="87"/>
        <v>0.13438303842856039</v>
      </c>
    </row>
    <row r="670" spans="1:23" x14ac:dyDescent="0.3">
      <c r="A670" t="s">
        <v>119</v>
      </c>
      <c r="B670" t="s">
        <v>1634</v>
      </c>
      <c r="C670" t="s">
        <v>50</v>
      </c>
      <c r="D670" t="s">
        <v>26</v>
      </c>
      <c r="E670">
        <v>1077</v>
      </c>
      <c r="F670">
        <v>411.38</v>
      </c>
      <c r="G670">
        <v>436.13</v>
      </c>
      <c r="H670">
        <v>411.38</v>
      </c>
      <c r="I670">
        <v>802</v>
      </c>
      <c r="J670">
        <v>12</v>
      </c>
      <c r="K670" s="17">
        <f t="shared" si="81"/>
        <v>320.8</v>
      </c>
      <c r="L670" t="str">
        <f t="shared" si="82"/>
        <v>Sufficuent Stock</v>
      </c>
      <c r="P670" s="19">
        <f t="shared" si="83"/>
        <v>0</v>
      </c>
      <c r="R670" s="19">
        <f t="shared" si="80"/>
        <v>0</v>
      </c>
      <c r="T670" s="19">
        <f t="shared" si="84"/>
        <v>349776.26</v>
      </c>
      <c r="U670" s="19">
        <f t="shared" si="85"/>
        <v>329926.76</v>
      </c>
      <c r="V670" s="21">
        <f t="shared" si="86"/>
        <v>-19849.5</v>
      </c>
      <c r="W670" s="18">
        <f t="shared" si="87"/>
        <v>-5.6749134432394009E-2</v>
      </c>
    </row>
    <row r="671" spans="1:23" x14ac:dyDescent="0.3">
      <c r="A671" t="s">
        <v>382</v>
      </c>
      <c r="B671" t="s">
        <v>1115</v>
      </c>
      <c r="C671" t="s">
        <v>16</v>
      </c>
      <c r="D671" t="s">
        <v>13</v>
      </c>
      <c r="E671">
        <v>1078</v>
      </c>
      <c r="F671">
        <v>469.09</v>
      </c>
      <c r="G671">
        <v>465.05</v>
      </c>
      <c r="H671">
        <v>469.09</v>
      </c>
      <c r="I671">
        <v>3927</v>
      </c>
      <c r="J671">
        <v>8</v>
      </c>
      <c r="K671" s="17">
        <f t="shared" si="81"/>
        <v>1047.2</v>
      </c>
      <c r="L671" t="str">
        <f t="shared" si="82"/>
        <v>Sufficuent Stock</v>
      </c>
      <c r="P671" s="19">
        <f t="shared" si="83"/>
        <v>0</v>
      </c>
      <c r="R671" s="19">
        <f t="shared" si="80"/>
        <v>0</v>
      </c>
      <c r="T671" s="19">
        <f t="shared" si="84"/>
        <v>1826251.35</v>
      </c>
      <c r="U671" s="19">
        <f t="shared" si="85"/>
        <v>1842116.43</v>
      </c>
      <c r="V671" s="21">
        <f t="shared" si="86"/>
        <v>15865.079999999842</v>
      </c>
      <c r="W671" s="18">
        <f t="shared" si="87"/>
        <v>8.6872379314051375E-3</v>
      </c>
    </row>
    <row r="672" spans="1:23" x14ac:dyDescent="0.3">
      <c r="A672" t="s">
        <v>301</v>
      </c>
      <c r="B672" t="s">
        <v>302</v>
      </c>
      <c r="C672" t="s">
        <v>50</v>
      </c>
      <c r="D672" t="s">
        <v>13</v>
      </c>
      <c r="E672">
        <v>1082</v>
      </c>
      <c r="F672">
        <v>276.77</v>
      </c>
      <c r="G672">
        <v>265.79000000000002</v>
      </c>
      <c r="H672">
        <v>276.77</v>
      </c>
      <c r="I672">
        <v>2916</v>
      </c>
      <c r="J672">
        <v>45</v>
      </c>
      <c r="K672" s="17">
        <f t="shared" si="81"/>
        <v>4374</v>
      </c>
      <c r="L672" t="str">
        <f t="shared" si="82"/>
        <v>High Risk</v>
      </c>
      <c r="P672" s="19">
        <f t="shared" si="83"/>
        <v>3292</v>
      </c>
      <c r="R672" s="19">
        <f t="shared" si="80"/>
        <v>911126.84</v>
      </c>
      <c r="T672" s="19">
        <f t="shared" si="84"/>
        <v>775043.64</v>
      </c>
      <c r="U672" s="19">
        <f t="shared" si="85"/>
        <v>807061.32</v>
      </c>
      <c r="V672" s="21">
        <f t="shared" si="86"/>
        <v>32017.679999999935</v>
      </c>
      <c r="W672" s="18">
        <f t="shared" si="87"/>
        <v>4.1310809285526086E-2</v>
      </c>
    </row>
    <row r="673" spans="1:23" x14ac:dyDescent="0.3">
      <c r="A673" t="s">
        <v>1074</v>
      </c>
      <c r="B673" t="s">
        <v>2762</v>
      </c>
      <c r="C673" t="s">
        <v>50</v>
      </c>
      <c r="D673" t="s">
        <v>69</v>
      </c>
      <c r="E673">
        <v>1082</v>
      </c>
      <c r="F673">
        <v>439.71</v>
      </c>
      <c r="G673">
        <v>379.05</v>
      </c>
      <c r="H673">
        <v>439.71</v>
      </c>
      <c r="I673">
        <v>248</v>
      </c>
      <c r="J673">
        <v>80</v>
      </c>
      <c r="K673" s="17">
        <f t="shared" si="81"/>
        <v>661.33333333333337</v>
      </c>
      <c r="L673" t="str">
        <f t="shared" si="82"/>
        <v>Sufficuent Stock</v>
      </c>
      <c r="P673" s="19">
        <f t="shared" si="83"/>
        <v>0</v>
      </c>
      <c r="R673" s="19">
        <f t="shared" si="80"/>
        <v>0</v>
      </c>
      <c r="T673" s="19">
        <f t="shared" si="84"/>
        <v>94004.400000000009</v>
      </c>
      <c r="U673" s="19">
        <f t="shared" si="85"/>
        <v>109048.08</v>
      </c>
      <c r="V673" s="21">
        <f t="shared" si="86"/>
        <v>15043.679999999993</v>
      </c>
      <c r="W673" s="18">
        <f t="shared" si="87"/>
        <v>0.16003165809259984</v>
      </c>
    </row>
    <row r="674" spans="1:23" x14ac:dyDescent="0.3">
      <c r="A674" t="s">
        <v>262</v>
      </c>
      <c r="B674" t="s">
        <v>3191</v>
      </c>
      <c r="C674" t="s">
        <v>23</v>
      </c>
      <c r="D674" t="s">
        <v>20</v>
      </c>
      <c r="E674">
        <v>1083</v>
      </c>
      <c r="F674">
        <v>582.05999999999995</v>
      </c>
      <c r="G674">
        <v>487.2</v>
      </c>
      <c r="H674">
        <v>582.05999999999995</v>
      </c>
      <c r="I674">
        <v>1926</v>
      </c>
      <c r="J674">
        <v>34</v>
      </c>
      <c r="K674" s="17">
        <f t="shared" si="81"/>
        <v>2182.8000000000002</v>
      </c>
      <c r="L674" t="str">
        <f t="shared" si="82"/>
        <v>High Risk</v>
      </c>
      <c r="P674" s="19">
        <f t="shared" si="83"/>
        <v>1100</v>
      </c>
      <c r="R674" s="19">
        <f t="shared" si="80"/>
        <v>640265.99999999988</v>
      </c>
      <c r="T674" s="19">
        <f t="shared" si="84"/>
        <v>938347.2</v>
      </c>
      <c r="U674" s="19">
        <f t="shared" si="85"/>
        <v>1121047.5599999998</v>
      </c>
      <c r="V674" s="21">
        <f t="shared" si="86"/>
        <v>182700.35999999987</v>
      </c>
      <c r="W674" s="18">
        <f t="shared" si="87"/>
        <v>0.19470443349753683</v>
      </c>
    </row>
    <row r="675" spans="1:23" x14ac:dyDescent="0.3">
      <c r="A675" t="s">
        <v>539</v>
      </c>
      <c r="B675" t="s">
        <v>1108</v>
      </c>
      <c r="C675" t="s">
        <v>12</v>
      </c>
      <c r="D675" t="s">
        <v>69</v>
      </c>
      <c r="E675">
        <v>1083</v>
      </c>
      <c r="F675">
        <v>312.86</v>
      </c>
      <c r="G675">
        <v>285.11</v>
      </c>
      <c r="H675">
        <v>312.86</v>
      </c>
      <c r="I675">
        <v>368</v>
      </c>
      <c r="J675">
        <v>13</v>
      </c>
      <c r="K675" s="17">
        <f t="shared" si="81"/>
        <v>159.46666666666667</v>
      </c>
      <c r="L675" t="str">
        <f t="shared" si="82"/>
        <v>Sufficuent Stock</v>
      </c>
      <c r="P675" s="19">
        <f t="shared" si="83"/>
        <v>0</v>
      </c>
      <c r="R675" s="19">
        <f t="shared" si="80"/>
        <v>0</v>
      </c>
      <c r="T675" s="19">
        <f t="shared" si="84"/>
        <v>104920.48000000001</v>
      </c>
      <c r="U675" s="19">
        <f t="shared" si="85"/>
        <v>115132.48000000001</v>
      </c>
      <c r="V675" s="21">
        <f t="shared" si="86"/>
        <v>10212</v>
      </c>
      <c r="W675" s="18">
        <f t="shared" si="87"/>
        <v>9.7330854757812765E-2</v>
      </c>
    </row>
    <row r="676" spans="1:23" x14ac:dyDescent="0.3">
      <c r="A676" t="s">
        <v>111</v>
      </c>
      <c r="B676" t="s">
        <v>208</v>
      </c>
      <c r="C676" t="s">
        <v>50</v>
      </c>
      <c r="D676" t="s">
        <v>13</v>
      </c>
      <c r="E676">
        <v>1084</v>
      </c>
      <c r="F676">
        <v>207.69</v>
      </c>
      <c r="G676">
        <v>180.62</v>
      </c>
      <c r="H676">
        <v>207.69</v>
      </c>
      <c r="I676">
        <v>2502</v>
      </c>
      <c r="J676">
        <v>87</v>
      </c>
      <c r="K676" s="17">
        <f t="shared" si="81"/>
        <v>7255.8</v>
      </c>
      <c r="L676" t="str">
        <f t="shared" si="82"/>
        <v>High Risk</v>
      </c>
      <c r="P676" s="19">
        <f t="shared" si="83"/>
        <v>6172</v>
      </c>
      <c r="R676" s="19">
        <f t="shared" si="80"/>
        <v>1281862.68</v>
      </c>
      <c r="T676" s="19">
        <f t="shared" si="84"/>
        <v>451911.24</v>
      </c>
      <c r="U676" s="19">
        <f t="shared" si="85"/>
        <v>519640.38</v>
      </c>
      <c r="V676" s="21">
        <f t="shared" si="86"/>
        <v>67729.140000000014</v>
      </c>
      <c r="W676" s="18">
        <f t="shared" si="87"/>
        <v>0.14987266083490203</v>
      </c>
    </row>
    <row r="677" spans="1:23" x14ac:dyDescent="0.3">
      <c r="A677" t="s">
        <v>949</v>
      </c>
      <c r="B677" t="s">
        <v>2562</v>
      </c>
      <c r="C677" t="s">
        <v>12</v>
      </c>
      <c r="D677" t="s">
        <v>17</v>
      </c>
      <c r="E677">
        <v>1084</v>
      </c>
      <c r="F677">
        <v>32.369999999999997</v>
      </c>
      <c r="G677">
        <v>33.619999999999997</v>
      </c>
      <c r="H677">
        <v>32.369999999999997</v>
      </c>
      <c r="I677">
        <v>1742</v>
      </c>
      <c r="J677">
        <v>73</v>
      </c>
      <c r="K677" s="17">
        <f t="shared" si="81"/>
        <v>4238.8666666666668</v>
      </c>
      <c r="L677" t="str">
        <f t="shared" si="82"/>
        <v>High Risk</v>
      </c>
      <c r="P677" s="19">
        <f t="shared" si="83"/>
        <v>3155</v>
      </c>
      <c r="R677" s="19">
        <f t="shared" si="80"/>
        <v>102127.34999999999</v>
      </c>
      <c r="T677" s="19">
        <f t="shared" si="84"/>
        <v>58566.039999999994</v>
      </c>
      <c r="U677" s="19">
        <f t="shared" si="85"/>
        <v>56388.539999999994</v>
      </c>
      <c r="V677" s="21">
        <f t="shared" si="86"/>
        <v>-2177.5</v>
      </c>
      <c r="W677" s="18">
        <f t="shared" si="87"/>
        <v>-3.7180249851279004E-2</v>
      </c>
    </row>
    <row r="678" spans="1:23" x14ac:dyDescent="0.3">
      <c r="A678" t="s">
        <v>449</v>
      </c>
      <c r="B678" t="s">
        <v>865</v>
      </c>
      <c r="C678" t="s">
        <v>12</v>
      </c>
      <c r="D678" t="s">
        <v>17</v>
      </c>
      <c r="E678">
        <v>1090</v>
      </c>
      <c r="F678">
        <v>372.14</v>
      </c>
      <c r="G678">
        <v>328.85</v>
      </c>
      <c r="H678">
        <v>372.14</v>
      </c>
      <c r="I678">
        <v>2966</v>
      </c>
      <c r="J678">
        <v>88</v>
      </c>
      <c r="K678" s="17">
        <f t="shared" si="81"/>
        <v>8700.2666666666664</v>
      </c>
      <c r="L678" t="str">
        <f t="shared" si="82"/>
        <v>High Risk</v>
      </c>
      <c r="P678" s="19">
        <f t="shared" si="83"/>
        <v>7611</v>
      </c>
      <c r="R678" s="19">
        <f t="shared" si="80"/>
        <v>2832357.54</v>
      </c>
      <c r="T678" s="19">
        <f t="shared" si="84"/>
        <v>975369.10000000009</v>
      </c>
      <c r="U678" s="19">
        <f t="shared" si="85"/>
        <v>1103767.24</v>
      </c>
      <c r="V678" s="21">
        <f t="shared" si="86"/>
        <v>128398.1399999999</v>
      </c>
      <c r="W678" s="18">
        <f t="shared" si="87"/>
        <v>0.13164056560741969</v>
      </c>
    </row>
    <row r="679" spans="1:23" x14ac:dyDescent="0.3">
      <c r="A679" t="s">
        <v>1076</v>
      </c>
      <c r="B679" t="s">
        <v>1299</v>
      </c>
      <c r="C679" t="s">
        <v>23</v>
      </c>
      <c r="D679" t="s">
        <v>13</v>
      </c>
      <c r="E679">
        <v>1093</v>
      </c>
      <c r="F679">
        <v>136.97</v>
      </c>
      <c r="G679">
        <v>115.72</v>
      </c>
      <c r="H679">
        <v>136.97</v>
      </c>
      <c r="I679">
        <v>609</v>
      </c>
      <c r="J679">
        <v>34</v>
      </c>
      <c r="K679" s="17">
        <f t="shared" si="81"/>
        <v>690.2</v>
      </c>
      <c r="L679" t="str">
        <f t="shared" si="82"/>
        <v>Sufficuent Stock</v>
      </c>
      <c r="P679" s="19">
        <f t="shared" si="83"/>
        <v>0</v>
      </c>
      <c r="R679" s="19">
        <f t="shared" si="80"/>
        <v>0</v>
      </c>
      <c r="T679" s="19">
        <f t="shared" si="84"/>
        <v>70473.48</v>
      </c>
      <c r="U679" s="19">
        <f t="shared" si="85"/>
        <v>83414.73</v>
      </c>
      <c r="V679" s="21">
        <f t="shared" si="86"/>
        <v>12941.25</v>
      </c>
      <c r="W679" s="18">
        <f t="shared" si="87"/>
        <v>0.18363290701693744</v>
      </c>
    </row>
    <row r="680" spans="1:23" x14ac:dyDescent="0.3">
      <c r="A680" t="s">
        <v>103</v>
      </c>
      <c r="B680" t="s">
        <v>1990</v>
      </c>
      <c r="C680" t="s">
        <v>37</v>
      </c>
      <c r="D680" t="s">
        <v>13</v>
      </c>
      <c r="E680">
        <v>1095</v>
      </c>
      <c r="F680">
        <v>141.38999999999999</v>
      </c>
      <c r="G680">
        <v>134.9</v>
      </c>
      <c r="H680">
        <v>141.38999999999999</v>
      </c>
      <c r="I680">
        <v>1495</v>
      </c>
      <c r="J680">
        <v>17</v>
      </c>
      <c r="K680" s="17">
        <f t="shared" si="81"/>
        <v>847.16666666666674</v>
      </c>
      <c r="L680" t="str">
        <f t="shared" si="82"/>
        <v>Sufficuent Stock</v>
      </c>
      <c r="P680" s="19">
        <f t="shared" si="83"/>
        <v>0</v>
      </c>
      <c r="R680" s="19">
        <f t="shared" si="80"/>
        <v>0</v>
      </c>
      <c r="T680" s="19">
        <f t="shared" si="84"/>
        <v>201675.5</v>
      </c>
      <c r="U680" s="19">
        <f t="shared" si="85"/>
        <v>211378.05</v>
      </c>
      <c r="V680" s="21">
        <f t="shared" si="86"/>
        <v>9702.5499999999884</v>
      </c>
      <c r="W680" s="18">
        <f t="shared" si="87"/>
        <v>4.8109710896960652E-2</v>
      </c>
    </row>
    <row r="681" spans="1:23" x14ac:dyDescent="0.3">
      <c r="A681" t="s">
        <v>222</v>
      </c>
      <c r="B681" t="s">
        <v>3334</v>
      </c>
      <c r="C681" t="s">
        <v>16</v>
      </c>
      <c r="D681" t="s">
        <v>20</v>
      </c>
      <c r="E681">
        <v>1096</v>
      </c>
      <c r="F681">
        <v>346.35</v>
      </c>
      <c r="G681">
        <v>319.37</v>
      </c>
      <c r="H681">
        <v>346.35</v>
      </c>
      <c r="I681">
        <v>635</v>
      </c>
      <c r="J681">
        <v>90</v>
      </c>
      <c r="K681" s="17">
        <f t="shared" si="81"/>
        <v>1905</v>
      </c>
      <c r="L681" t="str">
        <f t="shared" si="82"/>
        <v>High Risk</v>
      </c>
      <c r="P681" s="19">
        <f t="shared" si="83"/>
        <v>809</v>
      </c>
      <c r="R681" s="19">
        <f t="shared" si="80"/>
        <v>280197.15000000002</v>
      </c>
      <c r="T681" s="19">
        <f t="shared" si="84"/>
        <v>202799.95</v>
      </c>
      <c r="U681" s="19">
        <f t="shared" si="85"/>
        <v>219932.25</v>
      </c>
      <c r="V681" s="21">
        <f t="shared" si="86"/>
        <v>17132.299999999988</v>
      </c>
      <c r="W681" s="18">
        <f t="shared" si="87"/>
        <v>8.4478817672292261E-2</v>
      </c>
    </row>
    <row r="682" spans="1:23" x14ac:dyDescent="0.3">
      <c r="A682" t="s">
        <v>732</v>
      </c>
      <c r="B682" t="s">
        <v>1661</v>
      </c>
      <c r="C682" t="s">
        <v>16</v>
      </c>
      <c r="D682" t="s">
        <v>17</v>
      </c>
      <c r="E682">
        <v>1101</v>
      </c>
      <c r="F682">
        <v>304.14</v>
      </c>
      <c r="G682">
        <v>280.13</v>
      </c>
      <c r="H682">
        <v>304.14</v>
      </c>
      <c r="I682">
        <v>1020</v>
      </c>
      <c r="J682">
        <v>6</v>
      </c>
      <c r="K682" s="17">
        <f t="shared" si="81"/>
        <v>204</v>
      </c>
      <c r="L682" t="str">
        <f t="shared" si="82"/>
        <v>Sufficuent Stock</v>
      </c>
      <c r="P682" s="19">
        <f t="shared" si="83"/>
        <v>0</v>
      </c>
      <c r="R682" s="19">
        <f t="shared" si="80"/>
        <v>0</v>
      </c>
      <c r="T682" s="19">
        <f t="shared" si="84"/>
        <v>285732.59999999998</v>
      </c>
      <c r="U682" s="19">
        <f t="shared" si="85"/>
        <v>310222.8</v>
      </c>
      <c r="V682" s="21">
        <f t="shared" si="86"/>
        <v>24490.200000000012</v>
      </c>
      <c r="W682" s="18">
        <f t="shared" si="87"/>
        <v>8.5710205975796996E-2</v>
      </c>
    </row>
    <row r="683" spans="1:23" x14ac:dyDescent="0.3">
      <c r="A683" t="s">
        <v>354</v>
      </c>
      <c r="B683" t="s">
        <v>518</v>
      </c>
      <c r="C683" t="s">
        <v>16</v>
      </c>
      <c r="D683" t="s">
        <v>17</v>
      </c>
      <c r="E683">
        <v>1102</v>
      </c>
      <c r="F683">
        <v>148.38</v>
      </c>
      <c r="G683">
        <v>133.97999999999999</v>
      </c>
      <c r="H683">
        <v>148.38</v>
      </c>
      <c r="I683">
        <v>1474</v>
      </c>
      <c r="J683">
        <v>81</v>
      </c>
      <c r="K683" s="17">
        <f t="shared" si="81"/>
        <v>3979.8</v>
      </c>
      <c r="L683" t="str">
        <f t="shared" si="82"/>
        <v>High Risk</v>
      </c>
      <c r="P683" s="19">
        <f t="shared" si="83"/>
        <v>2878</v>
      </c>
      <c r="R683" s="19">
        <f t="shared" si="80"/>
        <v>427037.64</v>
      </c>
      <c r="T683" s="19">
        <f t="shared" si="84"/>
        <v>197486.52</v>
      </c>
      <c r="U683" s="19">
        <f t="shared" si="85"/>
        <v>218712.12</v>
      </c>
      <c r="V683" s="21">
        <f t="shared" si="86"/>
        <v>21225.600000000006</v>
      </c>
      <c r="W683" s="18">
        <f t="shared" si="87"/>
        <v>0.10747872816838337</v>
      </c>
    </row>
    <row r="684" spans="1:23" x14ac:dyDescent="0.3">
      <c r="A684" t="s">
        <v>422</v>
      </c>
      <c r="B684" t="s">
        <v>2389</v>
      </c>
      <c r="C684" t="s">
        <v>16</v>
      </c>
      <c r="D684" t="s">
        <v>69</v>
      </c>
      <c r="E684">
        <v>1103</v>
      </c>
      <c r="F684">
        <v>331.46</v>
      </c>
      <c r="G684">
        <v>349.73</v>
      </c>
      <c r="H684">
        <v>331.46</v>
      </c>
      <c r="I684">
        <v>3585</v>
      </c>
      <c r="J684">
        <v>35</v>
      </c>
      <c r="K684" s="17">
        <f t="shared" si="81"/>
        <v>4182.5</v>
      </c>
      <c r="L684" t="str">
        <f t="shared" si="82"/>
        <v>High Risk</v>
      </c>
      <c r="P684" s="19">
        <f t="shared" si="83"/>
        <v>3080</v>
      </c>
      <c r="R684" s="19">
        <f t="shared" si="80"/>
        <v>1020896.7999999999</v>
      </c>
      <c r="T684" s="19">
        <f t="shared" si="84"/>
        <v>1253782.05</v>
      </c>
      <c r="U684" s="19">
        <f t="shared" si="85"/>
        <v>1188284.0999999999</v>
      </c>
      <c r="V684" s="21">
        <f t="shared" si="86"/>
        <v>-65497.950000000186</v>
      </c>
      <c r="W684" s="18">
        <f t="shared" si="87"/>
        <v>-5.2240299659737657E-2</v>
      </c>
    </row>
    <row r="685" spans="1:23" x14ac:dyDescent="0.3">
      <c r="A685" t="s">
        <v>671</v>
      </c>
      <c r="B685" t="s">
        <v>3136</v>
      </c>
      <c r="C685" t="s">
        <v>12</v>
      </c>
      <c r="D685" t="s">
        <v>13</v>
      </c>
      <c r="E685">
        <v>1104</v>
      </c>
      <c r="F685">
        <v>92.81</v>
      </c>
      <c r="G685">
        <v>87.36</v>
      </c>
      <c r="H685">
        <v>92.81</v>
      </c>
      <c r="I685">
        <v>2846</v>
      </c>
      <c r="J685">
        <v>79</v>
      </c>
      <c r="K685" s="17">
        <f t="shared" si="81"/>
        <v>7494.4666666666662</v>
      </c>
      <c r="L685" t="str">
        <f t="shared" si="82"/>
        <v>High Risk</v>
      </c>
      <c r="P685" s="19">
        <f t="shared" si="83"/>
        <v>6391</v>
      </c>
      <c r="R685" s="19">
        <f t="shared" si="80"/>
        <v>593148.71</v>
      </c>
      <c r="T685" s="19">
        <f t="shared" si="84"/>
        <v>248626.56</v>
      </c>
      <c r="U685" s="19">
        <f t="shared" si="85"/>
        <v>264137.26</v>
      </c>
      <c r="V685" s="21">
        <f t="shared" si="86"/>
        <v>15510.700000000012</v>
      </c>
      <c r="W685" s="18">
        <f t="shared" si="87"/>
        <v>6.2385531135531185E-2</v>
      </c>
    </row>
    <row r="686" spans="1:23" x14ac:dyDescent="0.3">
      <c r="A686" t="s">
        <v>57</v>
      </c>
      <c r="B686" t="s">
        <v>2266</v>
      </c>
      <c r="C686" t="s">
        <v>23</v>
      </c>
      <c r="D686" t="s">
        <v>17</v>
      </c>
      <c r="E686">
        <v>1106</v>
      </c>
      <c r="F686">
        <v>89.81</v>
      </c>
      <c r="G686">
        <v>83.63</v>
      </c>
      <c r="H686">
        <v>89.81</v>
      </c>
      <c r="I686">
        <v>764</v>
      </c>
      <c r="J686">
        <v>23</v>
      </c>
      <c r="K686" s="17">
        <f t="shared" si="81"/>
        <v>585.73333333333335</v>
      </c>
      <c r="L686" t="str">
        <f t="shared" si="82"/>
        <v>Sufficuent Stock</v>
      </c>
      <c r="P686" s="19">
        <f t="shared" si="83"/>
        <v>0</v>
      </c>
      <c r="R686" s="19">
        <f t="shared" si="80"/>
        <v>0</v>
      </c>
      <c r="T686" s="19">
        <f t="shared" si="84"/>
        <v>63893.32</v>
      </c>
      <c r="U686" s="19">
        <f t="shared" si="85"/>
        <v>68614.84</v>
      </c>
      <c r="V686" s="21">
        <f t="shared" si="86"/>
        <v>4721.5199999999968</v>
      </c>
      <c r="W686" s="18">
        <f t="shared" si="87"/>
        <v>7.3896926940093213E-2</v>
      </c>
    </row>
    <row r="687" spans="1:23" x14ac:dyDescent="0.3">
      <c r="A687" t="s">
        <v>2201</v>
      </c>
      <c r="B687" t="s">
        <v>2202</v>
      </c>
      <c r="C687" t="s">
        <v>50</v>
      </c>
      <c r="D687" t="s">
        <v>20</v>
      </c>
      <c r="E687">
        <v>1107</v>
      </c>
      <c r="F687">
        <v>18.45</v>
      </c>
      <c r="G687">
        <v>18.87</v>
      </c>
      <c r="H687">
        <v>18.45</v>
      </c>
      <c r="I687">
        <v>1478</v>
      </c>
      <c r="J687">
        <v>10</v>
      </c>
      <c r="K687" s="17">
        <f t="shared" si="81"/>
        <v>492.66666666666663</v>
      </c>
      <c r="L687" t="str">
        <f t="shared" si="82"/>
        <v>Sufficuent Stock</v>
      </c>
      <c r="P687" s="19">
        <f t="shared" si="83"/>
        <v>0</v>
      </c>
      <c r="R687" s="19">
        <f t="shared" si="80"/>
        <v>0</v>
      </c>
      <c r="T687" s="19">
        <f t="shared" si="84"/>
        <v>27889.86</v>
      </c>
      <c r="U687" s="19">
        <f t="shared" si="85"/>
        <v>27269.1</v>
      </c>
      <c r="V687" s="21">
        <f t="shared" si="86"/>
        <v>-620.76000000000204</v>
      </c>
      <c r="W687" s="18">
        <f t="shared" si="87"/>
        <v>-2.2257551669316446E-2</v>
      </c>
    </row>
    <row r="688" spans="1:23" x14ac:dyDescent="0.3">
      <c r="A688" t="s">
        <v>500</v>
      </c>
      <c r="B688" t="s">
        <v>2867</v>
      </c>
      <c r="C688" t="s">
        <v>37</v>
      </c>
      <c r="D688" t="s">
        <v>69</v>
      </c>
      <c r="E688">
        <v>1107</v>
      </c>
      <c r="F688">
        <v>519.9</v>
      </c>
      <c r="G688">
        <v>475.5</v>
      </c>
      <c r="H688">
        <v>519.9</v>
      </c>
      <c r="I688">
        <v>589</v>
      </c>
      <c r="J688">
        <v>46</v>
      </c>
      <c r="K688" s="17">
        <f t="shared" si="81"/>
        <v>903.13333333333333</v>
      </c>
      <c r="L688" t="str">
        <f t="shared" si="82"/>
        <v>Sufficuent Stock</v>
      </c>
      <c r="P688" s="19">
        <f t="shared" si="83"/>
        <v>0</v>
      </c>
      <c r="R688" s="19">
        <f t="shared" si="80"/>
        <v>0</v>
      </c>
      <c r="T688" s="19">
        <f t="shared" si="84"/>
        <v>280069.5</v>
      </c>
      <c r="U688" s="19">
        <f t="shared" si="85"/>
        <v>306221.09999999998</v>
      </c>
      <c r="V688" s="21">
        <f t="shared" si="86"/>
        <v>26151.599999999977</v>
      </c>
      <c r="W688" s="18">
        <f t="shared" si="87"/>
        <v>9.3375394321766475E-2</v>
      </c>
    </row>
    <row r="689" spans="1:23" x14ac:dyDescent="0.3">
      <c r="A689" t="s">
        <v>1076</v>
      </c>
      <c r="B689" t="s">
        <v>1316</v>
      </c>
      <c r="C689" t="s">
        <v>16</v>
      </c>
      <c r="D689" t="s">
        <v>13</v>
      </c>
      <c r="E689">
        <v>1110</v>
      </c>
      <c r="F689">
        <v>484.42</v>
      </c>
      <c r="G689">
        <v>442.5</v>
      </c>
      <c r="H689">
        <v>484.42</v>
      </c>
      <c r="I689">
        <v>974</v>
      </c>
      <c r="J689">
        <v>75</v>
      </c>
      <c r="K689" s="17">
        <f t="shared" si="81"/>
        <v>2435</v>
      </c>
      <c r="L689" t="str">
        <f t="shared" si="82"/>
        <v>High Risk</v>
      </c>
      <c r="P689" s="19">
        <f t="shared" si="83"/>
        <v>1325</v>
      </c>
      <c r="R689" s="19">
        <f t="shared" si="80"/>
        <v>641856.5</v>
      </c>
      <c r="T689" s="19">
        <f t="shared" si="84"/>
        <v>430995</v>
      </c>
      <c r="U689" s="19">
        <f t="shared" si="85"/>
        <v>471825.08</v>
      </c>
      <c r="V689" s="21">
        <f t="shared" si="86"/>
        <v>40830.080000000016</v>
      </c>
      <c r="W689" s="18">
        <f t="shared" si="87"/>
        <v>9.4734463276836198E-2</v>
      </c>
    </row>
    <row r="690" spans="1:23" x14ac:dyDescent="0.3">
      <c r="A690" t="s">
        <v>216</v>
      </c>
      <c r="B690" t="s">
        <v>1319</v>
      </c>
      <c r="C690" t="s">
        <v>37</v>
      </c>
      <c r="D690" t="s">
        <v>17</v>
      </c>
      <c r="E690">
        <v>1111</v>
      </c>
      <c r="F690">
        <v>260.35000000000002</v>
      </c>
      <c r="G690">
        <v>232.49</v>
      </c>
      <c r="H690">
        <v>260.35000000000002</v>
      </c>
      <c r="I690">
        <v>2285</v>
      </c>
      <c r="J690">
        <v>47</v>
      </c>
      <c r="K690" s="17">
        <f t="shared" si="81"/>
        <v>3579.8333333333335</v>
      </c>
      <c r="L690" t="str">
        <f t="shared" si="82"/>
        <v>High Risk</v>
      </c>
      <c r="P690" s="19">
        <f t="shared" si="83"/>
        <v>2469</v>
      </c>
      <c r="R690" s="19">
        <f t="shared" si="80"/>
        <v>642804.15</v>
      </c>
      <c r="T690" s="19">
        <f t="shared" si="84"/>
        <v>531239.65</v>
      </c>
      <c r="U690" s="19">
        <f t="shared" si="85"/>
        <v>594899.75</v>
      </c>
      <c r="V690" s="21">
        <f t="shared" si="86"/>
        <v>63660.099999999977</v>
      </c>
      <c r="W690" s="18">
        <f t="shared" si="87"/>
        <v>0.1198331111015527</v>
      </c>
    </row>
    <row r="691" spans="1:23" x14ac:dyDescent="0.3">
      <c r="A691" t="s">
        <v>657</v>
      </c>
      <c r="B691" t="s">
        <v>1308</v>
      </c>
      <c r="C691" t="s">
        <v>16</v>
      </c>
      <c r="D691" t="s">
        <v>13</v>
      </c>
      <c r="E691">
        <v>1114</v>
      </c>
      <c r="F691">
        <v>390.96</v>
      </c>
      <c r="G691">
        <v>390.24</v>
      </c>
      <c r="H691">
        <v>390.96</v>
      </c>
      <c r="I691">
        <v>3398</v>
      </c>
      <c r="J691">
        <v>64</v>
      </c>
      <c r="K691" s="17">
        <f t="shared" si="81"/>
        <v>7249.0666666666666</v>
      </c>
      <c r="L691" t="str">
        <f t="shared" si="82"/>
        <v>High Risk</v>
      </c>
      <c r="P691" s="19">
        <f t="shared" si="83"/>
        <v>6136</v>
      </c>
      <c r="R691" s="19">
        <f t="shared" si="80"/>
        <v>2398930.56</v>
      </c>
      <c r="T691" s="19">
        <f t="shared" si="84"/>
        <v>1326035.52</v>
      </c>
      <c r="U691" s="19">
        <f t="shared" si="85"/>
        <v>1328482.0799999998</v>
      </c>
      <c r="V691" s="21">
        <f t="shared" si="86"/>
        <v>2446.559999999823</v>
      </c>
      <c r="W691" s="18">
        <f t="shared" si="87"/>
        <v>1.8450184501843684E-3</v>
      </c>
    </row>
    <row r="692" spans="1:23" x14ac:dyDescent="0.3">
      <c r="A692" t="s">
        <v>320</v>
      </c>
      <c r="B692" t="s">
        <v>2683</v>
      </c>
      <c r="C692" t="s">
        <v>50</v>
      </c>
      <c r="D692" t="s">
        <v>26</v>
      </c>
      <c r="E692">
        <v>1115</v>
      </c>
      <c r="F692">
        <v>455.35</v>
      </c>
      <c r="G692">
        <v>447.46</v>
      </c>
      <c r="H692">
        <v>455.35</v>
      </c>
      <c r="I692">
        <v>2667</v>
      </c>
      <c r="J692">
        <v>32</v>
      </c>
      <c r="K692" s="17">
        <f t="shared" si="81"/>
        <v>2844.8</v>
      </c>
      <c r="L692" t="str">
        <f t="shared" si="82"/>
        <v>High Risk</v>
      </c>
      <c r="P692" s="19">
        <f t="shared" si="83"/>
        <v>1730</v>
      </c>
      <c r="R692" s="19">
        <f t="shared" si="80"/>
        <v>787755.5</v>
      </c>
      <c r="T692" s="19">
        <f t="shared" si="84"/>
        <v>1193375.8199999998</v>
      </c>
      <c r="U692" s="19">
        <f t="shared" si="85"/>
        <v>1214418.45</v>
      </c>
      <c r="V692" s="21">
        <f t="shared" si="86"/>
        <v>21042.630000000121</v>
      </c>
      <c r="W692" s="18">
        <f t="shared" si="87"/>
        <v>1.7632861037858237E-2</v>
      </c>
    </row>
    <row r="693" spans="1:23" x14ac:dyDescent="0.3">
      <c r="A693" t="s">
        <v>732</v>
      </c>
      <c r="B693" t="s">
        <v>2422</v>
      </c>
      <c r="C693" t="s">
        <v>16</v>
      </c>
      <c r="D693" t="s">
        <v>17</v>
      </c>
      <c r="E693">
        <v>1116</v>
      </c>
      <c r="F693">
        <v>190.11</v>
      </c>
      <c r="G693">
        <v>169.47</v>
      </c>
      <c r="H693">
        <v>190.11</v>
      </c>
      <c r="I693">
        <v>3764</v>
      </c>
      <c r="J693">
        <v>74</v>
      </c>
      <c r="K693" s="17">
        <f t="shared" si="81"/>
        <v>9284.5333333333328</v>
      </c>
      <c r="L693" t="str">
        <f t="shared" si="82"/>
        <v>High Risk</v>
      </c>
      <c r="P693" s="19">
        <f t="shared" si="83"/>
        <v>8169</v>
      </c>
      <c r="R693" s="19">
        <f t="shared" si="80"/>
        <v>1553008.59</v>
      </c>
      <c r="T693" s="19">
        <f t="shared" si="84"/>
        <v>637885.07999999996</v>
      </c>
      <c r="U693" s="19">
        <f t="shared" si="85"/>
        <v>715574.04</v>
      </c>
      <c r="V693" s="21">
        <f t="shared" si="86"/>
        <v>77688.960000000079</v>
      </c>
      <c r="W693" s="18">
        <f t="shared" si="87"/>
        <v>0.12179146751637471</v>
      </c>
    </row>
    <row r="694" spans="1:23" x14ac:dyDescent="0.3">
      <c r="A694" t="s">
        <v>76</v>
      </c>
      <c r="B694" t="s">
        <v>2622</v>
      </c>
      <c r="C694" t="s">
        <v>16</v>
      </c>
      <c r="D694" t="s">
        <v>17</v>
      </c>
      <c r="E694">
        <v>1118</v>
      </c>
      <c r="F694">
        <v>61.49</v>
      </c>
      <c r="G694">
        <v>51.63</v>
      </c>
      <c r="H694">
        <v>61.49</v>
      </c>
      <c r="I694">
        <v>2421</v>
      </c>
      <c r="J694">
        <v>47</v>
      </c>
      <c r="K694" s="17">
        <f t="shared" si="81"/>
        <v>3792.9</v>
      </c>
      <c r="L694" t="str">
        <f t="shared" si="82"/>
        <v>High Risk</v>
      </c>
      <c r="P694" s="19">
        <f t="shared" si="83"/>
        <v>2675</v>
      </c>
      <c r="R694" s="19">
        <f t="shared" si="80"/>
        <v>164485.75</v>
      </c>
      <c r="T694" s="19">
        <f t="shared" si="84"/>
        <v>124996.23000000001</v>
      </c>
      <c r="U694" s="19">
        <f t="shared" si="85"/>
        <v>148867.29</v>
      </c>
      <c r="V694" s="21">
        <f t="shared" si="86"/>
        <v>23871.059999999998</v>
      </c>
      <c r="W694" s="18">
        <f t="shared" si="87"/>
        <v>0.19097423978307182</v>
      </c>
    </row>
    <row r="695" spans="1:23" x14ac:dyDescent="0.3">
      <c r="A695" t="s">
        <v>67</v>
      </c>
      <c r="B695" t="s">
        <v>1128</v>
      </c>
      <c r="C695" t="s">
        <v>12</v>
      </c>
      <c r="D695" t="s">
        <v>13</v>
      </c>
      <c r="E695">
        <v>1118</v>
      </c>
      <c r="F695">
        <v>68.36</v>
      </c>
      <c r="G695">
        <v>60.71</v>
      </c>
      <c r="H695">
        <v>68.36</v>
      </c>
      <c r="I695">
        <v>495</v>
      </c>
      <c r="J695">
        <v>73</v>
      </c>
      <c r="K695" s="17">
        <f t="shared" si="81"/>
        <v>1204.5</v>
      </c>
      <c r="L695" t="str">
        <f t="shared" si="82"/>
        <v>High Risk</v>
      </c>
      <c r="P695" s="19">
        <f t="shared" si="83"/>
        <v>87</v>
      </c>
      <c r="R695" s="19">
        <f t="shared" si="80"/>
        <v>5947.32</v>
      </c>
      <c r="T695" s="19">
        <f t="shared" si="84"/>
        <v>30051.45</v>
      </c>
      <c r="U695" s="19">
        <f t="shared" si="85"/>
        <v>33838.199999999997</v>
      </c>
      <c r="V695" s="21">
        <f t="shared" si="86"/>
        <v>3786.7499999999964</v>
      </c>
      <c r="W695" s="18">
        <f t="shared" si="87"/>
        <v>0.12600889474551133</v>
      </c>
    </row>
    <row r="696" spans="1:23" x14ac:dyDescent="0.3">
      <c r="A696" t="s">
        <v>136</v>
      </c>
      <c r="B696" t="s">
        <v>663</v>
      </c>
      <c r="C696" t="s">
        <v>50</v>
      </c>
      <c r="D696" t="s">
        <v>26</v>
      </c>
      <c r="E696">
        <v>1119</v>
      </c>
      <c r="F696">
        <v>85.22</v>
      </c>
      <c r="G696">
        <v>86.75</v>
      </c>
      <c r="H696">
        <v>85.22</v>
      </c>
      <c r="I696">
        <v>894</v>
      </c>
      <c r="J696">
        <v>90</v>
      </c>
      <c r="K696" s="17">
        <f t="shared" si="81"/>
        <v>2682</v>
      </c>
      <c r="L696" t="str">
        <f t="shared" si="82"/>
        <v>High Risk</v>
      </c>
      <c r="P696" s="19">
        <f t="shared" si="83"/>
        <v>1563</v>
      </c>
      <c r="R696" s="19">
        <f t="shared" si="80"/>
        <v>133198.85999999999</v>
      </c>
      <c r="T696" s="19">
        <f t="shared" si="84"/>
        <v>77554.5</v>
      </c>
      <c r="U696" s="19">
        <f t="shared" si="85"/>
        <v>76186.679999999993</v>
      </c>
      <c r="V696" s="21">
        <f t="shared" si="86"/>
        <v>-1367.820000000007</v>
      </c>
      <c r="W696" s="18">
        <f t="shared" si="87"/>
        <v>-1.7636887608069255E-2</v>
      </c>
    </row>
    <row r="697" spans="1:23" x14ac:dyDescent="0.3">
      <c r="A697" t="s">
        <v>283</v>
      </c>
      <c r="B697" t="s">
        <v>2823</v>
      </c>
      <c r="C697" t="s">
        <v>16</v>
      </c>
      <c r="D697" t="s">
        <v>13</v>
      </c>
      <c r="E697">
        <v>1121</v>
      </c>
      <c r="F697">
        <v>64.73</v>
      </c>
      <c r="G697">
        <v>63.23</v>
      </c>
      <c r="H697">
        <v>64.73</v>
      </c>
      <c r="I697">
        <v>2333</v>
      </c>
      <c r="J697">
        <v>46</v>
      </c>
      <c r="K697" s="17">
        <f t="shared" si="81"/>
        <v>3577.2666666666664</v>
      </c>
      <c r="L697" t="str">
        <f t="shared" si="82"/>
        <v>High Risk</v>
      </c>
      <c r="P697" s="19">
        <f t="shared" si="83"/>
        <v>2457</v>
      </c>
      <c r="R697" s="19">
        <f t="shared" si="80"/>
        <v>159041.61000000002</v>
      </c>
      <c r="T697" s="19">
        <f t="shared" si="84"/>
        <v>147515.59</v>
      </c>
      <c r="U697" s="19">
        <f t="shared" si="85"/>
        <v>151015.09</v>
      </c>
      <c r="V697" s="21">
        <f t="shared" si="86"/>
        <v>3499.5</v>
      </c>
      <c r="W697" s="18">
        <f t="shared" si="87"/>
        <v>2.3722916337181717E-2</v>
      </c>
    </row>
    <row r="698" spans="1:23" x14ac:dyDescent="0.3">
      <c r="A698" t="s">
        <v>84</v>
      </c>
      <c r="B698" t="s">
        <v>1409</v>
      </c>
      <c r="C698" t="s">
        <v>16</v>
      </c>
      <c r="D698" t="s">
        <v>69</v>
      </c>
      <c r="E698">
        <v>1121</v>
      </c>
      <c r="F698">
        <v>501.44</v>
      </c>
      <c r="G698">
        <v>478.05</v>
      </c>
      <c r="H698">
        <v>501.44</v>
      </c>
      <c r="I698">
        <v>3742</v>
      </c>
      <c r="J698">
        <v>30</v>
      </c>
      <c r="K698" s="17">
        <f t="shared" si="81"/>
        <v>3742</v>
      </c>
      <c r="L698" t="str">
        <f t="shared" si="82"/>
        <v>High Risk</v>
      </c>
      <c r="P698" s="19">
        <f t="shared" si="83"/>
        <v>2621</v>
      </c>
      <c r="R698" s="19">
        <f t="shared" si="80"/>
        <v>1314274.24</v>
      </c>
      <c r="T698" s="19">
        <f t="shared" si="84"/>
        <v>1788863.1</v>
      </c>
      <c r="U698" s="19">
        <f t="shared" si="85"/>
        <v>1876388.48</v>
      </c>
      <c r="V698" s="21">
        <f t="shared" si="86"/>
        <v>87525.379999999888</v>
      </c>
      <c r="W698" s="18">
        <f t="shared" si="87"/>
        <v>4.8927936408325427E-2</v>
      </c>
    </row>
    <row r="699" spans="1:23" x14ac:dyDescent="0.3">
      <c r="A699" t="s">
        <v>260</v>
      </c>
      <c r="B699" t="s">
        <v>261</v>
      </c>
      <c r="C699" t="s">
        <v>12</v>
      </c>
      <c r="D699" t="s">
        <v>13</v>
      </c>
      <c r="E699">
        <v>1122</v>
      </c>
      <c r="F699">
        <v>455.01</v>
      </c>
      <c r="G699">
        <v>430.3</v>
      </c>
      <c r="H699">
        <v>455.01</v>
      </c>
      <c r="I699">
        <v>3989</v>
      </c>
      <c r="J699">
        <v>15</v>
      </c>
      <c r="K699" s="17">
        <f t="shared" si="81"/>
        <v>1994.5</v>
      </c>
      <c r="L699" t="str">
        <f t="shared" si="82"/>
        <v>High Risk</v>
      </c>
      <c r="P699" s="19">
        <f t="shared" si="83"/>
        <v>873</v>
      </c>
      <c r="R699" s="19">
        <f t="shared" si="80"/>
        <v>397223.73</v>
      </c>
      <c r="T699" s="19">
        <f t="shared" si="84"/>
        <v>1716466.7</v>
      </c>
      <c r="U699" s="19">
        <f t="shared" si="85"/>
        <v>1815034.89</v>
      </c>
      <c r="V699" s="21">
        <f t="shared" si="86"/>
        <v>98568.189999999944</v>
      </c>
      <c r="W699" s="18">
        <f t="shared" si="87"/>
        <v>5.7425052289100595E-2</v>
      </c>
    </row>
    <row r="700" spans="1:23" x14ac:dyDescent="0.3">
      <c r="A700" t="s">
        <v>111</v>
      </c>
      <c r="B700" t="s">
        <v>2537</v>
      </c>
      <c r="C700" t="s">
        <v>50</v>
      </c>
      <c r="D700" t="s">
        <v>13</v>
      </c>
      <c r="E700">
        <v>1124</v>
      </c>
      <c r="F700">
        <v>135.68</v>
      </c>
      <c r="G700">
        <v>141.6</v>
      </c>
      <c r="H700">
        <v>135.68</v>
      </c>
      <c r="I700">
        <v>199</v>
      </c>
      <c r="J700">
        <v>71</v>
      </c>
      <c r="K700" s="17">
        <f t="shared" si="81"/>
        <v>470.9666666666667</v>
      </c>
      <c r="L700" t="str">
        <f t="shared" si="82"/>
        <v>Sufficuent Stock</v>
      </c>
      <c r="P700" s="19">
        <f t="shared" si="83"/>
        <v>0</v>
      </c>
      <c r="R700" s="19">
        <f t="shared" si="80"/>
        <v>0</v>
      </c>
      <c r="T700" s="19">
        <f t="shared" si="84"/>
        <v>28178.399999999998</v>
      </c>
      <c r="U700" s="19">
        <f t="shared" si="85"/>
        <v>27000.32</v>
      </c>
      <c r="V700" s="21">
        <f t="shared" si="86"/>
        <v>-1178.0799999999981</v>
      </c>
      <c r="W700" s="18">
        <f t="shared" si="87"/>
        <v>-4.1807909604519709E-2</v>
      </c>
    </row>
    <row r="701" spans="1:23" x14ac:dyDescent="0.3">
      <c r="A701" t="s">
        <v>549</v>
      </c>
      <c r="B701" t="s">
        <v>550</v>
      </c>
      <c r="C701" t="s">
        <v>12</v>
      </c>
      <c r="D701" t="s">
        <v>13</v>
      </c>
      <c r="E701">
        <v>1125</v>
      </c>
      <c r="F701">
        <v>157.88999999999999</v>
      </c>
      <c r="G701">
        <v>149.57</v>
      </c>
      <c r="H701">
        <v>157.88999999999999</v>
      </c>
      <c r="I701">
        <v>99</v>
      </c>
      <c r="J701">
        <v>78</v>
      </c>
      <c r="K701" s="17">
        <f t="shared" si="81"/>
        <v>257.39999999999998</v>
      </c>
      <c r="L701" t="str">
        <f t="shared" si="82"/>
        <v>Sufficuent Stock</v>
      </c>
      <c r="P701" s="19">
        <f t="shared" si="83"/>
        <v>0</v>
      </c>
      <c r="R701" s="19">
        <f t="shared" si="80"/>
        <v>0</v>
      </c>
      <c r="T701" s="19">
        <f t="shared" si="84"/>
        <v>14807.429999999998</v>
      </c>
      <c r="U701" s="19">
        <f t="shared" si="85"/>
        <v>15631.109999999999</v>
      </c>
      <c r="V701" s="21">
        <f t="shared" si="86"/>
        <v>823.68000000000029</v>
      </c>
      <c r="W701" s="18">
        <f t="shared" si="87"/>
        <v>5.5626128234271606E-2</v>
      </c>
    </row>
    <row r="702" spans="1:23" x14ac:dyDescent="0.3">
      <c r="A702" t="s">
        <v>18</v>
      </c>
      <c r="B702" t="s">
        <v>3380</v>
      </c>
      <c r="C702" t="s">
        <v>12</v>
      </c>
      <c r="D702" t="s">
        <v>69</v>
      </c>
      <c r="E702">
        <v>1125</v>
      </c>
      <c r="F702">
        <v>185.81</v>
      </c>
      <c r="G702">
        <v>169.44</v>
      </c>
      <c r="H702">
        <v>185.81</v>
      </c>
      <c r="I702">
        <v>3501</v>
      </c>
      <c r="J702">
        <v>64</v>
      </c>
      <c r="K702" s="17">
        <f t="shared" si="81"/>
        <v>7468.8</v>
      </c>
      <c r="L702" t="str">
        <f t="shared" si="82"/>
        <v>High Risk</v>
      </c>
      <c r="P702" s="19">
        <f t="shared" si="83"/>
        <v>6344</v>
      </c>
      <c r="R702" s="19">
        <f t="shared" si="80"/>
        <v>1178778.6400000001</v>
      </c>
      <c r="T702" s="19">
        <f t="shared" si="84"/>
        <v>593209.43999999994</v>
      </c>
      <c r="U702" s="19">
        <f t="shared" si="85"/>
        <v>650520.81000000006</v>
      </c>
      <c r="V702" s="21">
        <f t="shared" si="86"/>
        <v>57311.370000000112</v>
      </c>
      <c r="W702" s="18">
        <f t="shared" si="87"/>
        <v>9.6612370160528996E-2</v>
      </c>
    </row>
    <row r="703" spans="1:23" x14ac:dyDescent="0.3">
      <c r="A703" t="s">
        <v>3203</v>
      </c>
      <c r="B703" t="s">
        <v>3204</v>
      </c>
      <c r="C703" t="s">
        <v>23</v>
      </c>
      <c r="D703" t="s">
        <v>17</v>
      </c>
      <c r="E703">
        <v>1126</v>
      </c>
      <c r="F703">
        <v>524.75</v>
      </c>
      <c r="G703">
        <v>455.79</v>
      </c>
      <c r="H703">
        <v>524.75</v>
      </c>
      <c r="I703">
        <v>3460</v>
      </c>
      <c r="J703">
        <v>68</v>
      </c>
      <c r="K703" s="17">
        <f t="shared" si="81"/>
        <v>7842.6666666666661</v>
      </c>
      <c r="L703" t="str">
        <f t="shared" si="82"/>
        <v>High Risk</v>
      </c>
      <c r="P703" s="19">
        <f t="shared" si="83"/>
        <v>6717</v>
      </c>
      <c r="R703" s="19">
        <f t="shared" si="80"/>
        <v>3524745.75</v>
      </c>
      <c r="T703" s="19">
        <f t="shared" si="84"/>
        <v>1577033.4000000001</v>
      </c>
      <c r="U703" s="19">
        <f t="shared" si="85"/>
        <v>1815635</v>
      </c>
      <c r="V703" s="21">
        <f t="shared" si="86"/>
        <v>238601.59999999986</v>
      </c>
      <c r="W703" s="18">
        <f t="shared" si="87"/>
        <v>0.15129774676934543</v>
      </c>
    </row>
    <row r="704" spans="1:23" x14ac:dyDescent="0.3">
      <c r="A704" t="s">
        <v>721</v>
      </c>
      <c r="B704" t="s">
        <v>2878</v>
      </c>
      <c r="C704" t="s">
        <v>37</v>
      </c>
      <c r="D704" t="s">
        <v>26</v>
      </c>
      <c r="E704">
        <v>1129</v>
      </c>
      <c r="F704">
        <v>19.7</v>
      </c>
      <c r="G704">
        <v>19.149999999999999</v>
      </c>
      <c r="H704">
        <v>19.7</v>
      </c>
      <c r="I704">
        <v>3138</v>
      </c>
      <c r="J704">
        <v>59</v>
      </c>
      <c r="K704" s="17">
        <f t="shared" si="81"/>
        <v>6171.4</v>
      </c>
      <c r="L704" t="str">
        <f t="shared" si="82"/>
        <v>High Risk</v>
      </c>
      <c r="P704" s="19">
        <f t="shared" si="83"/>
        <v>5043</v>
      </c>
      <c r="R704" s="19">
        <f t="shared" si="80"/>
        <v>99347.099999999991</v>
      </c>
      <c r="T704" s="19">
        <f t="shared" si="84"/>
        <v>60092.7</v>
      </c>
      <c r="U704" s="19">
        <f t="shared" si="85"/>
        <v>61818.6</v>
      </c>
      <c r="V704" s="21">
        <f t="shared" si="86"/>
        <v>1725.9000000000015</v>
      </c>
      <c r="W704" s="18">
        <f t="shared" si="87"/>
        <v>2.8720626631853811E-2</v>
      </c>
    </row>
    <row r="705" spans="1:23" x14ac:dyDescent="0.3">
      <c r="A705" t="s">
        <v>326</v>
      </c>
      <c r="B705" t="s">
        <v>3005</v>
      </c>
      <c r="C705" t="s">
        <v>23</v>
      </c>
      <c r="D705" t="s">
        <v>13</v>
      </c>
      <c r="E705">
        <v>1131</v>
      </c>
      <c r="F705">
        <v>109.49</v>
      </c>
      <c r="G705">
        <v>113.4</v>
      </c>
      <c r="H705">
        <v>109.49</v>
      </c>
      <c r="I705">
        <v>2718</v>
      </c>
      <c r="J705">
        <v>58</v>
      </c>
      <c r="K705" s="17">
        <f t="shared" si="81"/>
        <v>5254.7999999999993</v>
      </c>
      <c r="L705" t="str">
        <f t="shared" si="82"/>
        <v>High Risk</v>
      </c>
      <c r="P705" s="19">
        <f t="shared" si="83"/>
        <v>4124</v>
      </c>
      <c r="R705" s="19">
        <f t="shared" si="80"/>
        <v>451536.75999999995</v>
      </c>
      <c r="T705" s="19">
        <f t="shared" si="84"/>
        <v>308221.2</v>
      </c>
      <c r="U705" s="19">
        <f t="shared" si="85"/>
        <v>297593.82</v>
      </c>
      <c r="V705" s="21">
        <f t="shared" si="86"/>
        <v>-10627.380000000005</v>
      </c>
      <c r="W705" s="18">
        <f t="shared" si="87"/>
        <v>-3.4479717813051161E-2</v>
      </c>
    </row>
    <row r="706" spans="1:23" x14ac:dyDescent="0.3">
      <c r="A706" t="s">
        <v>63</v>
      </c>
      <c r="B706" t="s">
        <v>1036</v>
      </c>
      <c r="C706" t="s">
        <v>12</v>
      </c>
      <c r="D706" t="s">
        <v>20</v>
      </c>
      <c r="E706">
        <v>1134</v>
      </c>
      <c r="F706">
        <v>213.64</v>
      </c>
      <c r="G706">
        <v>181.18</v>
      </c>
      <c r="H706">
        <v>213.64</v>
      </c>
      <c r="I706">
        <v>2205</v>
      </c>
      <c r="J706">
        <v>61</v>
      </c>
      <c r="K706" s="17">
        <f t="shared" si="81"/>
        <v>4483.5</v>
      </c>
      <c r="L706" t="str">
        <f t="shared" si="82"/>
        <v>High Risk</v>
      </c>
      <c r="P706" s="19">
        <f t="shared" si="83"/>
        <v>3350</v>
      </c>
      <c r="R706" s="19">
        <f t="shared" ref="R706:R769" si="88">P706*H706</f>
        <v>715694</v>
      </c>
      <c r="T706" s="19">
        <f t="shared" si="84"/>
        <v>399501.9</v>
      </c>
      <c r="U706" s="19">
        <f t="shared" si="85"/>
        <v>471076.19999999995</v>
      </c>
      <c r="V706" s="21">
        <f t="shared" si="86"/>
        <v>71574.29999999993</v>
      </c>
      <c r="W706" s="18">
        <f t="shared" si="87"/>
        <v>0.17915884755491757</v>
      </c>
    </row>
    <row r="707" spans="1:23" x14ac:dyDescent="0.3">
      <c r="A707" t="s">
        <v>917</v>
      </c>
      <c r="B707" t="s">
        <v>2674</v>
      </c>
      <c r="C707" t="s">
        <v>37</v>
      </c>
      <c r="D707" t="s">
        <v>69</v>
      </c>
      <c r="E707">
        <v>1140</v>
      </c>
      <c r="F707">
        <v>469.3</v>
      </c>
      <c r="G707">
        <v>458.81</v>
      </c>
      <c r="H707">
        <v>469.3</v>
      </c>
      <c r="I707">
        <v>1436</v>
      </c>
      <c r="J707">
        <v>83</v>
      </c>
      <c r="K707" s="17">
        <f t="shared" ref="K707:K770" si="89">(I707/30)*J707</f>
        <v>3972.9333333333334</v>
      </c>
      <c r="L707" t="str">
        <f t="shared" ref="L707:L770" si="90">IF(E707&lt;K707,"High Risk","Sufficuent Stock")</f>
        <v>High Risk</v>
      </c>
      <c r="P707" s="19">
        <f t="shared" ref="P707:P770" si="91">ROUNDUP(MAX(0,K707-E707),0)</f>
        <v>2833</v>
      </c>
      <c r="R707" s="19">
        <f t="shared" si="88"/>
        <v>1329526.9000000001</v>
      </c>
      <c r="T707" s="19">
        <f t="shared" ref="T707:T770" si="92">I707*G707</f>
        <v>658851.16</v>
      </c>
      <c r="U707" s="19">
        <f t="shared" ref="U707:U770" si="93">I707*H707</f>
        <v>673914.8</v>
      </c>
      <c r="V707" s="21">
        <f t="shared" ref="V707:V770" si="94">U707-T707</f>
        <v>15063.640000000014</v>
      </c>
      <c r="W707" s="18">
        <f t="shared" ref="W707:W770" si="95">IFERROR(V707/T707,0)</f>
        <v>2.2863494692792242E-2</v>
      </c>
    </row>
    <row r="708" spans="1:23" x14ac:dyDescent="0.3">
      <c r="A708" t="s">
        <v>213</v>
      </c>
      <c r="B708" t="s">
        <v>886</v>
      </c>
      <c r="C708" t="s">
        <v>23</v>
      </c>
      <c r="D708" t="s">
        <v>17</v>
      </c>
      <c r="E708">
        <v>1141</v>
      </c>
      <c r="F708">
        <v>514.86</v>
      </c>
      <c r="G708">
        <v>469.51</v>
      </c>
      <c r="H708">
        <v>514.86</v>
      </c>
      <c r="I708">
        <v>2311</v>
      </c>
      <c r="J708">
        <v>87</v>
      </c>
      <c r="K708" s="17">
        <f t="shared" si="89"/>
        <v>6701.9</v>
      </c>
      <c r="L708" t="str">
        <f t="shared" si="90"/>
        <v>High Risk</v>
      </c>
      <c r="P708" s="19">
        <f t="shared" si="91"/>
        <v>5561</v>
      </c>
      <c r="R708" s="19">
        <f t="shared" si="88"/>
        <v>2863136.46</v>
      </c>
      <c r="T708" s="19">
        <f t="shared" si="92"/>
        <v>1085037.6099999999</v>
      </c>
      <c r="U708" s="19">
        <f t="shared" si="93"/>
        <v>1189841.46</v>
      </c>
      <c r="V708" s="21">
        <f t="shared" si="94"/>
        <v>104803.85000000009</v>
      </c>
      <c r="W708" s="18">
        <f t="shared" si="95"/>
        <v>9.6590061979510644E-2</v>
      </c>
    </row>
    <row r="709" spans="1:23" x14ac:dyDescent="0.3">
      <c r="A709" t="s">
        <v>651</v>
      </c>
      <c r="B709" t="s">
        <v>1973</v>
      </c>
      <c r="C709" t="s">
        <v>23</v>
      </c>
      <c r="D709" t="s">
        <v>13</v>
      </c>
      <c r="E709">
        <v>1141</v>
      </c>
      <c r="F709">
        <v>445.54</v>
      </c>
      <c r="G709">
        <v>438.62</v>
      </c>
      <c r="H709">
        <v>445.54</v>
      </c>
      <c r="I709">
        <v>3518</v>
      </c>
      <c r="J709">
        <v>9</v>
      </c>
      <c r="K709" s="17">
        <f t="shared" si="89"/>
        <v>1055.4000000000001</v>
      </c>
      <c r="L709" t="str">
        <f t="shared" si="90"/>
        <v>Sufficuent Stock</v>
      </c>
      <c r="P709" s="19">
        <f t="shared" si="91"/>
        <v>0</v>
      </c>
      <c r="R709" s="19">
        <f t="shared" si="88"/>
        <v>0</v>
      </c>
      <c r="T709" s="19">
        <f t="shared" si="92"/>
        <v>1543065.16</v>
      </c>
      <c r="U709" s="19">
        <f t="shared" si="93"/>
        <v>1567409.72</v>
      </c>
      <c r="V709" s="21">
        <f t="shared" si="94"/>
        <v>24344.560000000056</v>
      </c>
      <c r="W709" s="18">
        <f t="shared" si="95"/>
        <v>1.5776754365966022E-2</v>
      </c>
    </row>
    <row r="710" spans="1:23" x14ac:dyDescent="0.3">
      <c r="A710" t="s">
        <v>748</v>
      </c>
      <c r="B710" t="s">
        <v>2511</v>
      </c>
      <c r="C710" t="s">
        <v>37</v>
      </c>
      <c r="D710" t="s">
        <v>26</v>
      </c>
      <c r="E710">
        <v>1141</v>
      </c>
      <c r="F710">
        <v>138.47999999999999</v>
      </c>
      <c r="G710">
        <v>128.19</v>
      </c>
      <c r="H710">
        <v>138.47999999999999</v>
      </c>
      <c r="I710">
        <v>1464</v>
      </c>
      <c r="J710">
        <v>30</v>
      </c>
      <c r="K710" s="17">
        <f t="shared" si="89"/>
        <v>1464</v>
      </c>
      <c r="L710" t="str">
        <f t="shared" si="90"/>
        <v>High Risk</v>
      </c>
      <c r="P710" s="19">
        <f t="shared" si="91"/>
        <v>323</v>
      </c>
      <c r="R710" s="19">
        <f t="shared" si="88"/>
        <v>44729.039999999994</v>
      </c>
      <c r="T710" s="19">
        <f t="shared" si="92"/>
        <v>187670.16</v>
      </c>
      <c r="U710" s="19">
        <f t="shared" si="93"/>
        <v>202734.71999999997</v>
      </c>
      <c r="V710" s="21">
        <f t="shared" si="94"/>
        <v>15064.559999999969</v>
      </c>
      <c r="W710" s="18">
        <f t="shared" si="95"/>
        <v>8.0271472033699803E-2</v>
      </c>
    </row>
    <row r="711" spans="1:23" x14ac:dyDescent="0.3">
      <c r="A711" t="s">
        <v>654</v>
      </c>
      <c r="B711" t="s">
        <v>2831</v>
      </c>
      <c r="C711" t="s">
        <v>50</v>
      </c>
      <c r="D711" t="s">
        <v>13</v>
      </c>
      <c r="E711">
        <v>1144</v>
      </c>
      <c r="F711">
        <v>213.88</v>
      </c>
      <c r="G711">
        <v>207.04</v>
      </c>
      <c r="H711">
        <v>213.88</v>
      </c>
      <c r="I711">
        <v>1017</v>
      </c>
      <c r="J711">
        <v>39</v>
      </c>
      <c r="K711" s="17">
        <f t="shared" si="89"/>
        <v>1322.1</v>
      </c>
      <c r="L711" t="str">
        <f t="shared" si="90"/>
        <v>High Risk</v>
      </c>
      <c r="P711" s="19">
        <f t="shared" si="91"/>
        <v>179</v>
      </c>
      <c r="R711" s="19">
        <f t="shared" si="88"/>
        <v>38284.519999999997</v>
      </c>
      <c r="T711" s="19">
        <f t="shared" si="92"/>
        <v>210559.68</v>
      </c>
      <c r="U711" s="19">
        <f t="shared" si="93"/>
        <v>217515.96</v>
      </c>
      <c r="V711" s="21">
        <f t="shared" si="94"/>
        <v>6956.2799999999988</v>
      </c>
      <c r="W711" s="18">
        <f t="shared" si="95"/>
        <v>3.3037094281298293E-2</v>
      </c>
    </row>
    <row r="712" spans="1:23" x14ac:dyDescent="0.3">
      <c r="A712" t="s">
        <v>40</v>
      </c>
      <c r="B712" t="s">
        <v>1035</v>
      </c>
      <c r="C712" t="s">
        <v>50</v>
      </c>
      <c r="D712" t="s">
        <v>26</v>
      </c>
      <c r="E712">
        <v>1145</v>
      </c>
      <c r="F712">
        <v>74.06</v>
      </c>
      <c r="G712">
        <v>70.31</v>
      </c>
      <c r="H712">
        <v>74.06</v>
      </c>
      <c r="I712">
        <v>3244</v>
      </c>
      <c r="J712">
        <v>45</v>
      </c>
      <c r="K712" s="17">
        <f t="shared" si="89"/>
        <v>4866</v>
      </c>
      <c r="L712" t="str">
        <f t="shared" si="90"/>
        <v>High Risk</v>
      </c>
      <c r="P712" s="19">
        <f t="shared" si="91"/>
        <v>3721</v>
      </c>
      <c r="R712" s="19">
        <f t="shared" si="88"/>
        <v>275577.26</v>
      </c>
      <c r="T712" s="19">
        <f t="shared" si="92"/>
        <v>228085.64</v>
      </c>
      <c r="U712" s="19">
        <f t="shared" si="93"/>
        <v>240250.64</v>
      </c>
      <c r="V712" s="21">
        <f t="shared" si="94"/>
        <v>12165</v>
      </c>
      <c r="W712" s="18">
        <f t="shared" si="95"/>
        <v>5.333522969705589E-2</v>
      </c>
    </row>
    <row r="713" spans="1:23" x14ac:dyDescent="0.3">
      <c r="A713" t="s">
        <v>952</v>
      </c>
      <c r="B713" t="s">
        <v>3329</v>
      </c>
      <c r="C713" t="s">
        <v>37</v>
      </c>
      <c r="D713" t="s">
        <v>20</v>
      </c>
      <c r="E713">
        <v>1151</v>
      </c>
      <c r="F713">
        <v>342.07</v>
      </c>
      <c r="G713">
        <v>365.25</v>
      </c>
      <c r="H713">
        <v>342.07</v>
      </c>
      <c r="I713">
        <v>2326</v>
      </c>
      <c r="J713">
        <v>62</v>
      </c>
      <c r="K713" s="17">
        <f t="shared" si="89"/>
        <v>4807.0666666666666</v>
      </c>
      <c r="L713" t="str">
        <f t="shared" si="90"/>
        <v>High Risk</v>
      </c>
      <c r="P713" s="19">
        <f t="shared" si="91"/>
        <v>3657</v>
      </c>
      <c r="R713" s="19">
        <f t="shared" si="88"/>
        <v>1250949.99</v>
      </c>
      <c r="T713" s="19">
        <f t="shared" si="92"/>
        <v>849571.5</v>
      </c>
      <c r="U713" s="19">
        <f t="shared" si="93"/>
        <v>795654.82</v>
      </c>
      <c r="V713" s="21">
        <f t="shared" si="94"/>
        <v>-53916.680000000051</v>
      </c>
      <c r="W713" s="18">
        <f t="shared" si="95"/>
        <v>-6.3463381245722164E-2</v>
      </c>
    </row>
    <row r="714" spans="1:23" x14ac:dyDescent="0.3">
      <c r="A714" t="s">
        <v>500</v>
      </c>
      <c r="B714" t="s">
        <v>2895</v>
      </c>
      <c r="C714" t="s">
        <v>50</v>
      </c>
      <c r="D714" t="s">
        <v>69</v>
      </c>
      <c r="E714">
        <v>1152</v>
      </c>
      <c r="F714">
        <v>321.49</v>
      </c>
      <c r="G714">
        <v>271.92</v>
      </c>
      <c r="H714">
        <v>321.49</v>
      </c>
      <c r="I714">
        <v>3865</v>
      </c>
      <c r="J714">
        <v>47</v>
      </c>
      <c r="K714" s="17">
        <f t="shared" si="89"/>
        <v>6055.166666666667</v>
      </c>
      <c r="L714" t="str">
        <f t="shared" si="90"/>
        <v>High Risk</v>
      </c>
      <c r="P714" s="19">
        <f t="shared" si="91"/>
        <v>4904</v>
      </c>
      <c r="R714" s="19">
        <f t="shared" si="88"/>
        <v>1576586.96</v>
      </c>
      <c r="T714" s="19">
        <f t="shared" si="92"/>
        <v>1050970.8</v>
      </c>
      <c r="U714" s="19">
        <f t="shared" si="93"/>
        <v>1242558.8500000001</v>
      </c>
      <c r="V714" s="21">
        <f t="shared" si="94"/>
        <v>191588.05000000005</v>
      </c>
      <c r="W714" s="18">
        <f t="shared" si="95"/>
        <v>0.18229626360694326</v>
      </c>
    </row>
    <row r="715" spans="1:23" x14ac:dyDescent="0.3">
      <c r="A715" t="s">
        <v>820</v>
      </c>
      <c r="B715" t="s">
        <v>3086</v>
      </c>
      <c r="C715" t="s">
        <v>37</v>
      </c>
      <c r="D715" t="s">
        <v>17</v>
      </c>
      <c r="E715">
        <v>1158</v>
      </c>
      <c r="F715">
        <v>60.94</v>
      </c>
      <c r="G715">
        <v>54.45</v>
      </c>
      <c r="H715">
        <v>60.94</v>
      </c>
      <c r="I715">
        <v>2979</v>
      </c>
      <c r="J715">
        <v>83</v>
      </c>
      <c r="K715" s="17">
        <f t="shared" si="89"/>
        <v>8241.9</v>
      </c>
      <c r="L715" t="str">
        <f t="shared" si="90"/>
        <v>High Risk</v>
      </c>
      <c r="P715" s="19">
        <f t="shared" si="91"/>
        <v>7084</v>
      </c>
      <c r="R715" s="19">
        <f t="shared" si="88"/>
        <v>431698.95999999996</v>
      </c>
      <c r="T715" s="19">
        <f t="shared" si="92"/>
        <v>162206.55000000002</v>
      </c>
      <c r="U715" s="19">
        <f t="shared" si="93"/>
        <v>181540.25999999998</v>
      </c>
      <c r="V715" s="21">
        <f t="shared" si="94"/>
        <v>19333.709999999963</v>
      </c>
      <c r="W715" s="18">
        <f t="shared" si="95"/>
        <v>0.11919191919191895</v>
      </c>
    </row>
    <row r="716" spans="1:23" x14ac:dyDescent="0.3">
      <c r="A716" t="s">
        <v>581</v>
      </c>
      <c r="B716" t="s">
        <v>2967</v>
      </c>
      <c r="C716" t="s">
        <v>16</v>
      </c>
      <c r="D716" t="s">
        <v>13</v>
      </c>
      <c r="E716">
        <v>1159</v>
      </c>
      <c r="F716">
        <v>285.89</v>
      </c>
      <c r="G716">
        <v>281.87</v>
      </c>
      <c r="H716">
        <v>285.89</v>
      </c>
      <c r="I716">
        <v>260</v>
      </c>
      <c r="J716">
        <v>46</v>
      </c>
      <c r="K716" s="17">
        <f t="shared" si="89"/>
        <v>398.66666666666663</v>
      </c>
      <c r="L716" t="str">
        <f t="shared" si="90"/>
        <v>Sufficuent Stock</v>
      </c>
      <c r="P716" s="19">
        <f t="shared" si="91"/>
        <v>0</v>
      </c>
      <c r="R716" s="19">
        <f t="shared" si="88"/>
        <v>0</v>
      </c>
      <c r="T716" s="19">
        <f t="shared" si="92"/>
        <v>73286.2</v>
      </c>
      <c r="U716" s="19">
        <f t="shared" si="93"/>
        <v>74331.399999999994</v>
      </c>
      <c r="V716" s="21">
        <f t="shared" si="94"/>
        <v>1045.1999999999971</v>
      </c>
      <c r="W716" s="18">
        <f t="shared" si="95"/>
        <v>1.4261893780820907E-2</v>
      </c>
    </row>
    <row r="717" spans="1:23" x14ac:dyDescent="0.3">
      <c r="A717" t="s">
        <v>470</v>
      </c>
      <c r="B717" t="s">
        <v>471</v>
      </c>
      <c r="C717" t="s">
        <v>37</v>
      </c>
      <c r="D717" t="s">
        <v>20</v>
      </c>
      <c r="E717">
        <v>1160</v>
      </c>
      <c r="F717">
        <v>416.43</v>
      </c>
      <c r="G717">
        <v>410.8</v>
      </c>
      <c r="H717">
        <v>416.43</v>
      </c>
      <c r="I717">
        <v>1606</v>
      </c>
      <c r="J717">
        <v>9</v>
      </c>
      <c r="K717" s="17">
        <f t="shared" si="89"/>
        <v>481.79999999999995</v>
      </c>
      <c r="L717" t="str">
        <f t="shared" si="90"/>
        <v>Sufficuent Stock</v>
      </c>
      <c r="P717" s="19">
        <f t="shared" si="91"/>
        <v>0</v>
      </c>
      <c r="R717" s="19">
        <f t="shared" si="88"/>
        <v>0</v>
      </c>
      <c r="T717" s="19">
        <f t="shared" si="92"/>
        <v>659744.80000000005</v>
      </c>
      <c r="U717" s="19">
        <f t="shared" si="93"/>
        <v>668786.57999999996</v>
      </c>
      <c r="V717" s="21">
        <f t="shared" si="94"/>
        <v>9041.7799999999115</v>
      </c>
      <c r="W717" s="18">
        <f t="shared" si="95"/>
        <v>1.3704965920155658E-2</v>
      </c>
    </row>
    <row r="718" spans="1:23" x14ac:dyDescent="0.3">
      <c r="A718" t="s">
        <v>451</v>
      </c>
      <c r="B718" t="s">
        <v>1762</v>
      </c>
      <c r="C718" t="s">
        <v>16</v>
      </c>
      <c r="D718" t="s">
        <v>26</v>
      </c>
      <c r="E718">
        <v>1162</v>
      </c>
      <c r="F718">
        <v>322.18</v>
      </c>
      <c r="G718">
        <v>333.68</v>
      </c>
      <c r="H718">
        <v>322.18</v>
      </c>
      <c r="I718">
        <v>2338</v>
      </c>
      <c r="J718">
        <v>23</v>
      </c>
      <c r="K718" s="17">
        <f t="shared" si="89"/>
        <v>1792.4666666666667</v>
      </c>
      <c r="L718" t="str">
        <f t="shared" si="90"/>
        <v>High Risk</v>
      </c>
      <c r="P718" s="19">
        <f t="shared" si="91"/>
        <v>631</v>
      </c>
      <c r="R718" s="19">
        <f t="shared" si="88"/>
        <v>203295.58000000002</v>
      </c>
      <c r="T718" s="19">
        <f t="shared" si="92"/>
        <v>780143.84</v>
      </c>
      <c r="U718" s="19">
        <f t="shared" si="93"/>
        <v>753256.84</v>
      </c>
      <c r="V718" s="21">
        <f t="shared" si="94"/>
        <v>-26887</v>
      </c>
      <c r="W718" s="18">
        <f t="shared" si="95"/>
        <v>-3.4464157276432511E-2</v>
      </c>
    </row>
    <row r="719" spans="1:23" x14ac:dyDescent="0.3">
      <c r="A719" t="s">
        <v>310</v>
      </c>
      <c r="B719" t="s">
        <v>1359</v>
      </c>
      <c r="C719" t="s">
        <v>12</v>
      </c>
      <c r="D719" t="s">
        <v>17</v>
      </c>
      <c r="E719">
        <v>1163</v>
      </c>
      <c r="F719">
        <v>433.63</v>
      </c>
      <c r="G719">
        <v>368</v>
      </c>
      <c r="H719">
        <v>433.63</v>
      </c>
      <c r="I719">
        <v>2747</v>
      </c>
      <c r="J719">
        <v>72</v>
      </c>
      <c r="K719" s="17">
        <f t="shared" si="89"/>
        <v>6592.7999999999993</v>
      </c>
      <c r="L719" t="str">
        <f t="shared" si="90"/>
        <v>High Risk</v>
      </c>
      <c r="P719" s="19">
        <f t="shared" si="91"/>
        <v>5430</v>
      </c>
      <c r="R719" s="19">
        <f t="shared" si="88"/>
        <v>2354610.9</v>
      </c>
      <c r="T719" s="19">
        <f t="shared" si="92"/>
        <v>1010896</v>
      </c>
      <c r="U719" s="19">
        <f t="shared" si="93"/>
        <v>1191181.6100000001</v>
      </c>
      <c r="V719" s="21">
        <f t="shared" si="94"/>
        <v>180285.6100000001</v>
      </c>
      <c r="W719" s="18">
        <f t="shared" si="95"/>
        <v>0.17834239130434792</v>
      </c>
    </row>
    <row r="720" spans="1:23" x14ac:dyDescent="0.3">
      <c r="A720" t="s">
        <v>96</v>
      </c>
      <c r="B720" t="s">
        <v>97</v>
      </c>
      <c r="C720" t="s">
        <v>37</v>
      </c>
      <c r="D720" t="s">
        <v>69</v>
      </c>
      <c r="E720">
        <v>1165</v>
      </c>
      <c r="F720">
        <v>288.42</v>
      </c>
      <c r="G720">
        <v>312.76</v>
      </c>
      <c r="H720">
        <v>288.42</v>
      </c>
      <c r="I720">
        <v>3117</v>
      </c>
      <c r="J720">
        <v>20</v>
      </c>
      <c r="K720" s="17">
        <f t="shared" si="89"/>
        <v>2078</v>
      </c>
      <c r="L720" t="str">
        <f t="shared" si="90"/>
        <v>High Risk</v>
      </c>
      <c r="P720" s="19">
        <f t="shared" si="91"/>
        <v>913</v>
      </c>
      <c r="R720" s="19">
        <f t="shared" si="88"/>
        <v>263327.46000000002</v>
      </c>
      <c r="T720" s="19">
        <f t="shared" si="92"/>
        <v>974872.91999999993</v>
      </c>
      <c r="U720" s="19">
        <f t="shared" si="93"/>
        <v>899005.14</v>
      </c>
      <c r="V720" s="21">
        <f t="shared" si="94"/>
        <v>-75867.779999999912</v>
      </c>
      <c r="W720" s="18">
        <f t="shared" si="95"/>
        <v>-7.7823251055122056E-2</v>
      </c>
    </row>
    <row r="721" spans="1:23" x14ac:dyDescent="0.3">
      <c r="A721" t="s">
        <v>1071</v>
      </c>
      <c r="B721" t="s">
        <v>1700</v>
      </c>
      <c r="C721" t="s">
        <v>37</v>
      </c>
      <c r="D721" t="s">
        <v>69</v>
      </c>
      <c r="E721">
        <v>1167</v>
      </c>
      <c r="F721">
        <v>27.9</v>
      </c>
      <c r="G721">
        <v>30.87</v>
      </c>
      <c r="H721">
        <v>27.9</v>
      </c>
      <c r="I721">
        <v>2504</v>
      </c>
      <c r="J721">
        <v>10</v>
      </c>
      <c r="K721" s="17">
        <f t="shared" si="89"/>
        <v>834.66666666666674</v>
      </c>
      <c r="L721" t="str">
        <f t="shared" si="90"/>
        <v>Sufficuent Stock</v>
      </c>
      <c r="P721" s="19">
        <f t="shared" si="91"/>
        <v>0</v>
      </c>
      <c r="R721" s="19">
        <f t="shared" si="88"/>
        <v>0</v>
      </c>
      <c r="T721" s="19">
        <f t="shared" si="92"/>
        <v>77298.48</v>
      </c>
      <c r="U721" s="19">
        <f t="shared" si="93"/>
        <v>69861.599999999991</v>
      </c>
      <c r="V721" s="21">
        <f t="shared" si="94"/>
        <v>-7436.8800000000047</v>
      </c>
      <c r="W721" s="18">
        <f t="shared" si="95"/>
        <v>-9.6209912536443218E-2</v>
      </c>
    </row>
    <row r="722" spans="1:23" x14ac:dyDescent="0.3">
      <c r="A722" t="s">
        <v>535</v>
      </c>
      <c r="B722" t="s">
        <v>661</v>
      </c>
      <c r="C722" t="s">
        <v>50</v>
      </c>
      <c r="D722" t="s">
        <v>69</v>
      </c>
      <c r="E722">
        <v>1167</v>
      </c>
      <c r="F722">
        <v>264.55</v>
      </c>
      <c r="G722">
        <v>273</v>
      </c>
      <c r="H722">
        <v>264.55</v>
      </c>
      <c r="I722">
        <v>1631</v>
      </c>
      <c r="J722">
        <v>82</v>
      </c>
      <c r="K722" s="17">
        <f t="shared" si="89"/>
        <v>4458.0666666666666</v>
      </c>
      <c r="L722" t="str">
        <f t="shared" si="90"/>
        <v>High Risk</v>
      </c>
      <c r="P722" s="19">
        <f t="shared" si="91"/>
        <v>3292</v>
      </c>
      <c r="R722" s="19">
        <f t="shared" si="88"/>
        <v>870898.60000000009</v>
      </c>
      <c r="T722" s="19">
        <f t="shared" si="92"/>
        <v>445263</v>
      </c>
      <c r="U722" s="19">
        <f t="shared" si="93"/>
        <v>431481.05000000005</v>
      </c>
      <c r="V722" s="21">
        <f t="shared" si="94"/>
        <v>-13781.949999999953</v>
      </c>
      <c r="W722" s="18">
        <f t="shared" si="95"/>
        <v>-3.0952380952380849E-2</v>
      </c>
    </row>
    <row r="723" spans="1:23" x14ac:dyDescent="0.3">
      <c r="A723" t="s">
        <v>125</v>
      </c>
      <c r="B723" t="s">
        <v>2158</v>
      </c>
      <c r="C723" t="s">
        <v>37</v>
      </c>
      <c r="D723" t="s">
        <v>17</v>
      </c>
      <c r="E723">
        <v>1168</v>
      </c>
      <c r="F723">
        <v>100.23</v>
      </c>
      <c r="G723">
        <v>84.8</v>
      </c>
      <c r="H723">
        <v>100.23</v>
      </c>
      <c r="I723">
        <v>1932</v>
      </c>
      <c r="J723">
        <v>80</v>
      </c>
      <c r="K723" s="17">
        <f t="shared" si="89"/>
        <v>5152</v>
      </c>
      <c r="L723" t="str">
        <f t="shared" si="90"/>
        <v>High Risk</v>
      </c>
      <c r="P723" s="19">
        <f t="shared" si="91"/>
        <v>3984</v>
      </c>
      <c r="R723" s="19">
        <f t="shared" si="88"/>
        <v>399316.32</v>
      </c>
      <c r="T723" s="19">
        <f t="shared" si="92"/>
        <v>163833.60000000001</v>
      </c>
      <c r="U723" s="19">
        <f t="shared" si="93"/>
        <v>193644.36000000002</v>
      </c>
      <c r="V723" s="21">
        <f t="shared" si="94"/>
        <v>29810.760000000009</v>
      </c>
      <c r="W723" s="18">
        <f t="shared" si="95"/>
        <v>0.18195754716981138</v>
      </c>
    </row>
    <row r="724" spans="1:23" x14ac:dyDescent="0.3">
      <c r="A724" t="s">
        <v>1132</v>
      </c>
      <c r="B724" t="s">
        <v>2278</v>
      </c>
      <c r="C724" t="s">
        <v>12</v>
      </c>
      <c r="D724" t="s">
        <v>17</v>
      </c>
      <c r="E724">
        <v>1171</v>
      </c>
      <c r="F724">
        <v>183.02</v>
      </c>
      <c r="G724">
        <v>152.77000000000001</v>
      </c>
      <c r="H724">
        <v>183.02</v>
      </c>
      <c r="I724">
        <v>1127</v>
      </c>
      <c r="J724">
        <v>84</v>
      </c>
      <c r="K724" s="17">
        <f t="shared" si="89"/>
        <v>3155.6000000000004</v>
      </c>
      <c r="L724" t="str">
        <f t="shared" si="90"/>
        <v>High Risk</v>
      </c>
      <c r="P724" s="19">
        <f t="shared" si="91"/>
        <v>1985</v>
      </c>
      <c r="R724" s="19">
        <f t="shared" si="88"/>
        <v>363294.7</v>
      </c>
      <c r="T724" s="19">
        <f t="shared" si="92"/>
        <v>172171.79</v>
      </c>
      <c r="U724" s="19">
        <f t="shared" si="93"/>
        <v>206263.54</v>
      </c>
      <c r="V724" s="21">
        <f t="shared" si="94"/>
        <v>34091.75</v>
      </c>
      <c r="W724" s="18">
        <f t="shared" si="95"/>
        <v>0.19801008051318975</v>
      </c>
    </row>
    <row r="725" spans="1:23" x14ac:dyDescent="0.3">
      <c r="A725" t="s">
        <v>1019</v>
      </c>
      <c r="B725" t="s">
        <v>1814</v>
      </c>
      <c r="C725" t="s">
        <v>23</v>
      </c>
      <c r="D725" t="s">
        <v>13</v>
      </c>
      <c r="E725">
        <v>1171</v>
      </c>
      <c r="F725">
        <v>421.01</v>
      </c>
      <c r="G725">
        <v>405.11</v>
      </c>
      <c r="H725">
        <v>421.01</v>
      </c>
      <c r="I725">
        <v>2249</v>
      </c>
      <c r="J725">
        <v>45</v>
      </c>
      <c r="K725" s="17">
        <f t="shared" si="89"/>
        <v>3373.5</v>
      </c>
      <c r="L725" t="str">
        <f t="shared" si="90"/>
        <v>High Risk</v>
      </c>
      <c r="P725" s="19">
        <f t="shared" si="91"/>
        <v>2203</v>
      </c>
      <c r="R725" s="19">
        <f t="shared" si="88"/>
        <v>927485.03</v>
      </c>
      <c r="T725" s="19">
        <f t="shared" si="92"/>
        <v>911092.39</v>
      </c>
      <c r="U725" s="19">
        <f t="shared" si="93"/>
        <v>946851.49</v>
      </c>
      <c r="V725" s="21">
        <f t="shared" si="94"/>
        <v>35759.099999999977</v>
      </c>
      <c r="W725" s="18">
        <f t="shared" si="95"/>
        <v>3.9248599145910959E-2</v>
      </c>
    </row>
    <row r="726" spans="1:23" x14ac:dyDescent="0.3">
      <c r="A726" t="s">
        <v>1253</v>
      </c>
      <c r="B726" t="s">
        <v>1439</v>
      </c>
      <c r="C726" t="s">
        <v>23</v>
      </c>
      <c r="D726" t="s">
        <v>20</v>
      </c>
      <c r="E726">
        <v>1172</v>
      </c>
      <c r="F726">
        <v>251.69</v>
      </c>
      <c r="G726">
        <v>219.92</v>
      </c>
      <c r="H726">
        <v>251.69</v>
      </c>
      <c r="I726">
        <v>3061</v>
      </c>
      <c r="J726">
        <v>34</v>
      </c>
      <c r="K726" s="17">
        <f t="shared" si="89"/>
        <v>3469.1333333333332</v>
      </c>
      <c r="L726" t="str">
        <f t="shared" si="90"/>
        <v>High Risk</v>
      </c>
      <c r="P726" s="19">
        <f t="shared" si="91"/>
        <v>2298</v>
      </c>
      <c r="R726" s="19">
        <f t="shared" si="88"/>
        <v>578383.62</v>
      </c>
      <c r="T726" s="19">
        <f t="shared" si="92"/>
        <v>673175.12</v>
      </c>
      <c r="U726" s="19">
        <f t="shared" si="93"/>
        <v>770423.09</v>
      </c>
      <c r="V726" s="21">
        <f t="shared" si="94"/>
        <v>97247.969999999972</v>
      </c>
      <c r="W726" s="18">
        <f t="shared" si="95"/>
        <v>0.14446162240814839</v>
      </c>
    </row>
    <row r="727" spans="1:23" x14ac:dyDescent="0.3">
      <c r="A727" t="s">
        <v>446</v>
      </c>
      <c r="B727" t="s">
        <v>527</v>
      </c>
      <c r="C727" t="s">
        <v>16</v>
      </c>
      <c r="D727" t="s">
        <v>26</v>
      </c>
      <c r="E727">
        <v>1172</v>
      </c>
      <c r="F727">
        <v>243.14</v>
      </c>
      <c r="G727">
        <v>258.48</v>
      </c>
      <c r="H727">
        <v>243.14</v>
      </c>
      <c r="I727">
        <v>92</v>
      </c>
      <c r="J727">
        <v>46</v>
      </c>
      <c r="K727" s="17">
        <f t="shared" si="89"/>
        <v>141.06666666666666</v>
      </c>
      <c r="L727" t="str">
        <f t="shared" si="90"/>
        <v>Sufficuent Stock</v>
      </c>
      <c r="P727" s="19">
        <f t="shared" si="91"/>
        <v>0</v>
      </c>
      <c r="R727" s="19">
        <f t="shared" si="88"/>
        <v>0</v>
      </c>
      <c r="T727" s="19">
        <f t="shared" si="92"/>
        <v>23780.160000000003</v>
      </c>
      <c r="U727" s="19">
        <f t="shared" si="93"/>
        <v>22368.879999999997</v>
      </c>
      <c r="V727" s="21">
        <f t="shared" si="94"/>
        <v>-1411.2800000000061</v>
      </c>
      <c r="W727" s="18">
        <f t="shared" si="95"/>
        <v>-5.9346951408232991E-2</v>
      </c>
    </row>
    <row r="728" spans="1:23" x14ac:dyDescent="0.3">
      <c r="A728" t="s">
        <v>477</v>
      </c>
      <c r="B728" t="s">
        <v>1714</v>
      </c>
      <c r="C728" t="s">
        <v>12</v>
      </c>
      <c r="D728" t="s">
        <v>13</v>
      </c>
      <c r="E728">
        <v>1173</v>
      </c>
      <c r="F728">
        <v>477.06</v>
      </c>
      <c r="G728">
        <v>402.21</v>
      </c>
      <c r="H728">
        <v>477.06</v>
      </c>
      <c r="I728">
        <v>1831</v>
      </c>
      <c r="J728">
        <v>90</v>
      </c>
      <c r="K728" s="17">
        <f t="shared" si="89"/>
        <v>5493</v>
      </c>
      <c r="L728" t="str">
        <f t="shared" si="90"/>
        <v>High Risk</v>
      </c>
      <c r="P728" s="19">
        <f t="shared" si="91"/>
        <v>4320</v>
      </c>
      <c r="R728" s="19">
        <f t="shared" si="88"/>
        <v>2060899.2</v>
      </c>
      <c r="T728" s="19">
        <f t="shared" si="92"/>
        <v>736446.51</v>
      </c>
      <c r="U728" s="19">
        <f t="shared" si="93"/>
        <v>873496.86</v>
      </c>
      <c r="V728" s="21">
        <f t="shared" si="94"/>
        <v>137050.34999999998</v>
      </c>
      <c r="W728" s="18">
        <f t="shared" si="95"/>
        <v>0.18609681509659129</v>
      </c>
    </row>
    <row r="729" spans="1:23" x14ac:dyDescent="0.3">
      <c r="A729" t="s">
        <v>129</v>
      </c>
      <c r="B729" t="s">
        <v>1605</v>
      </c>
      <c r="C729" t="s">
        <v>50</v>
      </c>
      <c r="D729" t="s">
        <v>26</v>
      </c>
      <c r="E729">
        <v>1176</v>
      </c>
      <c r="F729">
        <v>461.84</v>
      </c>
      <c r="G729">
        <v>468.88</v>
      </c>
      <c r="H729">
        <v>461.84</v>
      </c>
      <c r="I729">
        <v>1113</v>
      </c>
      <c r="J729">
        <v>38</v>
      </c>
      <c r="K729" s="17">
        <f t="shared" si="89"/>
        <v>1409.8</v>
      </c>
      <c r="L729" t="str">
        <f t="shared" si="90"/>
        <v>High Risk</v>
      </c>
      <c r="P729" s="19">
        <f t="shared" si="91"/>
        <v>234</v>
      </c>
      <c r="R729" s="19">
        <f t="shared" si="88"/>
        <v>108070.56</v>
      </c>
      <c r="T729" s="19">
        <f t="shared" si="92"/>
        <v>521863.44</v>
      </c>
      <c r="U729" s="19">
        <f t="shared" si="93"/>
        <v>514027.92</v>
      </c>
      <c r="V729" s="21">
        <f t="shared" si="94"/>
        <v>-7835.5200000000186</v>
      </c>
      <c r="W729" s="18">
        <f t="shared" si="95"/>
        <v>-1.5014502644599933E-2</v>
      </c>
    </row>
    <row r="730" spans="1:23" x14ac:dyDescent="0.3">
      <c r="A730" t="s">
        <v>605</v>
      </c>
      <c r="B730" t="s">
        <v>1150</v>
      </c>
      <c r="C730" t="s">
        <v>37</v>
      </c>
      <c r="D730" t="s">
        <v>69</v>
      </c>
      <c r="E730">
        <v>1176</v>
      </c>
      <c r="F730">
        <v>415.71</v>
      </c>
      <c r="G730">
        <v>360.62</v>
      </c>
      <c r="H730">
        <v>415.71</v>
      </c>
      <c r="I730">
        <v>201</v>
      </c>
      <c r="J730">
        <v>89</v>
      </c>
      <c r="K730" s="17">
        <f t="shared" si="89"/>
        <v>596.30000000000007</v>
      </c>
      <c r="L730" t="str">
        <f t="shared" si="90"/>
        <v>Sufficuent Stock</v>
      </c>
      <c r="P730" s="19">
        <f t="shared" si="91"/>
        <v>0</v>
      </c>
      <c r="R730" s="19">
        <f t="shared" si="88"/>
        <v>0</v>
      </c>
      <c r="T730" s="19">
        <f t="shared" si="92"/>
        <v>72484.62</v>
      </c>
      <c r="U730" s="19">
        <f t="shared" si="93"/>
        <v>83557.709999999992</v>
      </c>
      <c r="V730" s="21">
        <f t="shared" si="94"/>
        <v>11073.089999999997</v>
      </c>
      <c r="W730" s="18">
        <f t="shared" si="95"/>
        <v>0.15276468304586541</v>
      </c>
    </row>
    <row r="731" spans="1:23" x14ac:dyDescent="0.3">
      <c r="A731" t="s">
        <v>251</v>
      </c>
      <c r="B731" t="s">
        <v>3222</v>
      </c>
      <c r="C731" t="s">
        <v>16</v>
      </c>
      <c r="D731" t="s">
        <v>26</v>
      </c>
      <c r="E731">
        <v>1177</v>
      </c>
      <c r="F731">
        <v>547.95000000000005</v>
      </c>
      <c r="G731">
        <v>482.25</v>
      </c>
      <c r="H731">
        <v>547.95000000000005</v>
      </c>
      <c r="I731">
        <v>3771</v>
      </c>
      <c r="J731">
        <v>63</v>
      </c>
      <c r="K731" s="17">
        <f t="shared" si="89"/>
        <v>7919.1</v>
      </c>
      <c r="L731" t="str">
        <f t="shared" si="90"/>
        <v>High Risk</v>
      </c>
      <c r="P731" s="19">
        <f t="shared" si="91"/>
        <v>6743</v>
      </c>
      <c r="R731" s="19">
        <f t="shared" si="88"/>
        <v>3694826.85</v>
      </c>
      <c r="T731" s="19">
        <f t="shared" si="92"/>
        <v>1818564.75</v>
      </c>
      <c r="U731" s="19">
        <f t="shared" si="93"/>
        <v>2066319.4500000002</v>
      </c>
      <c r="V731" s="21">
        <f t="shared" si="94"/>
        <v>247754.70000000019</v>
      </c>
      <c r="W731" s="18">
        <f t="shared" si="95"/>
        <v>0.13623639191290834</v>
      </c>
    </row>
    <row r="732" spans="1:23" x14ac:dyDescent="0.3">
      <c r="A732" t="s">
        <v>222</v>
      </c>
      <c r="B732" t="s">
        <v>967</v>
      </c>
      <c r="C732" t="s">
        <v>12</v>
      </c>
      <c r="D732" t="s">
        <v>17</v>
      </c>
      <c r="E732">
        <v>1183</v>
      </c>
      <c r="F732">
        <v>49.56</v>
      </c>
      <c r="G732">
        <v>42.74</v>
      </c>
      <c r="H732">
        <v>49.56</v>
      </c>
      <c r="I732">
        <v>1313</v>
      </c>
      <c r="J732">
        <v>59</v>
      </c>
      <c r="K732" s="17">
        <f t="shared" si="89"/>
        <v>2582.2333333333331</v>
      </c>
      <c r="L732" t="str">
        <f t="shared" si="90"/>
        <v>High Risk</v>
      </c>
      <c r="P732" s="19">
        <f t="shared" si="91"/>
        <v>1400</v>
      </c>
      <c r="R732" s="19">
        <f t="shared" si="88"/>
        <v>69384</v>
      </c>
      <c r="T732" s="19">
        <f t="shared" si="92"/>
        <v>56117.62</v>
      </c>
      <c r="U732" s="19">
        <f t="shared" si="93"/>
        <v>65072.280000000006</v>
      </c>
      <c r="V732" s="21">
        <f t="shared" si="94"/>
        <v>8954.6600000000035</v>
      </c>
      <c r="W732" s="18">
        <f t="shared" si="95"/>
        <v>0.15956948993916711</v>
      </c>
    </row>
    <row r="733" spans="1:23" x14ac:dyDescent="0.3">
      <c r="A733" t="s">
        <v>92</v>
      </c>
      <c r="B733" t="s">
        <v>300</v>
      </c>
      <c r="C733" t="s">
        <v>50</v>
      </c>
      <c r="D733" t="s">
        <v>13</v>
      </c>
      <c r="E733">
        <v>1185</v>
      </c>
      <c r="F733">
        <v>370.61</v>
      </c>
      <c r="G733">
        <v>388.93</v>
      </c>
      <c r="H733">
        <v>370.61</v>
      </c>
      <c r="I733">
        <v>3546</v>
      </c>
      <c r="J733">
        <v>57</v>
      </c>
      <c r="K733" s="17">
        <f t="shared" si="89"/>
        <v>6737.4000000000005</v>
      </c>
      <c r="L733" t="str">
        <f t="shared" si="90"/>
        <v>High Risk</v>
      </c>
      <c r="P733" s="19">
        <f t="shared" si="91"/>
        <v>5553</v>
      </c>
      <c r="R733" s="19">
        <f t="shared" si="88"/>
        <v>2057997.33</v>
      </c>
      <c r="T733" s="19">
        <f t="shared" si="92"/>
        <v>1379145.78</v>
      </c>
      <c r="U733" s="19">
        <f t="shared" si="93"/>
        <v>1314183.06</v>
      </c>
      <c r="V733" s="21">
        <f t="shared" si="94"/>
        <v>-64962.719999999972</v>
      </c>
      <c r="W733" s="18">
        <f t="shared" si="95"/>
        <v>-4.7103591905998485E-2</v>
      </c>
    </row>
    <row r="734" spans="1:23" x14ac:dyDescent="0.3">
      <c r="A734" t="s">
        <v>92</v>
      </c>
      <c r="B734" t="s">
        <v>3043</v>
      </c>
      <c r="C734" t="s">
        <v>37</v>
      </c>
      <c r="D734" t="s">
        <v>69</v>
      </c>
      <c r="E734">
        <v>1185</v>
      </c>
      <c r="F734">
        <v>274.89999999999998</v>
      </c>
      <c r="G734">
        <v>242.56</v>
      </c>
      <c r="H734">
        <v>274.89999999999998</v>
      </c>
      <c r="I734">
        <v>548</v>
      </c>
      <c r="J734">
        <v>89</v>
      </c>
      <c r="K734" s="17">
        <f t="shared" si="89"/>
        <v>1625.7333333333333</v>
      </c>
      <c r="L734" t="str">
        <f t="shared" si="90"/>
        <v>High Risk</v>
      </c>
      <c r="P734" s="19">
        <f t="shared" si="91"/>
        <v>441</v>
      </c>
      <c r="R734" s="19">
        <f t="shared" si="88"/>
        <v>121230.9</v>
      </c>
      <c r="T734" s="19">
        <f t="shared" si="92"/>
        <v>132922.88</v>
      </c>
      <c r="U734" s="19">
        <f t="shared" si="93"/>
        <v>150645.19999999998</v>
      </c>
      <c r="V734" s="21">
        <f t="shared" si="94"/>
        <v>17722.319999999978</v>
      </c>
      <c r="W734" s="18">
        <f t="shared" si="95"/>
        <v>0.13332783641160934</v>
      </c>
    </row>
    <row r="735" spans="1:23" x14ac:dyDescent="0.3">
      <c r="A735" t="s">
        <v>149</v>
      </c>
      <c r="B735" t="s">
        <v>150</v>
      </c>
      <c r="C735" t="s">
        <v>37</v>
      </c>
      <c r="D735" t="s">
        <v>26</v>
      </c>
      <c r="E735">
        <v>1185</v>
      </c>
      <c r="F735">
        <v>192.62</v>
      </c>
      <c r="G735">
        <v>200.02</v>
      </c>
      <c r="H735">
        <v>192.62</v>
      </c>
      <c r="I735">
        <v>3222</v>
      </c>
      <c r="J735">
        <v>85</v>
      </c>
      <c r="K735" s="17">
        <f t="shared" si="89"/>
        <v>9129</v>
      </c>
      <c r="L735" t="str">
        <f t="shared" si="90"/>
        <v>High Risk</v>
      </c>
      <c r="P735" s="19">
        <f t="shared" si="91"/>
        <v>7944</v>
      </c>
      <c r="R735" s="19">
        <f t="shared" si="88"/>
        <v>1530173.28</v>
      </c>
      <c r="T735" s="19">
        <f t="shared" si="92"/>
        <v>644464.44000000006</v>
      </c>
      <c r="U735" s="19">
        <f t="shared" si="93"/>
        <v>620621.64</v>
      </c>
      <c r="V735" s="21">
        <f t="shared" si="94"/>
        <v>-23842.800000000047</v>
      </c>
      <c r="W735" s="18">
        <f t="shared" si="95"/>
        <v>-3.699630036996307E-2</v>
      </c>
    </row>
    <row r="736" spans="1:23" x14ac:dyDescent="0.3">
      <c r="A736" t="s">
        <v>638</v>
      </c>
      <c r="B736" t="s">
        <v>1967</v>
      </c>
      <c r="C736" t="s">
        <v>50</v>
      </c>
      <c r="D736" t="s">
        <v>26</v>
      </c>
      <c r="E736">
        <v>1187</v>
      </c>
      <c r="F736">
        <v>54.83</v>
      </c>
      <c r="G736">
        <v>51.14</v>
      </c>
      <c r="H736">
        <v>54.83</v>
      </c>
      <c r="I736">
        <v>2266</v>
      </c>
      <c r="J736">
        <v>24</v>
      </c>
      <c r="K736" s="17">
        <f t="shared" si="89"/>
        <v>1812.8</v>
      </c>
      <c r="L736" t="str">
        <f t="shared" si="90"/>
        <v>High Risk</v>
      </c>
      <c r="P736" s="19">
        <f t="shared" si="91"/>
        <v>626</v>
      </c>
      <c r="R736" s="19">
        <f t="shared" si="88"/>
        <v>34323.58</v>
      </c>
      <c r="T736" s="19">
        <f t="shared" si="92"/>
        <v>115883.24</v>
      </c>
      <c r="U736" s="19">
        <f t="shared" si="93"/>
        <v>124244.78</v>
      </c>
      <c r="V736" s="21">
        <f t="shared" si="94"/>
        <v>8361.5399999999936</v>
      </c>
      <c r="W736" s="18">
        <f t="shared" si="95"/>
        <v>7.2154868987094195E-2</v>
      </c>
    </row>
    <row r="737" spans="1:23" x14ac:dyDescent="0.3">
      <c r="A737" t="s">
        <v>117</v>
      </c>
      <c r="B737" t="s">
        <v>503</v>
      </c>
      <c r="C737" t="s">
        <v>23</v>
      </c>
      <c r="D737" t="s">
        <v>69</v>
      </c>
      <c r="E737">
        <v>1187</v>
      </c>
      <c r="F737">
        <v>193.66</v>
      </c>
      <c r="G737">
        <v>190.35</v>
      </c>
      <c r="H737">
        <v>193.66</v>
      </c>
      <c r="I737">
        <v>3803</v>
      </c>
      <c r="J737">
        <v>15</v>
      </c>
      <c r="K737" s="17">
        <f t="shared" si="89"/>
        <v>1901.5</v>
      </c>
      <c r="L737" t="str">
        <f t="shared" si="90"/>
        <v>High Risk</v>
      </c>
      <c r="P737" s="19">
        <f t="shared" si="91"/>
        <v>715</v>
      </c>
      <c r="R737" s="19">
        <f t="shared" si="88"/>
        <v>138466.9</v>
      </c>
      <c r="T737" s="19">
        <f t="shared" si="92"/>
        <v>723901.04999999993</v>
      </c>
      <c r="U737" s="19">
        <f t="shared" si="93"/>
        <v>736488.98</v>
      </c>
      <c r="V737" s="21">
        <f t="shared" si="94"/>
        <v>12587.930000000051</v>
      </c>
      <c r="W737" s="18">
        <f t="shared" si="95"/>
        <v>1.7389020225899731E-2</v>
      </c>
    </row>
    <row r="738" spans="1:23" x14ac:dyDescent="0.3">
      <c r="A738" t="s">
        <v>105</v>
      </c>
      <c r="B738" t="s">
        <v>3224</v>
      </c>
      <c r="C738" t="s">
        <v>12</v>
      </c>
      <c r="D738" t="s">
        <v>26</v>
      </c>
      <c r="E738">
        <v>1188</v>
      </c>
      <c r="F738">
        <v>372.52</v>
      </c>
      <c r="G738">
        <v>339.69</v>
      </c>
      <c r="H738">
        <v>372.52</v>
      </c>
      <c r="I738">
        <v>745</v>
      </c>
      <c r="J738">
        <v>25</v>
      </c>
      <c r="K738" s="17">
        <f t="shared" si="89"/>
        <v>620.83333333333326</v>
      </c>
      <c r="L738" t="str">
        <f t="shared" si="90"/>
        <v>Sufficuent Stock</v>
      </c>
      <c r="P738" s="19">
        <f t="shared" si="91"/>
        <v>0</v>
      </c>
      <c r="R738" s="19">
        <f t="shared" si="88"/>
        <v>0</v>
      </c>
      <c r="T738" s="19">
        <f t="shared" si="92"/>
        <v>253069.05</v>
      </c>
      <c r="U738" s="19">
        <f t="shared" si="93"/>
        <v>277527.39999999997</v>
      </c>
      <c r="V738" s="21">
        <f t="shared" si="94"/>
        <v>24458.349999999977</v>
      </c>
      <c r="W738" s="18">
        <f t="shared" si="95"/>
        <v>9.6646942800788865E-2</v>
      </c>
    </row>
    <row r="739" spans="1:23" x14ac:dyDescent="0.3">
      <c r="A739" t="s">
        <v>838</v>
      </c>
      <c r="B739" t="s">
        <v>2525</v>
      </c>
      <c r="C739" t="s">
        <v>12</v>
      </c>
      <c r="D739" t="s">
        <v>69</v>
      </c>
      <c r="E739">
        <v>1189</v>
      </c>
      <c r="F739">
        <v>310.99</v>
      </c>
      <c r="G739">
        <v>339.01</v>
      </c>
      <c r="H739">
        <v>310.99</v>
      </c>
      <c r="I739">
        <v>3979</v>
      </c>
      <c r="J739">
        <v>77</v>
      </c>
      <c r="K739" s="17">
        <f t="shared" si="89"/>
        <v>10212.766666666666</v>
      </c>
      <c r="L739" t="str">
        <f t="shared" si="90"/>
        <v>High Risk</v>
      </c>
      <c r="P739" s="19">
        <f t="shared" si="91"/>
        <v>9024</v>
      </c>
      <c r="R739" s="19">
        <f t="shared" si="88"/>
        <v>2806373.7600000002</v>
      </c>
      <c r="T739" s="19">
        <f t="shared" si="92"/>
        <v>1348920.79</v>
      </c>
      <c r="U739" s="19">
        <f t="shared" si="93"/>
        <v>1237429.21</v>
      </c>
      <c r="V739" s="21">
        <f t="shared" si="94"/>
        <v>-111491.58000000007</v>
      </c>
      <c r="W739" s="18">
        <f t="shared" si="95"/>
        <v>-8.2652429131884073E-2</v>
      </c>
    </row>
    <row r="740" spans="1:23" x14ac:dyDescent="0.3">
      <c r="A740" t="s">
        <v>94</v>
      </c>
      <c r="B740" t="s">
        <v>415</v>
      </c>
      <c r="C740" t="s">
        <v>12</v>
      </c>
      <c r="D740" t="s">
        <v>13</v>
      </c>
      <c r="E740">
        <v>1189</v>
      </c>
      <c r="F740">
        <v>352.96</v>
      </c>
      <c r="G740">
        <v>369.52</v>
      </c>
      <c r="H740">
        <v>352.96</v>
      </c>
      <c r="I740">
        <v>90</v>
      </c>
      <c r="J740">
        <v>73</v>
      </c>
      <c r="K740" s="17">
        <f t="shared" si="89"/>
        <v>219</v>
      </c>
      <c r="L740" t="str">
        <f t="shared" si="90"/>
        <v>Sufficuent Stock</v>
      </c>
      <c r="P740" s="19">
        <f t="shared" si="91"/>
        <v>0</v>
      </c>
      <c r="R740" s="19">
        <f t="shared" si="88"/>
        <v>0</v>
      </c>
      <c r="T740" s="19">
        <f t="shared" si="92"/>
        <v>33256.799999999996</v>
      </c>
      <c r="U740" s="19">
        <f t="shared" si="93"/>
        <v>31766.399999999998</v>
      </c>
      <c r="V740" s="21">
        <f t="shared" si="94"/>
        <v>-1490.3999999999978</v>
      </c>
      <c r="W740" s="18">
        <f t="shared" si="95"/>
        <v>-4.4814894998917457E-2</v>
      </c>
    </row>
    <row r="741" spans="1:23" x14ac:dyDescent="0.3">
      <c r="A741" t="s">
        <v>915</v>
      </c>
      <c r="B741" t="s">
        <v>3185</v>
      </c>
      <c r="C741" t="s">
        <v>23</v>
      </c>
      <c r="D741" t="s">
        <v>20</v>
      </c>
      <c r="E741">
        <v>1190</v>
      </c>
      <c r="F741">
        <v>335.83</v>
      </c>
      <c r="G741">
        <v>318.27</v>
      </c>
      <c r="H741">
        <v>335.83</v>
      </c>
      <c r="I741">
        <v>2762</v>
      </c>
      <c r="J741">
        <v>34</v>
      </c>
      <c r="K741" s="17">
        <f t="shared" si="89"/>
        <v>3130.2666666666664</v>
      </c>
      <c r="L741" t="str">
        <f t="shared" si="90"/>
        <v>High Risk</v>
      </c>
      <c r="P741" s="19">
        <f t="shared" si="91"/>
        <v>1941</v>
      </c>
      <c r="R741" s="19">
        <f t="shared" si="88"/>
        <v>651846.02999999991</v>
      </c>
      <c r="T741" s="19">
        <f t="shared" si="92"/>
        <v>879061.74</v>
      </c>
      <c r="U741" s="19">
        <f t="shared" si="93"/>
        <v>927562.46</v>
      </c>
      <c r="V741" s="21">
        <f t="shared" si="94"/>
        <v>48500.719999999972</v>
      </c>
      <c r="W741" s="18">
        <f t="shared" si="95"/>
        <v>5.5173280547962389E-2</v>
      </c>
    </row>
    <row r="742" spans="1:23" x14ac:dyDescent="0.3">
      <c r="A742" t="s">
        <v>111</v>
      </c>
      <c r="B742" t="s">
        <v>2355</v>
      </c>
      <c r="C742" t="s">
        <v>16</v>
      </c>
      <c r="D742" t="s">
        <v>69</v>
      </c>
      <c r="E742">
        <v>1193</v>
      </c>
      <c r="F742">
        <v>386.97</v>
      </c>
      <c r="G742">
        <v>369.97</v>
      </c>
      <c r="H742">
        <v>386.97</v>
      </c>
      <c r="I742">
        <v>2304</v>
      </c>
      <c r="J742">
        <v>14</v>
      </c>
      <c r="K742" s="17">
        <f t="shared" si="89"/>
        <v>1075.2</v>
      </c>
      <c r="L742" t="str">
        <f t="shared" si="90"/>
        <v>Sufficuent Stock</v>
      </c>
      <c r="P742" s="19">
        <f t="shared" si="91"/>
        <v>0</v>
      </c>
      <c r="R742" s="19">
        <f t="shared" si="88"/>
        <v>0</v>
      </c>
      <c r="T742" s="19">
        <f t="shared" si="92"/>
        <v>852410.88000000012</v>
      </c>
      <c r="U742" s="19">
        <f t="shared" si="93"/>
        <v>891578.88000000012</v>
      </c>
      <c r="V742" s="21">
        <f t="shared" si="94"/>
        <v>39168</v>
      </c>
      <c r="W742" s="18">
        <f t="shared" si="95"/>
        <v>4.5949671594994183E-2</v>
      </c>
    </row>
    <row r="743" spans="1:23" x14ac:dyDescent="0.3">
      <c r="A743" t="s">
        <v>654</v>
      </c>
      <c r="B743" t="s">
        <v>848</v>
      </c>
      <c r="C743" t="s">
        <v>50</v>
      </c>
      <c r="D743" t="s">
        <v>17</v>
      </c>
      <c r="E743">
        <v>1199</v>
      </c>
      <c r="F743">
        <v>275.2</v>
      </c>
      <c r="G743">
        <v>234.21</v>
      </c>
      <c r="H743">
        <v>275.2</v>
      </c>
      <c r="I743">
        <v>53</v>
      </c>
      <c r="J743">
        <v>33</v>
      </c>
      <c r="K743" s="17">
        <f t="shared" si="89"/>
        <v>58.3</v>
      </c>
      <c r="L743" t="str">
        <f t="shared" si="90"/>
        <v>Sufficuent Stock</v>
      </c>
      <c r="P743" s="19">
        <f t="shared" si="91"/>
        <v>0</v>
      </c>
      <c r="R743" s="19">
        <f t="shared" si="88"/>
        <v>0</v>
      </c>
      <c r="T743" s="19">
        <f t="shared" si="92"/>
        <v>12413.130000000001</v>
      </c>
      <c r="U743" s="19">
        <f t="shared" si="93"/>
        <v>14585.599999999999</v>
      </c>
      <c r="V743" s="21">
        <f t="shared" si="94"/>
        <v>2172.4699999999975</v>
      </c>
      <c r="W743" s="18">
        <f t="shared" si="95"/>
        <v>0.17501387643567717</v>
      </c>
    </row>
    <row r="744" spans="1:23" x14ac:dyDescent="0.3">
      <c r="A744" t="s">
        <v>165</v>
      </c>
      <c r="B744" t="s">
        <v>3292</v>
      </c>
      <c r="C744" t="s">
        <v>12</v>
      </c>
      <c r="D744" t="s">
        <v>20</v>
      </c>
      <c r="E744">
        <v>1200</v>
      </c>
      <c r="F744">
        <v>254.88</v>
      </c>
      <c r="G744">
        <v>213.19</v>
      </c>
      <c r="H744">
        <v>254.88</v>
      </c>
      <c r="I744">
        <v>1391</v>
      </c>
      <c r="J744">
        <v>31</v>
      </c>
      <c r="K744" s="17">
        <f t="shared" si="89"/>
        <v>1437.3666666666668</v>
      </c>
      <c r="L744" t="str">
        <f t="shared" si="90"/>
        <v>High Risk</v>
      </c>
      <c r="P744" s="19">
        <f t="shared" si="91"/>
        <v>238</v>
      </c>
      <c r="R744" s="19">
        <f t="shared" si="88"/>
        <v>60661.440000000002</v>
      </c>
      <c r="T744" s="19">
        <f t="shared" si="92"/>
        <v>296547.28999999998</v>
      </c>
      <c r="U744" s="19">
        <f t="shared" si="93"/>
        <v>354538.08</v>
      </c>
      <c r="V744" s="21">
        <f t="shared" si="94"/>
        <v>57990.790000000037</v>
      </c>
      <c r="W744" s="18">
        <f t="shared" si="95"/>
        <v>0.1955532623481403</v>
      </c>
    </row>
    <row r="745" spans="1:23" x14ac:dyDescent="0.3">
      <c r="A745" t="s">
        <v>917</v>
      </c>
      <c r="B745" t="s">
        <v>3019</v>
      </c>
      <c r="C745" t="s">
        <v>16</v>
      </c>
      <c r="D745" t="s">
        <v>17</v>
      </c>
      <c r="E745">
        <v>1201</v>
      </c>
      <c r="F745">
        <v>298.36</v>
      </c>
      <c r="G745">
        <v>288.89999999999998</v>
      </c>
      <c r="H745">
        <v>298.36</v>
      </c>
      <c r="I745">
        <v>1920</v>
      </c>
      <c r="J745">
        <v>78</v>
      </c>
      <c r="K745" s="17">
        <f t="shared" si="89"/>
        <v>4992</v>
      </c>
      <c r="L745" t="str">
        <f t="shared" si="90"/>
        <v>High Risk</v>
      </c>
      <c r="P745" s="19">
        <f t="shared" si="91"/>
        <v>3791</v>
      </c>
      <c r="R745" s="19">
        <f t="shared" si="88"/>
        <v>1131082.76</v>
      </c>
      <c r="T745" s="19">
        <f t="shared" si="92"/>
        <v>554688</v>
      </c>
      <c r="U745" s="19">
        <f t="shared" si="93"/>
        <v>572851.20000000007</v>
      </c>
      <c r="V745" s="21">
        <f t="shared" si="94"/>
        <v>18163.20000000007</v>
      </c>
      <c r="W745" s="18">
        <f t="shared" si="95"/>
        <v>3.2744894427137544E-2</v>
      </c>
    </row>
    <row r="746" spans="1:23" x14ac:dyDescent="0.3">
      <c r="A746" t="s">
        <v>917</v>
      </c>
      <c r="B746" t="s">
        <v>1425</v>
      </c>
      <c r="C746" t="s">
        <v>23</v>
      </c>
      <c r="D746" t="s">
        <v>13</v>
      </c>
      <c r="E746">
        <v>1203</v>
      </c>
      <c r="F746">
        <v>386.16</v>
      </c>
      <c r="G746">
        <v>339.84</v>
      </c>
      <c r="H746">
        <v>386.16</v>
      </c>
      <c r="I746">
        <v>3781</v>
      </c>
      <c r="J746">
        <v>63</v>
      </c>
      <c r="K746" s="17">
        <f t="shared" si="89"/>
        <v>7940.0999999999995</v>
      </c>
      <c r="L746" t="str">
        <f t="shared" si="90"/>
        <v>High Risk</v>
      </c>
      <c r="P746" s="19">
        <f t="shared" si="91"/>
        <v>6738</v>
      </c>
      <c r="R746" s="19">
        <f t="shared" si="88"/>
        <v>2601946.08</v>
      </c>
      <c r="T746" s="19">
        <f t="shared" si="92"/>
        <v>1284935.0399999998</v>
      </c>
      <c r="U746" s="19">
        <f t="shared" si="93"/>
        <v>1460070.9600000002</v>
      </c>
      <c r="V746" s="21">
        <f t="shared" si="94"/>
        <v>175135.92000000039</v>
      </c>
      <c r="W746" s="18">
        <f t="shared" si="95"/>
        <v>0.1362994350282489</v>
      </c>
    </row>
    <row r="747" spans="1:23" x14ac:dyDescent="0.3">
      <c r="A747" t="s">
        <v>129</v>
      </c>
      <c r="B747" t="s">
        <v>1317</v>
      </c>
      <c r="C747" t="s">
        <v>16</v>
      </c>
      <c r="D747" t="s">
        <v>20</v>
      </c>
      <c r="E747">
        <v>1205</v>
      </c>
      <c r="F747">
        <v>443.3</v>
      </c>
      <c r="G747">
        <v>415.71</v>
      </c>
      <c r="H747">
        <v>443.3</v>
      </c>
      <c r="I747">
        <v>362</v>
      </c>
      <c r="J747">
        <v>63</v>
      </c>
      <c r="K747" s="17">
        <f t="shared" si="89"/>
        <v>760.19999999999993</v>
      </c>
      <c r="L747" t="str">
        <f t="shared" si="90"/>
        <v>Sufficuent Stock</v>
      </c>
      <c r="P747" s="19">
        <f t="shared" si="91"/>
        <v>0</v>
      </c>
      <c r="R747" s="19">
        <f t="shared" si="88"/>
        <v>0</v>
      </c>
      <c r="T747" s="19">
        <f t="shared" si="92"/>
        <v>150487.01999999999</v>
      </c>
      <c r="U747" s="19">
        <f t="shared" si="93"/>
        <v>160474.6</v>
      </c>
      <c r="V747" s="21">
        <f t="shared" si="94"/>
        <v>9987.5800000000163</v>
      </c>
      <c r="W747" s="18">
        <f t="shared" si="95"/>
        <v>6.6368381804623525E-2</v>
      </c>
    </row>
    <row r="748" spans="1:23" x14ac:dyDescent="0.3">
      <c r="A748" t="s">
        <v>136</v>
      </c>
      <c r="B748" t="s">
        <v>343</v>
      </c>
      <c r="C748" t="s">
        <v>50</v>
      </c>
      <c r="D748" t="s">
        <v>13</v>
      </c>
      <c r="E748">
        <v>1207</v>
      </c>
      <c r="F748">
        <v>177.85</v>
      </c>
      <c r="G748">
        <v>165.84</v>
      </c>
      <c r="H748">
        <v>177.85</v>
      </c>
      <c r="I748">
        <v>3029</v>
      </c>
      <c r="J748">
        <v>59</v>
      </c>
      <c r="K748" s="17">
        <f t="shared" si="89"/>
        <v>5957.0333333333338</v>
      </c>
      <c r="L748" t="str">
        <f t="shared" si="90"/>
        <v>High Risk</v>
      </c>
      <c r="P748" s="19">
        <f t="shared" si="91"/>
        <v>4751</v>
      </c>
      <c r="R748" s="19">
        <f t="shared" si="88"/>
        <v>844965.35</v>
      </c>
      <c r="T748" s="19">
        <f t="shared" si="92"/>
        <v>502329.36</v>
      </c>
      <c r="U748" s="19">
        <f t="shared" si="93"/>
        <v>538707.65</v>
      </c>
      <c r="V748" s="21">
        <f t="shared" si="94"/>
        <v>36378.290000000037</v>
      </c>
      <c r="W748" s="18">
        <f t="shared" si="95"/>
        <v>7.2419199228171804E-2</v>
      </c>
    </row>
    <row r="749" spans="1:23" x14ac:dyDescent="0.3">
      <c r="A749" t="s">
        <v>917</v>
      </c>
      <c r="B749" t="s">
        <v>1229</v>
      </c>
      <c r="C749" t="s">
        <v>16</v>
      </c>
      <c r="D749" t="s">
        <v>26</v>
      </c>
      <c r="E749">
        <v>1207</v>
      </c>
      <c r="F749">
        <v>104.32</v>
      </c>
      <c r="G749">
        <v>92.37</v>
      </c>
      <c r="H749">
        <v>104.32</v>
      </c>
      <c r="I749">
        <v>1581</v>
      </c>
      <c r="J749">
        <v>40</v>
      </c>
      <c r="K749" s="17">
        <f t="shared" si="89"/>
        <v>2108</v>
      </c>
      <c r="L749" t="str">
        <f t="shared" si="90"/>
        <v>High Risk</v>
      </c>
      <c r="P749" s="19">
        <f t="shared" si="91"/>
        <v>901</v>
      </c>
      <c r="R749" s="19">
        <f t="shared" si="88"/>
        <v>93992.319999999992</v>
      </c>
      <c r="T749" s="19">
        <f t="shared" si="92"/>
        <v>146036.97</v>
      </c>
      <c r="U749" s="19">
        <f t="shared" si="93"/>
        <v>164929.91999999998</v>
      </c>
      <c r="V749" s="21">
        <f t="shared" si="94"/>
        <v>18892.949999999983</v>
      </c>
      <c r="W749" s="18">
        <f t="shared" si="95"/>
        <v>0.12937100790299869</v>
      </c>
    </row>
    <row r="750" spans="1:23" x14ac:dyDescent="0.3">
      <c r="A750" t="s">
        <v>391</v>
      </c>
      <c r="B750" t="s">
        <v>392</v>
      </c>
      <c r="C750" t="s">
        <v>37</v>
      </c>
      <c r="D750" t="s">
        <v>17</v>
      </c>
      <c r="E750">
        <v>1209</v>
      </c>
      <c r="F750">
        <v>227.54</v>
      </c>
      <c r="G750">
        <v>206.87</v>
      </c>
      <c r="H750">
        <v>227.54</v>
      </c>
      <c r="I750">
        <v>2331</v>
      </c>
      <c r="J750">
        <v>56</v>
      </c>
      <c r="K750" s="17">
        <f t="shared" si="89"/>
        <v>4351.2</v>
      </c>
      <c r="L750" t="str">
        <f t="shared" si="90"/>
        <v>High Risk</v>
      </c>
      <c r="P750" s="19">
        <f t="shared" si="91"/>
        <v>3143</v>
      </c>
      <c r="R750" s="19">
        <f t="shared" si="88"/>
        <v>715158.22</v>
      </c>
      <c r="T750" s="19">
        <f t="shared" si="92"/>
        <v>482213.97000000003</v>
      </c>
      <c r="U750" s="19">
        <f t="shared" si="93"/>
        <v>530395.74</v>
      </c>
      <c r="V750" s="21">
        <f t="shared" si="94"/>
        <v>48181.76999999996</v>
      </c>
      <c r="W750" s="18">
        <f t="shared" si="95"/>
        <v>9.991782278725761E-2</v>
      </c>
    </row>
    <row r="751" spans="1:23" x14ac:dyDescent="0.3">
      <c r="A751" t="s">
        <v>638</v>
      </c>
      <c r="B751" t="s">
        <v>639</v>
      </c>
      <c r="C751" t="s">
        <v>50</v>
      </c>
      <c r="D751" t="s">
        <v>26</v>
      </c>
      <c r="E751">
        <v>1211</v>
      </c>
      <c r="F751">
        <v>323.41000000000003</v>
      </c>
      <c r="G751">
        <v>274.20999999999998</v>
      </c>
      <c r="H751">
        <v>323.41000000000003</v>
      </c>
      <c r="I751">
        <v>840</v>
      </c>
      <c r="J751">
        <v>14</v>
      </c>
      <c r="K751" s="17">
        <f t="shared" si="89"/>
        <v>392</v>
      </c>
      <c r="L751" t="str">
        <f t="shared" si="90"/>
        <v>Sufficuent Stock</v>
      </c>
      <c r="P751" s="19">
        <f t="shared" si="91"/>
        <v>0</v>
      </c>
      <c r="R751" s="19">
        <f t="shared" si="88"/>
        <v>0</v>
      </c>
      <c r="T751" s="19">
        <f t="shared" si="92"/>
        <v>230336.4</v>
      </c>
      <c r="U751" s="19">
        <f t="shared" si="93"/>
        <v>271664.40000000002</v>
      </c>
      <c r="V751" s="21">
        <f t="shared" si="94"/>
        <v>41328.000000000029</v>
      </c>
      <c r="W751" s="18">
        <f t="shared" si="95"/>
        <v>0.17942452864592842</v>
      </c>
    </row>
    <row r="752" spans="1:23" x14ac:dyDescent="0.3">
      <c r="A752" t="s">
        <v>159</v>
      </c>
      <c r="B752" t="s">
        <v>1579</v>
      </c>
      <c r="C752" t="s">
        <v>23</v>
      </c>
      <c r="D752" t="s">
        <v>26</v>
      </c>
      <c r="E752">
        <v>1212</v>
      </c>
      <c r="F752">
        <v>311.29000000000002</v>
      </c>
      <c r="G752">
        <v>296.52</v>
      </c>
      <c r="H752">
        <v>311.29000000000002</v>
      </c>
      <c r="I752">
        <v>2799</v>
      </c>
      <c r="J752">
        <v>70</v>
      </c>
      <c r="K752" s="17">
        <f t="shared" si="89"/>
        <v>6531</v>
      </c>
      <c r="L752" t="str">
        <f t="shared" si="90"/>
        <v>High Risk</v>
      </c>
      <c r="P752" s="19">
        <f t="shared" si="91"/>
        <v>5319</v>
      </c>
      <c r="R752" s="19">
        <f t="shared" si="88"/>
        <v>1655751.51</v>
      </c>
      <c r="T752" s="19">
        <f t="shared" si="92"/>
        <v>829959.48</v>
      </c>
      <c r="U752" s="19">
        <f t="shared" si="93"/>
        <v>871300.71000000008</v>
      </c>
      <c r="V752" s="21">
        <f t="shared" si="94"/>
        <v>41341.230000000098</v>
      </c>
      <c r="W752" s="18">
        <f t="shared" si="95"/>
        <v>4.9811142587346674E-2</v>
      </c>
    </row>
    <row r="753" spans="1:23" x14ac:dyDescent="0.3">
      <c r="A753" t="s">
        <v>462</v>
      </c>
      <c r="B753" t="s">
        <v>3314</v>
      </c>
      <c r="C753" t="s">
        <v>16</v>
      </c>
      <c r="D753" t="s">
        <v>26</v>
      </c>
      <c r="E753">
        <v>1213</v>
      </c>
      <c r="F753">
        <v>131.22999999999999</v>
      </c>
      <c r="G753">
        <v>114.67</v>
      </c>
      <c r="H753">
        <v>131.22999999999999</v>
      </c>
      <c r="I753">
        <v>1466</v>
      </c>
      <c r="J753">
        <v>49</v>
      </c>
      <c r="K753" s="17">
        <f t="shared" si="89"/>
        <v>2394.4666666666667</v>
      </c>
      <c r="L753" t="str">
        <f t="shared" si="90"/>
        <v>High Risk</v>
      </c>
      <c r="P753" s="19">
        <f t="shared" si="91"/>
        <v>1182</v>
      </c>
      <c r="R753" s="19">
        <f t="shared" si="88"/>
        <v>155113.85999999999</v>
      </c>
      <c r="T753" s="19">
        <f t="shared" si="92"/>
        <v>168106.22</v>
      </c>
      <c r="U753" s="19">
        <f t="shared" si="93"/>
        <v>192383.18</v>
      </c>
      <c r="V753" s="21">
        <f t="shared" si="94"/>
        <v>24276.959999999992</v>
      </c>
      <c r="W753" s="18">
        <f t="shared" si="95"/>
        <v>0.14441440655794885</v>
      </c>
    </row>
    <row r="754" spans="1:23" x14ac:dyDescent="0.3">
      <c r="A754" t="s">
        <v>484</v>
      </c>
      <c r="B754" t="s">
        <v>1660</v>
      </c>
      <c r="C754" t="s">
        <v>16</v>
      </c>
      <c r="D754" t="s">
        <v>26</v>
      </c>
      <c r="E754">
        <v>1215</v>
      </c>
      <c r="F754">
        <v>489.34</v>
      </c>
      <c r="G754">
        <v>414.64</v>
      </c>
      <c r="H754">
        <v>489.34</v>
      </c>
      <c r="I754">
        <v>2290</v>
      </c>
      <c r="J754">
        <v>83</v>
      </c>
      <c r="K754" s="17">
        <f t="shared" si="89"/>
        <v>6335.6666666666661</v>
      </c>
      <c r="L754" t="str">
        <f t="shared" si="90"/>
        <v>High Risk</v>
      </c>
      <c r="P754" s="19">
        <f t="shared" si="91"/>
        <v>5121</v>
      </c>
      <c r="R754" s="19">
        <f t="shared" si="88"/>
        <v>2505910.1399999997</v>
      </c>
      <c r="T754" s="19">
        <f t="shared" si="92"/>
        <v>949525.6</v>
      </c>
      <c r="U754" s="19">
        <f t="shared" si="93"/>
        <v>1120588.5999999999</v>
      </c>
      <c r="V754" s="21">
        <f t="shared" si="94"/>
        <v>171062.99999999988</v>
      </c>
      <c r="W754" s="18">
        <f t="shared" si="95"/>
        <v>0.1801562801466331</v>
      </c>
    </row>
    <row r="755" spans="1:23" x14ac:dyDescent="0.3">
      <c r="A755" t="s">
        <v>191</v>
      </c>
      <c r="B755" t="s">
        <v>2019</v>
      </c>
      <c r="C755" t="s">
        <v>37</v>
      </c>
      <c r="D755" t="s">
        <v>13</v>
      </c>
      <c r="E755">
        <v>1218</v>
      </c>
      <c r="F755">
        <v>427.66</v>
      </c>
      <c r="G755">
        <v>393.63</v>
      </c>
      <c r="H755">
        <v>427.66</v>
      </c>
      <c r="I755">
        <v>3420</v>
      </c>
      <c r="J755">
        <v>13</v>
      </c>
      <c r="K755" s="17">
        <f t="shared" si="89"/>
        <v>1482</v>
      </c>
      <c r="L755" t="str">
        <f t="shared" si="90"/>
        <v>High Risk</v>
      </c>
      <c r="P755" s="19">
        <f t="shared" si="91"/>
        <v>264</v>
      </c>
      <c r="R755" s="19">
        <f t="shared" si="88"/>
        <v>112902.24</v>
      </c>
      <c r="T755" s="19">
        <f t="shared" si="92"/>
        <v>1346214.6</v>
      </c>
      <c r="U755" s="19">
        <f t="shared" si="93"/>
        <v>1462597.2000000002</v>
      </c>
      <c r="V755" s="21">
        <f t="shared" si="94"/>
        <v>116382.60000000009</v>
      </c>
      <c r="W755" s="18">
        <f t="shared" si="95"/>
        <v>8.64517440235755E-2</v>
      </c>
    </row>
    <row r="756" spans="1:23" x14ac:dyDescent="0.3">
      <c r="A756" t="s">
        <v>494</v>
      </c>
      <c r="B756" t="s">
        <v>2171</v>
      </c>
      <c r="C756" t="s">
        <v>37</v>
      </c>
      <c r="D756" t="s">
        <v>26</v>
      </c>
      <c r="E756">
        <v>1221</v>
      </c>
      <c r="F756">
        <v>283.76</v>
      </c>
      <c r="G756">
        <v>280.45999999999998</v>
      </c>
      <c r="H756">
        <v>283.76</v>
      </c>
      <c r="I756">
        <v>3865</v>
      </c>
      <c r="J756">
        <v>54</v>
      </c>
      <c r="K756" s="17">
        <f t="shared" si="89"/>
        <v>6957.0000000000009</v>
      </c>
      <c r="L756" t="str">
        <f t="shared" si="90"/>
        <v>High Risk</v>
      </c>
      <c r="P756" s="19">
        <f t="shared" si="91"/>
        <v>5736</v>
      </c>
      <c r="R756" s="19">
        <f t="shared" si="88"/>
        <v>1627647.3599999999</v>
      </c>
      <c r="T756" s="19">
        <f t="shared" si="92"/>
        <v>1083977.8999999999</v>
      </c>
      <c r="U756" s="19">
        <f t="shared" si="93"/>
        <v>1096732.3999999999</v>
      </c>
      <c r="V756" s="21">
        <f t="shared" si="94"/>
        <v>12754.5</v>
      </c>
      <c r="W756" s="18">
        <f t="shared" si="95"/>
        <v>1.1766383798046069E-2</v>
      </c>
    </row>
    <row r="757" spans="1:23" x14ac:dyDescent="0.3">
      <c r="A757" t="s">
        <v>205</v>
      </c>
      <c r="B757" t="s">
        <v>1709</v>
      </c>
      <c r="C757" t="s">
        <v>12</v>
      </c>
      <c r="D757" t="s">
        <v>17</v>
      </c>
      <c r="E757">
        <v>1223</v>
      </c>
      <c r="F757">
        <v>93.95</v>
      </c>
      <c r="G757">
        <v>80.400000000000006</v>
      </c>
      <c r="H757">
        <v>93.95</v>
      </c>
      <c r="I757">
        <v>2683</v>
      </c>
      <c r="J757">
        <v>72</v>
      </c>
      <c r="K757" s="17">
        <f t="shared" si="89"/>
        <v>6439.2000000000007</v>
      </c>
      <c r="L757" t="str">
        <f t="shared" si="90"/>
        <v>High Risk</v>
      </c>
      <c r="P757" s="19">
        <f t="shared" si="91"/>
        <v>5217</v>
      </c>
      <c r="R757" s="19">
        <f t="shared" si="88"/>
        <v>490137.15</v>
      </c>
      <c r="T757" s="19">
        <f t="shared" si="92"/>
        <v>215713.2</v>
      </c>
      <c r="U757" s="19">
        <f t="shared" si="93"/>
        <v>252067.85</v>
      </c>
      <c r="V757" s="21">
        <f t="shared" si="94"/>
        <v>36354.649999999994</v>
      </c>
      <c r="W757" s="18">
        <f t="shared" si="95"/>
        <v>0.16853233830845768</v>
      </c>
    </row>
    <row r="758" spans="1:23" x14ac:dyDescent="0.3">
      <c r="A758" t="s">
        <v>709</v>
      </c>
      <c r="B758" t="s">
        <v>710</v>
      </c>
      <c r="C758" t="s">
        <v>12</v>
      </c>
      <c r="D758" t="s">
        <v>26</v>
      </c>
      <c r="E758">
        <v>1223</v>
      </c>
      <c r="F758">
        <v>48.43</v>
      </c>
      <c r="G758">
        <v>49.47</v>
      </c>
      <c r="H758">
        <v>48.43</v>
      </c>
      <c r="I758">
        <v>422</v>
      </c>
      <c r="J758">
        <v>54</v>
      </c>
      <c r="K758" s="17">
        <f t="shared" si="89"/>
        <v>759.6</v>
      </c>
      <c r="L758" t="str">
        <f t="shared" si="90"/>
        <v>Sufficuent Stock</v>
      </c>
      <c r="P758" s="19">
        <f t="shared" si="91"/>
        <v>0</v>
      </c>
      <c r="R758" s="19">
        <f t="shared" si="88"/>
        <v>0</v>
      </c>
      <c r="T758" s="19">
        <f t="shared" si="92"/>
        <v>20876.34</v>
      </c>
      <c r="U758" s="19">
        <f t="shared" si="93"/>
        <v>20437.46</v>
      </c>
      <c r="V758" s="21">
        <f t="shared" si="94"/>
        <v>-438.88000000000102</v>
      </c>
      <c r="W758" s="18">
        <f t="shared" si="95"/>
        <v>-2.1022842126541388E-2</v>
      </c>
    </row>
    <row r="759" spans="1:23" x14ac:dyDescent="0.3">
      <c r="A759" t="s">
        <v>498</v>
      </c>
      <c r="B759" t="s">
        <v>1125</v>
      </c>
      <c r="C759" t="s">
        <v>50</v>
      </c>
      <c r="D759" t="s">
        <v>17</v>
      </c>
      <c r="E759">
        <v>1227</v>
      </c>
      <c r="F759">
        <v>308.83</v>
      </c>
      <c r="G759">
        <v>276.49</v>
      </c>
      <c r="H759">
        <v>308.83</v>
      </c>
      <c r="I759">
        <v>2918</v>
      </c>
      <c r="J759">
        <v>71</v>
      </c>
      <c r="K759" s="17">
        <f t="shared" si="89"/>
        <v>6905.9333333333334</v>
      </c>
      <c r="L759" t="str">
        <f t="shared" si="90"/>
        <v>High Risk</v>
      </c>
      <c r="P759" s="19">
        <f t="shared" si="91"/>
        <v>5679</v>
      </c>
      <c r="R759" s="19">
        <f t="shared" si="88"/>
        <v>1753845.5699999998</v>
      </c>
      <c r="T759" s="19">
        <f t="shared" si="92"/>
        <v>806797.82000000007</v>
      </c>
      <c r="U759" s="19">
        <f t="shared" si="93"/>
        <v>901165.94</v>
      </c>
      <c r="V759" s="21">
        <f t="shared" si="94"/>
        <v>94368.119999999879</v>
      </c>
      <c r="W759" s="18">
        <f t="shared" si="95"/>
        <v>0.11696625556077962</v>
      </c>
    </row>
    <row r="760" spans="1:23" x14ac:dyDescent="0.3">
      <c r="A760" t="s">
        <v>61</v>
      </c>
      <c r="B760" t="s">
        <v>282</v>
      </c>
      <c r="C760" t="s">
        <v>37</v>
      </c>
      <c r="D760" t="s">
        <v>13</v>
      </c>
      <c r="E760">
        <v>1228</v>
      </c>
      <c r="F760">
        <v>465.89</v>
      </c>
      <c r="G760">
        <v>415.96</v>
      </c>
      <c r="H760">
        <v>465.89</v>
      </c>
      <c r="I760">
        <v>3620</v>
      </c>
      <c r="J760">
        <v>87</v>
      </c>
      <c r="K760" s="17">
        <f t="shared" si="89"/>
        <v>10498</v>
      </c>
      <c r="L760" t="str">
        <f t="shared" si="90"/>
        <v>High Risk</v>
      </c>
      <c r="P760" s="19">
        <f t="shared" si="91"/>
        <v>9270</v>
      </c>
      <c r="R760" s="19">
        <f t="shared" si="88"/>
        <v>4318800.3</v>
      </c>
      <c r="T760" s="19">
        <f t="shared" si="92"/>
        <v>1505775.2</v>
      </c>
      <c r="U760" s="19">
        <f t="shared" si="93"/>
        <v>1686521.8</v>
      </c>
      <c r="V760" s="21">
        <f t="shared" si="94"/>
        <v>180746.60000000009</v>
      </c>
      <c r="W760" s="18">
        <f t="shared" si="95"/>
        <v>0.12003558034426394</v>
      </c>
    </row>
    <row r="761" spans="1:23" x14ac:dyDescent="0.3">
      <c r="A761" t="s">
        <v>280</v>
      </c>
      <c r="B761" t="s">
        <v>359</v>
      </c>
      <c r="C761" t="s">
        <v>12</v>
      </c>
      <c r="D761" t="s">
        <v>69</v>
      </c>
      <c r="E761">
        <v>1229</v>
      </c>
      <c r="F761">
        <v>431.12</v>
      </c>
      <c r="G761">
        <v>369.85</v>
      </c>
      <c r="H761">
        <v>431.12</v>
      </c>
      <c r="I761">
        <v>2231</v>
      </c>
      <c r="J761">
        <v>90</v>
      </c>
      <c r="K761" s="17">
        <f t="shared" si="89"/>
        <v>6692.9999999999991</v>
      </c>
      <c r="L761" t="str">
        <f t="shared" si="90"/>
        <v>High Risk</v>
      </c>
      <c r="P761" s="19">
        <f t="shared" si="91"/>
        <v>5464</v>
      </c>
      <c r="R761" s="19">
        <f t="shared" si="88"/>
        <v>2355639.6800000002</v>
      </c>
      <c r="T761" s="19">
        <f t="shared" si="92"/>
        <v>825135.35000000009</v>
      </c>
      <c r="U761" s="19">
        <f t="shared" si="93"/>
        <v>961828.72</v>
      </c>
      <c r="V761" s="21">
        <f t="shared" si="94"/>
        <v>136693.36999999988</v>
      </c>
      <c r="W761" s="18">
        <f t="shared" si="95"/>
        <v>0.16566175476544528</v>
      </c>
    </row>
    <row r="762" spans="1:23" x14ac:dyDescent="0.3">
      <c r="A762" t="s">
        <v>308</v>
      </c>
      <c r="B762" t="s">
        <v>2162</v>
      </c>
      <c r="C762" t="s">
        <v>16</v>
      </c>
      <c r="D762" t="s">
        <v>26</v>
      </c>
      <c r="E762">
        <v>1231</v>
      </c>
      <c r="F762">
        <v>348.2</v>
      </c>
      <c r="G762">
        <v>365.78</v>
      </c>
      <c r="H762">
        <v>348.2</v>
      </c>
      <c r="I762">
        <v>1879</v>
      </c>
      <c r="J762">
        <v>64</v>
      </c>
      <c r="K762" s="17">
        <f t="shared" si="89"/>
        <v>4008.5333333333333</v>
      </c>
      <c r="L762" t="str">
        <f t="shared" si="90"/>
        <v>High Risk</v>
      </c>
      <c r="P762" s="19">
        <f t="shared" si="91"/>
        <v>2778</v>
      </c>
      <c r="R762" s="19">
        <f t="shared" si="88"/>
        <v>967299.6</v>
      </c>
      <c r="T762" s="19">
        <f t="shared" si="92"/>
        <v>687300.62</v>
      </c>
      <c r="U762" s="19">
        <f t="shared" si="93"/>
        <v>654267.79999999993</v>
      </c>
      <c r="V762" s="21">
        <f t="shared" si="94"/>
        <v>-33032.820000000065</v>
      </c>
      <c r="W762" s="18">
        <f t="shared" si="95"/>
        <v>-4.8061676417518823E-2</v>
      </c>
    </row>
    <row r="763" spans="1:23" x14ac:dyDescent="0.3">
      <c r="A763" t="s">
        <v>541</v>
      </c>
      <c r="B763" t="s">
        <v>542</v>
      </c>
      <c r="C763" t="s">
        <v>16</v>
      </c>
      <c r="D763" t="s">
        <v>20</v>
      </c>
      <c r="E763">
        <v>1231</v>
      </c>
      <c r="F763">
        <v>305.98</v>
      </c>
      <c r="G763">
        <v>303.92</v>
      </c>
      <c r="H763">
        <v>305.98</v>
      </c>
      <c r="I763">
        <v>2624</v>
      </c>
      <c r="J763">
        <v>31</v>
      </c>
      <c r="K763" s="17">
        <f t="shared" si="89"/>
        <v>2711.4666666666667</v>
      </c>
      <c r="L763" t="str">
        <f t="shared" si="90"/>
        <v>High Risk</v>
      </c>
      <c r="P763" s="19">
        <f t="shared" si="91"/>
        <v>1481</v>
      </c>
      <c r="R763" s="19">
        <f t="shared" si="88"/>
        <v>453156.38</v>
      </c>
      <c r="T763" s="19">
        <f t="shared" si="92"/>
        <v>797486.08000000007</v>
      </c>
      <c r="U763" s="19">
        <f t="shared" si="93"/>
        <v>802891.52</v>
      </c>
      <c r="V763" s="21">
        <f t="shared" si="94"/>
        <v>5405.4399999999441</v>
      </c>
      <c r="W763" s="18">
        <f t="shared" si="95"/>
        <v>6.7780994998683161E-3</v>
      </c>
    </row>
    <row r="764" spans="1:23" x14ac:dyDescent="0.3">
      <c r="A764" t="s">
        <v>370</v>
      </c>
      <c r="B764" t="s">
        <v>2679</v>
      </c>
      <c r="C764" t="s">
        <v>23</v>
      </c>
      <c r="D764" t="s">
        <v>20</v>
      </c>
      <c r="E764">
        <v>1236</v>
      </c>
      <c r="F764">
        <v>107.09</v>
      </c>
      <c r="G764">
        <v>108.56</v>
      </c>
      <c r="H764">
        <v>107.09</v>
      </c>
      <c r="I764">
        <v>3967</v>
      </c>
      <c r="J764">
        <v>84</v>
      </c>
      <c r="K764" s="17">
        <f t="shared" si="89"/>
        <v>11107.599999999999</v>
      </c>
      <c r="L764" t="str">
        <f t="shared" si="90"/>
        <v>High Risk</v>
      </c>
      <c r="P764" s="19">
        <f t="shared" si="91"/>
        <v>9872</v>
      </c>
      <c r="R764" s="19">
        <f t="shared" si="88"/>
        <v>1057192.48</v>
      </c>
      <c r="T764" s="19">
        <f t="shared" si="92"/>
        <v>430657.52</v>
      </c>
      <c r="U764" s="19">
        <f t="shared" si="93"/>
        <v>424826.03</v>
      </c>
      <c r="V764" s="21">
        <f t="shared" si="94"/>
        <v>-5831.4899999999907</v>
      </c>
      <c r="W764" s="18">
        <f t="shared" si="95"/>
        <v>-1.3540899042004399E-2</v>
      </c>
    </row>
    <row r="765" spans="1:23" x14ac:dyDescent="0.3">
      <c r="A765" t="s">
        <v>432</v>
      </c>
      <c r="B765" t="s">
        <v>2747</v>
      </c>
      <c r="C765" t="s">
        <v>12</v>
      </c>
      <c r="D765" t="s">
        <v>69</v>
      </c>
      <c r="E765">
        <v>1237</v>
      </c>
      <c r="F765">
        <v>215.99</v>
      </c>
      <c r="G765">
        <v>180.52</v>
      </c>
      <c r="H765">
        <v>215.99</v>
      </c>
      <c r="I765">
        <v>3393</v>
      </c>
      <c r="J765">
        <v>32</v>
      </c>
      <c r="K765" s="17">
        <f t="shared" si="89"/>
        <v>3619.2</v>
      </c>
      <c r="L765" t="str">
        <f t="shared" si="90"/>
        <v>High Risk</v>
      </c>
      <c r="P765" s="19">
        <f t="shared" si="91"/>
        <v>2383</v>
      </c>
      <c r="R765" s="19">
        <f t="shared" si="88"/>
        <v>514704.17000000004</v>
      </c>
      <c r="T765" s="19">
        <f t="shared" si="92"/>
        <v>612504.36</v>
      </c>
      <c r="U765" s="19">
        <f t="shared" si="93"/>
        <v>732854.07000000007</v>
      </c>
      <c r="V765" s="21">
        <f t="shared" si="94"/>
        <v>120349.71000000008</v>
      </c>
      <c r="W765" s="18">
        <f t="shared" si="95"/>
        <v>0.19648792377575905</v>
      </c>
    </row>
    <row r="766" spans="1:23" x14ac:dyDescent="0.3">
      <c r="A766" t="s">
        <v>340</v>
      </c>
      <c r="B766" t="s">
        <v>1423</v>
      </c>
      <c r="C766" t="s">
        <v>23</v>
      </c>
      <c r="D766" t="s">
        <v>13</v>
      </c>
      <c r="E766">
        <v>1237</v>
      </c>
      <c r="F766">
        <v>399.24</v>
      </c>
      <c r="G766">
        <v>336.11</v>
      </c>
      <c r="H766">
        <v>399.24</v>
      </c>
      <c r="I766">
        <v>2075</v>
      </c>
      <c r="J766">
        <v>22</v>
      </c>
      <c r="K766" s="17">
        <f t="shared" si="89"/>
        <v>1521.6666666666667</v>
      </c>
      <c r="L766" t="str">
        <f t="shared" si="90"/>
        <v>High Risk</v>
      </c>
      <c r="P766" s="19">
        <f t="shared" si="91"/>
        <v>285</v>
      </c>
      <c r="R766" s="19">
        <f t="shared" si="88"/>
        <v>113783.40000000001</v>
      </c>
      <c r="T766" s="19">
        <f t="shared" si="92"/>
        <v>697428.25</v>
      </c>
      <c r="U766" s="19">
        <f t="shared" si="93"/>
        <v>828423</v>
      </c>
      <c r="V766" s="21">
        <f t="shared" si="94"/>
        <v>130994.75</v>
      </c>
      <c r="W766" s="18">
        <f t="shared" si="95"/>
        <v>0.18782541429889024</v>
      </c>
    </row>
    <row r="767" spans="1:23" x14ac:dyDescent="0.3">
      <c r="A767" t="s">
        <v>629</v>
      </c>
      <c r="B767" t="s">
        <v>845</v>
      </c>
      <c r="C767" t="s">
        <v>50</v>
      </c>
      <c r="D767" t="s">
        <v>69</v>
      </c>
      <c r="E767">
        <v>1239</v>
      </c>
      <c r="F767">
        <v>247.82</v>
      </c>
      <c r="G767">
        <v>247.81</v>
      </c>
      <c r="H767">
        <v>247.82</v>
      </c>
      <c r="I767">
        <v>2348</v>
      </c>
      <c r="J767">
        <v>64</v>
      </c>
      <c r="K767" s="17">
        <f t="shared" si="89"/>
        <v>5009.0666666666666</v>
      </c>
      <c r="L767" t="str">
        <f t="shared" si="90"/>
        <v>High Risk</v>
      </c>
      <c r="P767" s="19">
        <f t="shared" si="91"/>
        <v>3771</v>
      </c>
      <c r="R767" s="19">
        <f t="shared" si="88"/>
        <v>934529.22</v>
      </c>
      <c r="T767" s="19">
        <f t="shared" si="92"/>
        <v>581857.88</v>
      </c>
      <c r="U767" s="19">
        <f t="shared" si="93"/>
        <v>581881.36</v>
      </c>
      <c r="V767" s="21">
        <f t="shared" si="94"/>
        <v>23.479999999981374</v>
      </c>
      <c r="W767" s="18">
        <f t="shared" si="95"/>
        <v>4.0353496630451022E-5</v>
      </c>
    </row>
    <row r="768" spans="1:23" x14ac:dyDescent="0.3">
      <c r="A768" t="s">
        <v>424</v>
      </c>
      <c r="B768" t="s">
        <v>810</v>
      </c>
      <c r="C768" t="s">
        <v>16</v>
      </c>
      <c r="D768" t="s">
        <v>69</v>
      </c>
      <c r="E768">
        <v>1241</v>
      </c>
      <c r="F768">
        <v>459.67</v>
      </c>
      <c r="G768">
        <v>421.18</v>
      </c>
      <c r="H768">
        <v>459.67</v>
      </c>
      <c r="I768">
        <v>133</v>
      </c>
      <c r="J768">
        <v>66</v>
      </c>
      <c r="K768" s="17">
        <f t="shared" si="89"/>
        <v>292.60000000000002</v>
      </c>
      <c r="L768" t="str">
        <f t="shared" si="90"/>
        <v>Sufficuent Stock</v>
      </c>
      <c r="P768" s="19">
        <f t="shared" si="91"/>
        <v>0</v>
      </c>
      <c r="R768" s="19">
        <f t="shared" si="88"/>
        <v>0</v>
      </c>
      <c r="T768" s="19">
        <f t="shared" si="92"/>
        <v>56016.94</v>
      </c>
      <c r="U768" s="19">
        <f t="shared" si="93"/>
        <v>61136.11</v>
      </c>
      <c r="V768" s="21">
        <f t="shared" si="94"/>
        <v>5119.1699999999983</v>
      </c>
      <c r="W768" s="18">
        <f t="shared" si="95"/>
        <v>9.13861057030248E-2</v>
      </c>
    </row>
    <row r="769" spans="1:23" x14ac:dyDescent="0.3">
      <c r="A769" t="s">
        <v>29</v>
      </c>
      <c r="B769" t="s">
        <v>2780</v>
      </c>
      <c r="C769" t="s">
        <v>50</v>
      </c>
      <c r="D769" t="s">
        <v>69</v>
      </c>
      <c r="E769">
        <v>1244</v>
      </c>
      <c r="F769">
        <v>355.63</v>
      </c>
      <c r="G769">
        <v>300.20999999999998</v>
      </c>
      <c r="H769">
        <v>355.63</v>
      </c>
      <c r="I769">
        <v>1758</v>
      </c>
      <c r="J769">
        <v>24</v>
      </c>
      <c r="K769" s="17">
        <f t="shared" si="89"/>
        <v>1406.4</v>
      </c>
      <c r="L769" t="str">
        <f t="shared" si="90"/>
        <v>High Risk</v>
      </c>
      <c r="P769" s="19">
        <f t="shared" si="91"/>
        <v>163</v>
      </c>
      <c r="R769" s="19">
        <f t="shared" si="88"/>
        <v>57967.69</v>
      </c>
      <c r="T769" s="19">
        <f t="shared" si="92"/>
        <v>527769.17999999993</v>
      </c>
      <c r="U769" s="19">
        <f t="shared" si="93"/>
        <v>625197.54</v>
      </c>
      <c r="V769" s="21">
        <f t="shared" si="94"/>
        <v>97428.360000000102</v>
      </c>
      <c r="W769" s="18">
        <f t="shared" si="95"/>
        <v>0.18460411045601435</v>
      </c>
    </row>
    <row r="770" spans="1:23" x14ac:dyDescent="0.3">
      <c r="A770" t="s">
        <v>360</v>
      </c>
      <c r="B770" t="s">
        <v>2994</v>
      </c>
      <c r="C770" t="s">
        <v>37</v>
      </c>
      <c r="D770" t="s">
        <v>26</v>
      </c>
      <c r="E770">
        <v>1251</v>
      </c>
      <c r="F770">
        <v>273.38</v>
      </c>
      <c r="G770">
        <v>289.11</v>
      </c>
      <c r="H770">
        <v>273.38</v>
      </c>
      <c r="I770">
        <v>1178</v>
      </c>
      <c r="J770">
        <v>86</v>
      </c>
      <c r="K770" s="17">
        <f t="shared" si="89"/>
        <v>3376.9333333333334</v>
      </c>
      <c r="L770" t="str">
        <f t="shared" si="90"/>
        <v>High Risk</v>
      </c>
      <c r="P770" s="19">
        <f t="shared" si="91"/>
        <v>2126</v>
      </c>
      <c r="R770" s="19">
        <f t="shared" ref="R770:R833" si="96">P770*H770</f>
        <v>581205.88</v>
      </c>
      <c r="T770" s="19">
        <f t="shared" si="92"/>
        <v>340571.58</v>
      </c>
      <c r="U770" s="19">
        <f t="shared" si="93"/>
        <v>322041.64</v>
      </c>
      <c r="V770" s="21">
        <f t="shared" si="94"/>
        <v>-18529.940000000002</v>
      </c>
      <c r="W770" s="18">
        <f t="shared" si="95"/>
        <v>-5.4408356680848126E-2</v>
      </c>
    </row>
    <row r="771" spans="1:23" x14ac:dyDescent="0.3">
      <c r="A771" t="s">
        <v>344</v>
      </c>
      <c r="B771" t="s">
        <v>2768</v>
      </c>
      <c r="C771" t="s">
        <v>23</v>
      </c>
      <c r="D771" t="s">
        <v>26</v>
      </c>
      <c r="E771">
        <v>1251</v>
      </c>
      <c r="F771">
        <v>248.02</v>
      </c>
      <c r="G771">
        <v>224.26</v>
      </c>
      <c r="H771">
        <v>248.02</v>
      </c>
      <c r="I771">
        <v>2929</v>
      </c>
      <c r="J771">
        <v>43</v>
      </c>
      <c r="K771" s="17">
        <f t="shared" ref="K771:K834" si="97">(I771/30)*J771</f>
        <v>4198.2333333333336</v>
      </c>
      <c r="L771" t="str">
        <f t="shared" ref="L771:L834" si="98">IF(E771&lt;K771,"High Risk","Sufficuent Stock")</f>
        <v>High Risk</v>
      </c>
      <c r="P771" s="19">
        <f t="shared" ref="P771:P834" si="99">ROUNDUP(MAX(0,K771-E771),0)</f>
        <v>2948</v>
      </c>
      <c r="R771" s="19">
        <f t="shared" si="96"/>
        <v>731162.96000000008</v>
      </c>
      <c r="T771" s="19">
        <f t="shared" ref="T771:T834" si="100">I771*G771</f>
        <v>656857.53999999992</v>
      </c>
      <c r="U771" s="19">
        <f t="shared" ref="U771:U834" si="101">I771*H771</f>
        <v>726450.58000000007</v>
      </c>
      <c r="V771" s="21">
        <f t="shared" ref="V771:V834" si="102">U771-T771</f>
        <v>69593.040000000154</v>
      </c>
      <c r="W771" s="18">
        <f t="shared" ref="W771:W834" si="103">IFERROR(V771/T771,0)</f>
        <v>0.10594845268884355</v>
      </c>
    </row>
    <row r="772" spans="1:23" x14ac:dyDescent="0.3">
      <c r="A772" t="s">
        <v>597</v>
      </c>
      <c r="B772" t="s">
        <v>2952</v>
      </c>
      <c r="C772" t="s">
        <v>16</v>
      </c>
      <c r="D772" t="s">
        <v>26</v>
      </c>
      <c r="E772">
        <v>1253</v>
      </c>
      <c r="F772">
        <v>204.36</v>
      </c>
      <c r="G772">
        <v>174.99</v>
      </c>
      <c r="H772">
        <v>204.36</v>
      </c>
      <c r="I772">
        <v>609</v>
      </c>
      <c r="J772">
        <v>32</v>
      </c>
      <c r="K772" s="17">
        <f t="shared" si="97"/>
        <v>649.6</v>
      </c>
      <c r="L772" t="str">
        <f t="shared" si="98"/>
        <v>Sufficuent Stock</v>
      </c>
      <c r="P772" s="19">
        <f t="shared" si="99"/>
        <v>0</v>
      </c>
      <c r="R772" s="19">
        <f t="shared" si="96"/>
        <v>0</v>
      </c>
      <c r="T772" s="19">
        <f t="shared" si="100"/>
        <v>106568.91</v>
      </c>
      <c r="U772" s="19">
        <f t="shared" si="101"/>
        <v>124455.24</v>
      </c>
      <c r="V772" s="21">
        <f t="shared" si="102"/>
        <v>17886.330000000002</v>
      </c>
      <c r="W772" s="18">
        <f t="shared" si="103"/>
        <v>0.16783816218069605</v>
      </c>
    </row>
    <row r="773" spans="1:23" x14ac:dyDescent="0.3">
      <c r="A773" t="s">
        <v>1829</v>
      </c>
      <c r="B773" t="s">
        <v>2076</v>
      </c>
      <c r="C773" t="s">
        <v>50</v>
      </c>
      <c r="D773" t="s">
        <v>17</v>
      </c>
      <c r="E773">
        <v>1257</v>
      </c>
      <c r="F773">
        <v>223.53</v>
      </c>
      <c r="G773">
        <v>208.12</v>
      </c>
      <c r="H773">
        <v>223.53</v>
      </c>
      <c r="I773">
        <v>2644</v>
      </c>
      <c r="J773">
        <v>16</v>
      </c>
      <c r="K773" s="17">
        <f t="shared" si="97"/>
        <v>1410.1333333333334</v>
      </c>
      <c r="L773" t="str">
        <f t="shared" si="98"/>
        <v>High Risk</v>
      </c>
      <c r="P773" s="19">
        <f t="shared" si="99"/>
        <v>154</v>
      </c>
      <c r="R773" s="19">
        <f t="shared" si="96"/>
        <v>34423.620000000003</v>
      </c>
      <c r="T773" s="19">
        <f t="shared" si="100"/>
        <v>550269.28</v>
      </c>
      <c r="U773" s="19">
        <f t="shared" si="101"/>
        <v>591013.31999999995</v>
      </c>
      <c r="V773" s="21">
        <f t="shared" si="102"/>
        <v>40744.039999999921</v>
      </c>
      <c r="W773" s="18">
        <f t="shared" si="103"/>
        <v>7.4043820872573371E-2</v>
      </c>
    </row>
    <row r="774" spans="1:23" x14ac:dyDescent="0.3">
      <c r="A774" t="s">
        <v>92</v>
      </c>
      <c r="B774" t="s">
        <v>2393</v>
      </c>
      <c r="C774" t="s">
        <v>16</v>
      </c>
      <c r="D774" t="s">
        <v>69</v>
      </c>
      <c r="E774">
        <v>1258</v>
      </c>
      <c r="F774">
        <v>227.15</v>
      </c>
      <c r="G774">
        <v>224.73</v>
      </c>
      <c r="H774">
        <v>227.15</v>
      </c>
      <c r="I774">
        <v>1996</v>
      </c>
      <c r="J774">
        <v>33</v>
      </c>
      <c r="K774" s="17">
        <f t="shared" si="97"/>
        <v>2195.6</v>
      </c>
      <c r="L774" t="str">
        <f t="shared" si="98"/>
        <v>High Risk</v>
      </c>
      <c r="P774" s="19">
        <f t="shared" si="99"/>
        <v>938</v>
      </c>
      <c r="R774" s="19">
        <f t="shared" si="96"/>
        <v>213066.7</v>
      </c>
      <c r="T774" s="19">
        <f t="shared" si="100"/>
        <v>448561.07999999996</v>
      </c>
      <c r="U774" s="19">
        <f t="shared" si="101"/>
        <v>453391.4</v>
      </c>
      <c r="V774" s="21">
        <f t="shared" si="102"/>
        <v>4830.3200000000652</v>
      </c>
      <c r="W774" s="18">
        <f t="shared" si="103"/>
        <v>1.0768477728830298E-2</v>
      </c>
    </row>
    <row r="775" spans="1:23" x14ac:dyDescent="0.3">
      <c r="A775" t="s">
        <v>917</v>
      </c>
      <c r="B775" t="s">
        <v>918</v>
      </c>
      <c r="C775" t="s">
        <v>12</v>
      </c>
      <c r="D775" t="s">
        <v>17</v>
      </c>
      <c r="E775">
        <v>1258</v>
      </c>
      <c r="F775">
        <v>201.78</v>
      </c>
      <c r="G775">
        <v>172.48</v>
      </c>
      <c r="H775">
        <v>201.78</v>
      </c>
      <c r="I775">
        <v>1963</v>
      </c>
      <c r="J775">
        <v>14</v>
      </c>
      <c r="K775" s="17">
        <f t="shared" si="97"/>
        <v>916.06666666666672</v>
      </c>
      <c r="L775" t="str">
        <f t="shared" si="98"/>
        <v>Sufficuent Stock</v>
      </c>
      <c r="P775" s="19">
        <f t="shared" si="99"/>
        <v>0</v>
      </c>
      <c r="R775" s="19">
        <f t="shared" si="96"/>
        <v>0</v>
      </c>
      <c r="T775" s="19">
        <f t="shared" si="100"/>
        <v>338578.24</v>
      </c>
      <c r="U775" s="19">
        <f t="shared" si="101"/>
        <v>396094.14</v>
      </c>
      <c r="V775" s="21">
        <f t="shared" si="102"/>
        <v>57515.900000000023</v>
      </c>
      <c r="W775" s="18">
        <f t="shared" si="103"/>
        <v>0.16987476808905388</v>
      </c>
    </row>
    <row r="776" spans="1:23" x14ac:dyDescent="0.3">
      <c r="A776" t="s">
        <v>119</v>
      </c>
      <c r="B776" t="s">
        <v>2873</v>
      </c>
      <c r="C776" t="s">
        <v>16</v>
      </c>
      <c r="D776" t="s">
        <v>69</v>
      </c>
      <c r="E776">
        <v>1259</v>
      </c>
      <c r="F776">
        <v>229.81</v>
      </c>
      <c r="G776">
        <v>194.49</v>
      </c>
      <c r="H776">
        <v>229.81</v>
      </c>
      <c r="I776">
        <v>486</v>
      </c>
      <c r="J776">
        <v>33</v>
      </c>
      <c r="K776" s="17">
        <f t="shared" si="97"/>
        <v>534.6</v>
      </c>
      <c r="L776" t="str">
        <f t="shared" si="98"/>
        <v>Sufficuent Stock</v>
      </c>
      <c r="P776" s="19">
        <f t="shared" si="99"/>
        <v>0</v>
      </c>
      <c r="R776" s="19">
        <f t="shared" si="96"/>
        <v>0</v>
      </c>
      <c r="T776" s="19">
        <f t="shared" si="100"/>
        <v>94522.14</v>
      </c>
      <c r="U776" s="19">
        <f t="shared" si="101"/>
        <v>111687.66</v>
      </c>
      <c r="V776" s="21">
        <f t="shared" si="102"/>
        <v>17165.520000000004</v>
      </c>
      <c r="W776" s="18">
        <f t="shared" si="103"/>
        <v>0.18160316725795675</v>
      </c>
    </row>
    <row r="777" spans="1:23" x14ac:dyDescent="0.3">
      <c r="A777" t="s">
        <v>1153</v>
      </c>
      <c r="B777" t="s">
        <v>1766</v>
      </c>
      <c r="C777" t="s">
        <v>16</v>
      </c>
      <c r="D777" t="s">
        <v>69</v>
      </c>
      <c r="E777">
        <v>1262</v>
      </c>
      <c r="F777">
        <v>17.739999999999998</v>
      </c>
      <c r="G777">
        <v>16.48</v>
      </c>
      <c r="H777">
        <v>17.739999999999998</v>
      </c>
      <c r="I777">
        <v>344</v>
      </c>
      <c r="J777">
        <v>27</v>
      </c>
      <c r="K777" s="17">
        <f t="shared" si="97"/>
        <v>309.60000000000002</v>
      </c>
      <c r="L777" t="str">
        <f t="shared" si="98"/>
        <v>Sufficuent Stock</v>
      </c>
      <c r="P777" s="19">
        <f t="shared" si="99"/>
        <v>0</v>
      </c>
      <c r="R777" s="19">
        <f t="shared" si="96"/>
        <v>0</v>
      </c>
      <c r="T777" s="19">
        <f t="shared" si="100"/>
        <v>5669.12</v>
      </c>
      <c r="U777" s="19">
        <f t="shared" si="101"/>
        <v>6102.5599999999995</v>
      </c>
      <c r="V777" s="21">
        <f t="shared" si="102"/>
        <v>433.4399999999996</v>
      </c>
      <c r="W777" s="18">
        <f t="shared" si="103"/>
        <v>7.6456310679611575E-2</v>
      </c>
    </row>
    <row r="778" spans="1:23" x14ac:dyDescent="0.3">
      <c r="A778" t="s">
        <v>995</v>
      </c>
      <c r="B778" t="s">
        <v>2436</v>
      </c>
      <c r="C778" t="s">
        <v>37</v>
      </c>
      <c r="D778" t="s">
        <v>17</v>
      </c>
      <c r="E778">
        <v>1262</v>
      </c>
      <c r="F778">
        <v>401.12</v>
      </c>
      <c r="G778">
        <v>366.17</v>
      </c>
      <c r="H778">
        <v>401.12</v>
      </c>
      <c r="I778">
        <v>2221</v>
      </c>
      <c r="J778">
        <v>51</v>
      </c>
      <c r="K778" s="17">
        <f t="shared" si="97"/>
        <v>3775.7</v>
      </c>
      <c r="L778" t="str">
        <f t="shared" si="98"/>
        <v>High Risk</v>
      </c>
      <c r="P778" s="19">
        <f t="shared" si="99"/>
        <v>2514</v>
      </c>
      <c r="R778" s="19">
        <f t="shared" si="96"/>
        <v>1008415.68</v>
      </c>
      <c r="T778" s="19">
        <f t="shared" si="100"/>
        <v>813263.57000000007</v>
      </c>
      <c r="U778" s="19">
        <f t="shared" si="101"/>
        <v>890887.52</v>
      </c>
      <c r="V778" s="21">
        <f t="shared" si="102"/>
        <v>77623.949999999953</v>
      </c>
      <c r="W778" s="18">
        <f t="shared" si="103"/>
        <v>9.544746975448555E-2</v>
      </c>
    </row>
    <row r="779" spans="1:23" x14ac:dyDescent="0.3">
      <c r="A779" t="s">
        <v>723</v>
      </c>
      <c r="B779" t="s">
        <v>2331</v>
      </c>
      <c r="C779" t="s">
        <v>37</v>
      </c>
      <c r="D779" t="s">
        <v>20</v>
      </c>
      <c r="E779">
        <v>1262</v>
      </c>
      <c r="F779">
        <v>57.99</v>
      </c>
      <c r="G779">
        <v>60.48</v>
      </c>
      <c r="H779">
        <v>57.99</v>
      </c>
      <c r="I779">
        <v>2156</v>
      </c>
      <c r="J779">
        <v>47</v>
      </c>
      <c r="K779" s="17">
        <f t="shared" si="97"/>
        <v>3377.7333333333331</v>
      </c>
      <c r="L779" t="str">
        <f t="shared" si="98"/>
        <v>High Risk</v>
      </c>
      <c r="P779" s="19">
        <f t="shared" si="99"/>
        <v>2116</v>
      </c>
      <c r="R779" s="19">
        <f t="shared" si="96"/>
        <v>122706.84000000001</v>
      </c>
      <c r="T779" s="19">
        <f t="shared" si="100"/>
        <v>130394.87999999999</v>
      </c>
      <c r="U779" s="19">
        <f t="shared" si="101"/>
        <v>125026.44</v>
      </c>
      <c r="V779" s="21">
        <f t="shared" si="102"/>
        <v>-5368.4399999999878</v>
      </c>
      <c r="W779" s="18">
        <f t="shared" si="103"/>
        <v>-4.117063492063483E-2</v>
      </c>
    </row>
    <row r="780" spans="1:23" x14ac:dyDescent="0.3">
      <c r="A780" t="s">
        <v>72</v>
      </c>
      <c r="B780" t="s">
        <v>1008</v>
      </c>
      <c r="C780" t="s">
        <v>16</v>
      </c>
      <c r="D780" t="s">
        <v>17</v>
      </c>
      <c r="E780">
        <v>1265</v>
      </c>
      <c r="F780">
        <v>160.54</v>
      </c>
      <c r="G780">
        <v>178.05</v>
      </c>
      <c r="H780">
        <v>160.54</v>
      </c>
      <c r="I780">
        <v>3055</v>
      </c>
      <c r="J780">
        <v>84</v>
      </c>
      <c r="K780" s="17">
        <f t="shared" si="97"/>
        <v>8554</v>
      </c>
      <c r="L780" t="str">
        <f t="shared" si="98"/>
        <v>High Risk</v>
      </c>
      <c r="P780" s="19">
        <f t="shared" si="99"/>
        <v>7289</v>
      </c>
      <c r="R780" s="19">
        <f t="shared" si="96"/>
        <v>1170176.06</v>
      </c>
      <c r="T780" s="19">
        <f t="shared" si="100"/>
        <v>543942.75</v>
      </c>
      <c r="U780" s="19">
        <f t="shared" si="101"/>
        <v>490449.69999999995</v>
      </c>
      <c r="V780" s="21">
        <f t="shared" si="102"/>
        <v>-53493.050000000047</v>
      </c>
      <c r="W780" s="18">
        <f t="shared" si="103"/>
        <v>-9.8343162033136838E-2</v>
      </c>
    </row>
    <row r="781" spans="1:23" x14ac:dyDescent="0.3">
      <c r="A781" t="s">
        <v>57</v>
      </c>
      <c r="B781" t="s">
        <v>1452</v>
      </c>
      <c r="C781" t="s">
        <v>23</v>
      </c>
      <c r="D781" t="s">
        <v>13</v>
      </c>
      <c r="E781">
        <v>1267</v>
      </c>
      <c r="F781">
        <v>51.18</v>
      </c>
      <c r="G781">
        <v>51.95</v>
      </c>
      <c r="H781">
        <v>51.18</v>
      </c>
      <c r="I781">
        <v>2162</v>
      </c>
      <c r="J781">
        <v>43</v>
      </c>
      <c r="K781" s="17">
        <f t="shared" si="97"/>
        <v>3098.8666666666663</v>
      </c>
      <c r="L781" t="str">
        <f t="shared" si="98"/>
        <v>High Risk</v>
      </c>
      <c r="P781" s="19">
        <f t="shared" si="99"/>
        <v>1832</v>
      </c>
      <c r="R781" s="19">
        <f t="shared" si="96"/>
        <v>93761.76</v>
      </c>
      <c r="T781" s="19">
        <f t="shared" si="100"/>
        <v>112315.90000000001</v>
      </c>
      <c r="U781" s="19">
        <f t="shared" si="101"/>
        <v>110651.16</v>
      </c>
      <c r="V781" s="21">
        <f t="shared" si="102"/>
        <v>-1664.7400000000052</v>
      </c>
      <c r="W781" s="18">
        <f t="shared" si="103"/>
        <v>-1.4821944177093404E-2</v>
      </c>
    </row>
    <row r="782" spans="1:23" x14ac:dyDescent="0.3">
      <c r="A782" t="s">
        <v>186</v>
      </c>
      <c r="B782" t="s">
        <v>1928</v>
      </c>
      <c r="C782" t="s">
        <v>37</v>
      </c>
      <c r="D782" t="s">
        <v>13</v>
      </c>
      <c r="E782">
        <v>1270</v>
      </c>
      <c r="F782">
        <v>159.66</v>
      </c>
      <c r="G782">
        <v>156.76</v>
      </c>
      <c r="H782">
        <v>159.66</v>
      </c>
      <c r="I782">
        <v>2683</v>
      </c>
      <c r="J782">
        <v>79</v>
      </c>
      <c r="K782" s="17">
        <f t="shared" si="97"/>
        <v>7065.2333333333336</v>
      </c>
      <c r="L782" t="str">
        <f t="shared" si="98"/>
        <v>High Risk</v>
      </c>
      <c r="P782" s="19">
        <f t="shared" si="99"/>
        <v>5796</v>
      </c>
      <c r="R782" s="19">
        <f t="shared" si="96"/>
        <v>925389.36</v>
      </c>
      <c r="T782" s="19">
        <f t="shared" si="100"/>
        <v>420587.07999999996</v>
      </c>
      <c r="U782" s="19">
        <f t="shared" si="101"/>
        <v>428367.77999999997</v>
      </c>
      <c r="V782" s="21">
        <f t="shared" si="102"/>
        <v>7780.7000000000116</v>
      </c>
      <c r="W782" s="18">
        <f t="shared" si="103"/>
        <v>1.8499617249298321E-2</v>
      </c>
    </row>
    <row r="783" spans="1:23" x14ac:dyDescent="0.3">
      <c r="A783" t="s">
        <v>57</v>
      </c>
      <c r="B783" t="s">
        <v>1610</v>
      </c>
      <c r="C783" t="s">
        <v>16</v>
      </c>
      <c r="D783" t="s">
        <v>20</v>
      </c>
      <c r="E783">
        <v>1270</v>
      </c>
      <c r="F783">
        <v>412.26</v>
      </c>
      <c r="G783">
        <v>394.76</v>
      </c>
      <c r="H783">
        <v>412.26</v>
      </c>
      <c r="I783">
        <v>3088</v>
      </c>
      <c r="J783">
        <v>65</v>
      </c>
      <c r="K783" s="17">
        <f t="shared" si="97"/>
        <v>6690.666666666667</v>
      </c>
      <c r="L783" t="str">
        <f t="shared" si="98"/>
        <v>High Risk</v>
      </c>
      <c r="P783" s="19">
        <f t="shared" si="99"/>
        <v>5421</v>
      </c>
      <c r="R783" s="19">
        <f t="shared" si="96"/>
        <v>2234861.46</v>
      </c>
      <c r="T783" s="19">
        <f t="shared" si="100"/>
        <v>1219018.8799999999</v>
      </c>
      <c r="U783" s="19">
        <f t="shared" si="101"/>
        <v>1273058.8799999999</v>
      </c>
      <c r="V783" s="21">
        <f t="shared" si="102"/>
        <v>54040</v>
      </c>
      <c r="W783" s="18">
        <f t="shared" si="103"/>
        <v>4.4330732597020979E-2</v>
      </c>
    </row>
    <row r="784" spans="1:23" x14ac:dyDescent="0.3">
      <c r="A784" t="s">
        <v>145</v>
      </c>
      <c r="B784" t="s">
        <v>691</v>
      </c>
      <c r="C784" t="s">
        <v>16</v>
      </c>
      <c r="D784" t="s">
        <v>26</v>
      </c>
      <c r="E784">
        <v>1273</v>
      </c>
      <c r="F784">
        <v>107.61</v>
      </c>
      <c r="G784">
        <v>96.96</v>
      </c>
      <c r="H784">
        <v>107.61</v>
      </c>
      <c r="I784">
        <v>928</v>
      </c>
      <c r="J784">
        <v>36</v>
      </c>
      <c r="K784" s="17">
        <f t="shared" si="97"/>
        <v>1113.5999999999999</v>
      </c>
      <c r="L784" t="str">
        <f t="shared" si="98"/>
        <v>Sufficuent Stock</v>
      </c>
      <c r="P784" s="19">
        <f t="shared" si="99"/>
        <v>0</v>
      </c>
      <c r="R784" s="19">
        <f t="shared" si="96"/>
        <v>0</v>
      </c>
      <c r="T784" s="19">
        <f t="shared" si="100"/>
        <v>89978.87999999999</v>
      </c>
      <c r="U784" s="19">
        <f t="shared" si="101"/>
        <v>99862.080000000002</v>
      </c>
      <c r="V784" s="21">
        <f t="shared" si="102"/>
        <v>9883.2000000000116</v>
      </c>
      <c r="W784" s="18">
        <f t="shared" si="103"/>
        <v>0.10983910891089123</v>
      </c>
    </row>
    <row r="785" spans="1:23" x14ac:dyDescent="0.3">
      <c r="A785" t="s">
        <v>995</v>
      </c>
      <c r="B785" t="s">
        <v>1856</v>
      </c>
      <c r="C785" t="s">
        <v>23</v>
      </c>
      <c r="D785" t="s">
        <v>17</v>
      </c>
      <c r="E785">
        <v>1274</v>
      </c>
      <c r="F785">
        <v>298.95999999999998</v>
      </c>
      <c r="G785">
        <v>264.52999999999997</v>
      </c>
      <c r="H785">
        <v>298.95999999999998</v>
      </c>
      <c r="I785">
        <v>1524</v>
      </c>
      <c r="J785">
        <v>16</v>
      </c>
      <c r="K785" s="17">
        <f t="shared" si="97"/>
        <v>812.8</v>
      </c>
      <c r="L785" t="str">
        <f t="shared" si="98"/>
        <v>Sufficuent Stock</v>
      </c>
      <c r="P785" s="19">
        <f t="shared" si="99"/>
        <v>0</v>
      </c>
      <c r="R785" s="19">
        <f t="shared" si="96"/>
        <v>0</v>
      </c>
      <c r="T785" s="19">
        <f t="shared" si="100"/>
        <v>403143.72</v>
      </c>
      <c r="U785" s="19">
        <f t="shared" si="101"/>
        <v>455615.04</v>
      </c>
      <c r="V785" s="21">
        <f t="shared" si="102"/>
        <v>52471.320000000007</v>
      </c>
      <c r="W785" s="18">
        <f t="shared" si="103"/>
        <v>0.13015536990133447</v>
      </c>
    </row>
    <row r="786" spans="1:23" x14ac:dyDescent="0.3">
      <c r="A786" t="s">
        <v>1211</v>
      </c>
      <c r="B786" t="s">
        <v>2029</v>
      </c>
      <c r="C786" t="s">
        <v>16</v>
      </c>
      <c r="D786" t="s">
        <v>20</v>
      </c>
      <c r="E786">
        <v>1275</v>
      </c>
      <c r="F786">
        <v>171.83</v>
      </c>
      <c r="G786">
        <v>175.09</v>
      </c>
      <c r="H786">
        <v>171.83</v>
      </c>
      <c r="I786">
        <v>161</v>
      </c>
      <c r="J786">
        <v>27</v>
      </c>
      <c r="K786" s="17">
        <f t="shared" si="97"/>
        <v>144.89999999999998</v>
      </c>
      <c r="L786" t="str">
        <f t="shared" si="98"/>
        <v>Sufficuent Stock</v>
      </c>
      <c r="P786" s="19">
        <f t="shared" si="99"/>
        <v>0</v>
      </c>
      <c r="R786" s="19">
        <f t="shared" si="96"/>
        <v>0</v>
      </c>
      <c r="T786" s="19">
        <f t="shared" si="100"/>
        <v>28189.49</v>
      </c>
      <c r="U786" s="19">
        <f t="shared" si="101"/>
        <v>27664.63</v>
      </c>
      <c r="V786" s="21">
        <f t="shared" si="102"/>
        <v>-524.86000000000058</v>
      </c>
      <c r="W786" s="18">
        <f t="shared" si="103"/>
        <v>-1.861899594494262E-2</v>
      </c>
    </row>
    <row r="787" spans="1:23" x14ac:dyDescent="0.3">
      <c r="A787" t="s">
        <v>273</v>
      </c>
      <c r="B787" t="s">
        <v>2872</v>
      </c>
      <c r="C787" t="s">
        <v>37</v>
      </c>
      <c r="D787" t="s">
        <v>13</v>
      </c>
      <c r="E787">
        <v>1277</v>
      </c>
      <c r="F787">
        <v>379.85</v>
      </c>
      <c r="G787">
        <v>343.3</v>
      </c>
      <c r="H787">
        <v>379.85</v>
      </c>
      <c r="I787">
        <v>801</v>
      </c>
      <c r="J787">
        <v>84</v>
      </c>
      <c r="K787" s="17">
        <f t="shared" si="97"/>
        <v>2242.7999999999997</v>
      </c>
      <c r="L787" t="str">
        <f t="shared" si="98"/>
        <v>High Risk</v>
      </c>
      <c r="P787" s="19">
        <f t="shared" si="99"/>
        <v>966</v>
      </c>
      <c r="R787" s="19">
        <f t="shared" si="96"/>
        <v>366935.10000000003</v>
      </c>
      <c r="T787" s="19">
        <f t="shared" si="100"/>
        <v>274983.3</v>
      </c>
      <c r="U787" s="19">
        <f t="shared" si="101"/>
        <v>304259.85000000003</v>
      </c>
      <c r="V787" s="21">
        <f t="shared" si="102"/>
        <v>29276.550000000047</v>
      </c>
      <c r="W787" s="18">
        <f t="shared" si="103"/>
        <v>0.10646664724730574</v>
      </c>
    </row>
    <row r="788" spans="1:23" x14ac:dyDescent="0.3">
      <c r="A788" t="s">
        <v>940</v>
      </c>
      <c r="B788" t="s">
        <v>2231</v>
      </c>
      <c r="C788" t="s">
        <v>37</v>
      </c>
      <c r="D788" t="s">
        <v>69</v>
      </c>
      <c r="E788">
        <v>1281</v>
      </c>
      <c r="F788">
        <v>161.56</v>
      </c>
      <c r="G788">
        <v>149.18</v>
      </c>
      <c r="H788">
        <v>161.56</v>
      </c>
      <c r="I788">
        <v>2159</v>
      </c>
      <c r="J788">
        <v>41</v>
      </c>
      <c r="K788" s="17">
        <f t="shared" si="97"/>
        <v>2950.6333333333332</v>
      </c>
      <c r="L788" t="str">
        <f t="shared" si="98"/>
        <v>High Risk</v>
      </c>
      <c r="P788" s="19">
        <f t="shared" si="99"/>
        <v>1670</v>
      </c>
      <c r="R788" s="19">
        <f t="shared" si="96"/>
        <v>269805.2</v>
      </c>
      <c r="T788" s="19">
        <f t="shared" si="100"/>
        <v>322079.62</v>
      </c>
      <c r="U788" s="19">
        <f t="shared" si="101"/>
        <v>348808.04</v>
      </c>
      <c r="V788" s="21">
        <f t="shared" si="102"/>
        <v>26728.419999999984</v>
      </c>
      <c r="W788" s="18">
        <f t="shared" si="103"/>
        <v>8.2986995575814404E-2</v>
      </c>
    </row>
    <row r="789" spans="1:23" x14ac:dyDescent="0.3">
      <c r="A789" t="s">
        <v>612</v>
      </c>
      <c r="B789" t="s">
        <v>1428</v>
      </c>
      <c r="C789" t="s">
        <v>16</v>
      </c>
      <c r="D789" t="s">
        <v>20</v>
      </c>
      <c r="E789">
        <v>1281</v>
      </c>
      <c r="F789">
        <v>62.44</v>
      </c>
      <c r="G789">
        <v>52.76</v>
      </c>
      <c r="H789">
        <v>62.44</v>
      </c>
      <c r="I789">
        <v>2414</v>
      </c>
      <c r="J789">
        <v>49</v>
      </c>
      <c r="K789" s="17">
        <f t="shared" si="97"/>
        <v>3942.8666666666668</v>
      </c>
      <c r="L789" t="str">
        <f t="shared" si="98"/>
        <v>High Risk</v>
      </c>
      <c r="P789" s="19">
        <f t="shared" si="99"/>
        <v>2662</v>
      </c>
      <c r="R789" s="19">
        <f t="shared" si="96"/>
        <v>166215.28</v>
      </c>
      <c r="T789" s="19">
        <f t="shared" si="100"/>
        <v>127362.64</v>
      </c>
      <c r="U789" s="19">
        <f t="shared" si="101"/>
        <v>150730.16</v>
      </c>
      <c r="V789" s="21">
        <f t="shared" si="102"/>
        <v>23367.520000000004</v>
      </c>
      <c r="W789" s="18">
        <f t="shared" si="103"/>
        <v>0.18347232752084916</v>
      </c>
    </row>
    <row r="790" spans="1:23" x14ac:dyDescent="0.3">
      <c r="A790" t="s">
        <v>552</v>
      </c>
      <c r="B790" t="s">
        <v>680</v>
      </c>
      <c r="C790" t="s">
        <v>37</v>
      </c>
      <c r="D790" t="s">
        <v>17</v>
      </c>
      <c r="E790">
        <v>1282</v>
      </c>
      <c r="F790">
        <v>119.39</v>
      </c>
      <c r="G790">
        <v>106.42</v>
      </c>
      <c r="H790">
        <v>119.39</v>
      </c>
      <c r="I790">
        <v>3088</v>
      </c>
      <c r="J790">
        <v>73</v>
      </c>
      <c r="K790" s="17">
        <f t="shared" si="97"/>
        <v>7514.1333333333332</v>
      </c>
      <c r="L790" t="str">
        <f t="shared" si="98"/>
        <v>High Risk</v>
      </c>
      <c r="P790" s="19">
        <f t="shared" si="99"/>
        <v>6233</v>
      </c>
      <c r="R790" s="19">
        <f t="shared" si="96"/>
        <v>744157.87</v>
      </c>
      <c r="T790" s="19">
        <f t="shared" si="100"/>
        <v>328624.96000000002</v>
      </c>
      <c r="U790" s="19">
        <f t="shared" si="101"/>
        <v>368676.32</v>
      </c>
      <c r="V790" s="21">
        <f t="shared" si="102"/>
        <v>40051.359999999986</v>
      </c>
      <c r="W790" s="18">
        <f t="shared" si="103"/>
        <v>0.12187558729562108</v>
      </c>
    </row>
    <row r="791" spans="1:23" x14ac:dyDescent="0.3">
      <c r="A791" t="s">
        <v>1096</v>
      </c>
      <c r="B791" t="s">
        <v>1123</v>
      </c>
      <c r="C791" t="s">
        <v>12</v>
      </c>
      <c r="D791" t="s">
        <v>17</v>
      </c>
      <c r="E791">
        <v>1283</v>
      </c>
      <c r="F791">
        <v>559.51</v>
      </c>
      <c r="G791">
        <v>484.22</v>
      </c>
      <c r="H791">
        <v>559.51</v>
      </c>
      <c r="I791">
        <v>213</v>
      </c>
      <c r="J791">
        <v>32</v>
      </c>
      <c r="K791" s="17">
        <f t="shared" si="97"/>
        <v>227.2</v>
      </c>
      <c r="L791" t="str">
        <f t="shared" si="98"/>
        <v>Sufficuent Stock</v>
      </c>
      <c r="P791" s="19">
        <f t="shared" si="99"/>
        <v>0</v>
      </c>
      <c r="R791" s="19">
        <f t="shared" si="96"/>
        <v>0</v>
      </c>
      <c r="T791" s="19">
        <f t="shared" si="100"/>
        <v>103138.86</v>
      </c>
      <c r="U791" s="19">
        <f t="shared" si="101"/>
        <v>119175.63</v>
      </c>
      <c r="V791" s="21">
        <f t="shared" si="102"/>
        <v>16036.770000000004</v>
      </c>
      <c r="W791" s="18">
        <f t="shared" si="103"/>
        <v>0.15548717525091904</v>
      </c>
    </row>
    <row r="792" spans="1:23" x14ac:dyDescent="0.3">
      <c r="A792" t="s">
        <v>290</v>
      </c>
      <c r="B792" t="s">
        <v>1758</v>
      </c>
      <c r="C792" t="s">
        <v>12</v>
      </c>
      <c r="D792" t="s">
        <v>69</v>
      </c>
      <c r="E792">
        <v>1283</v>
      </c>
      <c r="F792">
        <v>497.19</v>
      </c>
      <c r="G792">
        <v>455.57</v>
      </c>
      <c r="H792">
        <v>497.19</v>
      </c>
      <c r="I792">
        <v>2244</v>
      </c>
      <c r="J792">
        <v>29</v>
      </c>
      <c r="K792" s="17">
        <f t="shared" si="97"/>
        <v>2169.1999999999998</v>
      </c>
      <c r="L792" t="str">
        <f t="shared" si="98"/>
        <v>High Risk</v>
      </c>
      <c r="P792" s="19">
        <f t="shared" si="99"/>
        <v>887</v>
      </c>
      <c r="R792" s="19">
        <f t="shared" si="96"/>
        <v>441007.52999999997</v>
      </c>
      <c r="T792" s="19">
        <f t="shared" si="100"/>
        <v>1022299.08</v>
      </c>
      <c r="U792" s="19">
        <f t="shared" si="101"/>
        <v>1115694.3600000001</v>
      </c>
      <c r="V792" s="21">
        <f t="shared" si="102"/>
        <v>93395.280000000144</v>
      </c>
      <c r="W792" s="18">
        <f t="shared" si="103"/>
        <v>9.1358078890181674E-2</v>
      </c>
    </row>
    <row r="793" spans="1:23" x14ac:dyDescent="0.3">
      <c r="A793" t="s">
        <v>29</v>
      </c>
      <c r="B793" t="s">
        <v>3184</v>
      </c>
      <c r="C793" t="s">
        <v>37</v>
      </c>
      <c r="D793" t="s">
        <v>20</v>
      </c>
      <c r="E793">
        <v>1283</v>
      </c>
      <c r="F793">
        <v>453.37</v>
      </c>
      <c r="G793">
        <v>450.63</v>
      </c>
      <c r="H793">
        <v>453.37</v>
      </c>
      <c r="I793">
        <v>1335</v>
      </c>
      <c r="J793">
        <v>56</v>
      </c>
      <c r="K793" s="17">
        <f t="shared" si="97"/>
        <v>2492</v>
      </c>
      <c r="L793" t="str">
        <f t="shared" si="98"/>
        <v>High Risk</v>
      </c>
      <c r="P793" s="19">
        <f t="shared" si="99"/>
        <v>1209</v>
      </c>
      <c r="R793" s="19">
        <f t="shared" si="96"/>
        <v>548124.32999999996</v>
      </c>
      <c r="T793" s="19">
        <f t="shared" si="100"/>
        <v>601591.05000000005</v>
      </c>
      <c r="U793" s="19">
        <f t="shared" si="101"/>
        <v>605248.94999999995</v>
      </c>
      <c r="V793" s="21">
        <f t="shared" si="102"/>
        <v>3657.8999999999069</v>
      </c>
      <c r="W793" s="18">
        <f t="shared" si="103"/>
        <v>6.0803763619819585E-3</v>
      </c>
    </row>
    <row r="794" spans="1:23" x14ac:dyDescent="0.3">
      <c r="A794" t="s">
        <v>197</v>
      </c>
      <c r="B794" t="s">
        <v>1670</v>
      </c>
      <c r="C794" t="s">
        <v>12</v>
      </c>
      <c r="D794" t="s">
        <v>69</v>
      </c>
      <c r="E794">
        <v>1284</v>
      </c>
      <c r="F794">
        <v>62.93</v>
      </c>
      <c r="G794">
        <v>54.14</v>
      </c>
      <c r="H794">
        <v>62.93</v>
      </c>
      <c r="I794">
        <v>1521</v>
      </c>
      <c r="J794">
        <v>17</v>
      </c>
      <c r="K794" s="17">
        <f t="shared" si="97"/>
        <v>861.90000000000009</v>
      </c>
      <c r="L794" t="str">
        <f t="shared" si="98"/>
        <v>Sufficuent Stock</v>
      </c>
      <c r="P794" s="19">
        <f t="shared" si="99"/>
        <v>0</v>
      </c>
      <c r="R794" s="19">
        <f t="shared" si="96"/>
        <v>0</v>
      </c>
      <c r="T794" s="19">
        <f t="shared" si="100"/>
        <v>82346.94</v>
      </c>
      <c r="U794" s="19">
        <f t="shared" si="101"/>
        <v>95716.53</v>
      </c>
      <c r="V794" s="21">
        <f t="shared" si="102"/>
        <v>13369.589999999997</v>
      </c>
      <c r="W794" s="18">
        <f t="shared" si="103"/>
        <v>0.16235685260435903</v>
      </c>
    </row>
    <row r="795" spans="1:23" x14ac:dyDescent="0.3">
      <c r="A795" t="s">
        <v>618</v>
      </c>
      <c r="B795" t="s">
        <v>1857</v>
      </c>
      <c r="C795" t="s">
        <v>23</v>
      </c>
      <c r="D795" t="s">
        <v>13</v>
      </c>
      <c r="E795">
        <v>1286</v>
      </c>
      <c r="F795">
        <v>38.049999999999997</v>
      </c>
      <c r="G795">
        <v>37.5</v>
      </c>
      <c r="H795">
        <v>38.049999999999997</v>
      </c>
      <c r="I795">
        <v>3682</v>
      </c>
      <c r="J795">
        <v>23</v>
      </c>
      <c r="K795" s="17">
        <f t="shared" si="97"/>
        <v>2822.8666666666668</v>
      </c>
      <c r="L795" t="str">
        <f t="shared" si="98"/>
        <v>High Risk</v>
      </c>
      <c r="P795" s="19">
        <f t="shared" si="99"/>
        <v>1537</v>
      </c>
      <c r="R795" s="19">
        <f t="shared" si="96"/>
        <v>58482.85</v>
      </c>
      <c r="T795" s="19">
        <f t="shared" si="100"/>
        <v>138075</v>
      </c>
      <c r="U795" s="19">
        <f t="shared" si="101"/>
        <v>140100.09999999998</v>
      </c>
      <c r="V795" s="21">
        <f t="shared" si="102"/>
        <v>2025.0999999999767</v>
      </c>
      <c r="W795" s="18">
        <f t="shared" si="103"/>
        <v>1.4666666666666498E-2</v>
      </c>
    </row>
    <row r="796" spans="1:23" x14ac:dyDescent="0.3">
      <c r="A796" t="s">
        <v>477</v>
      </c>
      <c r="B796" t="s">
        <v>2368</v>
      </c>
      <c r="C796" t="s">
        <v>23</v>
      </c>
      <c r="D796" t="s">
        <v>26</v>
      </c>
      <c r="E796">
        <v>1287</v>
      </c>
      <c r="F796">
        <v>109.97</v>
      </c>
      <c r="G796">
        <v>114.7</v>
      </c>
      <c r="H796">
        <v>109.97</v>
      </c>
      <c r="I796">
        <v>1176</v>
      </c>
      <c r="J796">
        <v>82</v>
      </c>
      <c r="K796" s="17">
        <f t="shared" si="97"/>
        <v>3214.4</v>
      </c>
      <c r="L796" t="str">
        <f t="shared" si="98"/>
        <v>High Risk</v>
      </c>
      <c r="P796" s="19">
        <f t="shared" si="99"/>
        <v>1928</v>
      </c>
      <c r="R796" s="19">
        <f t="shared" si="96"/>
        <v>212022.16</v>
      </c>
      <c r="T796" s="19">
        <f t="shared" si="100"/>
        <v>134887.20000000001</v>
      </c>
      <c r="U796" s="19">
        <f t="shared" si="101"/>
        <v>129324.72</v>
      </c>
      <c r="V796" s="21">
        <f t="shared" si="102"/>
        <v>-5562.4800000000105</v>
      </c>
      <c r="W796" s="18">
        <f t="shared" si="103"/>
        <v>-4.1238012205754217E-2</v>
      </c>
    </row>
    <row r="797" spans="1:23" x14ac:dyDescent="0.3">
      <c r="A797" t="s">
        <v>917</v>
      </c>
      <c r="B797" t="s">
        <v>3257</v>
      </c>
      <c r="C797" t="s">
        <v>37</v>
      </c>
      <c r="D797" t="s">
        <v>26</v>
      </c>
      <c r="E797">
        <v>1291</v>
      </c>
      <c r="F797">
        <v>315.31</v>
      </c>
      <c r="G797">
        <v>313.61</v>
      </c>
      <c r="H797">
        <v>315.31</v>
      </c>
      <c r="I797">
        <v>740</v>
      </c>
      <c r="J797">
        <v>32</v>
      </c>
      <c r="K797" s="17">
        <f t="shared" si="97"/>
        <v>789.33333333333337</v>
      </c>
      <c r="L797" t="str">
        <f t="shared" si="98"/>
        <v>Sufficuent Stock</v>
      </c>
      <c r="P797" s="19">
        <f t="shared" si="99"/>
        <v>0</v>
      </c>
      <c r="R797" s="19">
        <f t="shared" si="96"/>
        <v>0</v>
      </c>
      <c r="T797" s="19">
        <f t="shared" si="100"/>
        <v>232071.40000000002</v>
      </c>
      <c r="U797" s="19">
        <f t="shared" si="101"/>
        <v>233329.4</v>
      </c>
      <c r="V797" s="21">
        <f t="shared" si="102"/>
        <v>1257.9999999999709</v>
      </c>
      <c r="W797" s="18">
        <f t="shared" si="103"/>
        <v>5.4207455119414574E-3</v>
      </c>
    </row>
    <row r="798" spans="1:23" x14ac:dyDescent="0.3">
      <c r="A798" t="s">
        <v>31</v>
      </c>
      <c r="B798" t="s">
        <v>1690</v>
      </c>
      <c r="C798" t="s">
        <v>12</v>
      </c>
      <c r="D798" t="s">
        <v>26</v>
      </c>
      <c r="E798">
        <v>1294</v>
      </c>
      <c r="F798">
        <v>442</v>
      </c>
      <c r="G798">
        <v>433.39</v>
      </c>
      <c r="H798">
        <v>442</v>
      </c>
      <c r="I798">
        <v>2224</v>
      </c>
      <c r="J798">
        <v>14</v>
      </c>
      <c r="K798" s="17">
        <f t="shared" si="97"/>
        <v>1037.8666666666668</v>
      </c>
      <c r="L798" t="str">
        <f t="shared" si="98"/>
        <v>Sufficuent Stock</v>
      </c>
      <c r="P798" s="19">
        <f t="shared" si="99"/>
        <v>0</v>
      </c>
      <c r="R798" s="19">
        <f t="shared" si="96"/>
        <v>0</v>
      </c>
      <c r="T798" s="19">
        <f t="shared" si="100"/>
        <v>963859.36</v>
      </c>
      <c r="U798" s="19">
        <f t="shared" si="101"/>
        <v>983008</v>
      </c>
      <c r="V798" s="21">
        <f t="shared" si="102"/>
        <v>19148.640000000014</v>
      </c>
      <c r="W798" s="18">
        <f t="shared" si="103"/>
        <v>1.9866632824938293E-2</v>
      </c>
    </row>
    <row r="799" spans="1:23" x14ac:dyDescent="0.3">
      <c r="A799" t="s">
        <v>249</v>
      </c>
      <c r="B799" t="s">
        <v>2919</v>
      </c>
      <c r="C799" t="s">
        <v>12</v>
      </c>
      <c r="D799" t="s">
        <v>20</v>
      </c>
      <c r="E799">
        <v>1296</v>
      </c>
      <c r="F799">
        <v>304.43</v>
      </c>
      <c r="G799">
        <v>323.3</v>
      </c>
      <c r="H799">
        <v>304.43</v>
      </c>
      <c r="I799">
        <v>857</v>
      </c>
      <c r="J799">
        <v>50</v>
      </c>
      <c r="K799" s="17">
        <f t="shared" si="97"/>
        <v>1428.3333333333333</v>
      </c>
      <c r="L799" t="str">
        <f t="shared" si="98"/>
        <v>High Risk</v>
      </c>
      <c r="P799" s="19">
        <f t="shared" si="99"/>
        <v>133</v>
      </c>
      <c r="R799" s="19">
        <f t="shared" si="96"/>
        <v>40489.19</v>
      </c>
      <c r="T799" s="19">
        <f t="shared" si="100"/>
        <v>277068.10000000003</v>
      </c>
      <c r="U799" s="19">
        <f t="shared" si="101"/>
        <v>260896.51</v>
      </c>
      <c r="V799" s="21">
        <f t="shared" si="102"/>
        <v>-16171.590000000026</v>
      </c>
      <c r="W799" s="18">
        <f t="shared" si="103"/>
        <v>-5.8366841942468384E-2</v>
      </c>
    </row>
    <row r="800" spans="1:23" x14ac:dyDescent="0.3">
      <c r="A800" t="s">
        <v>173</v>
      </c>
      <c r="B800" t="s">
        <v>999</v>
      </c>
      <c r="C800" t="s">
        <v>23</v>
      </c>
      <c r="D800" t="s">
        <v>20</v>
      </c>
      <c r="E800">
        <v>1297</v>
      </c>
      <c r="F800">
        <v>43.89</v>
      </c>
      <c r="G800">
        <v>42.2</v>
      </c>
      <c r="H800">
        <v>43.89</v>
      </c>
      <c r="I800">
        <v>487</v>
      </c>
      <c r="J800">
        <v>48</v>
      </c>
      <c r="K800" s="17">
        <f t="shared" si="97"/>
        <v>779.2</v>
      </c>
      <c r="L800" t="str">
        <f t="shared" si="98"/>
        <v>Sufficuent Stock</v>
      </c>
      <c r="P800" s="19">
        <f t="shared" si="99"/>
        <v>0</v>
      </c>
      <c r="R800" s="19">
        <f t="shared" si="96"/>
        <v>0</v>
      </c>
      <c r="T800" s="19">
        <f t="shared" si="100"/>
        <v>20551.400000000001</v>
      </c>
      <c r="U800" s="19">
        <f t="shared" si="101"/>
        <v>21374.43</v>
      </c>
      <c r="V800" s="21">
        <f t="shared" si="102"/>
        <v>823.02999999999884</v>
      </c>
      <c r="W800" s="18">
        <f t="shared" si="103"/>
        <v>4.0047393364928852E-2</v>
      </c>
    </row>
    <row r="801" spans="1:23" x14ac:dyDescent="0.3">
      <c r="A801" t="s">
        <v>872</v>
      </c>
      <c r="B801" t="s">
        <v>1474</v>
      </c>
      <c r="C801" t="s">
        <v>16</v>
      </c>
      <c r="D801" t="s">
        <v>26</v>
      </c>
      <c r="E801">
        <v>1298</v>
      </c>
      <c r="F801">
        <v>104.4</v>
      </c>
      <c r="G801">
        <v>94.06</v>
      </c>
      <c r="H801">
        <v>104.4</v>
      </c>
      <c r="I801">
        <v>2176</v>
      </c>
      <c r="J801">
        <v>49</v>
      </c>
      <c r="K801" s="17">
        <f t="shared" si="97"/>
        <v>3554.1333333333332</v>
      </c>
      <c r="L801" t="str">
        <f t="shared" si="98"/>
        <v>High Risk</v>
      </c>
      <c r="P801" s="19">
        <f t="shared" si="99"/>
        <v>2257</v>
      </c>
      <c r="R801" s="19">
        <f t="shared" si="96"/>
        <v>235630.80000000002</v>
      </c>
      <c r="T801" s="19">
        <f t="shared" si="100"/>
        <v>204674.56</v>
      </c>
      <c r="U801" s="19">
        <f t="shared" si="101"/>
        <v>227174.40000000002</v>
      </c>
      <c r="V801" s="21">
        <f t="shared" si="102"/>
        <v>22499.840000000026</v>
      </c>
      <c r="W801" s="18">
        <f t="shared" si="103"/>
        <v>0.10992983202211368</v>
      </c>
    </row>
    <row r="802" spans="1:23" x14ac:dyDescent="0.3">
      <c r="A802" t="s">
        <v>782</v>
      </c>
      <c r="B802" t="s">
        <v>2314</v>
      </c>
      <c r="C802" t="s">
        <v>12</v>
      </c>
      <c r="D802" t="s">
        <v>69</v>
      </c>
      <c r="E802">
        <v>1299</v>
      </c>
      <c r="F802">
        <v>295.51</v>
      </c>
      <c r="G802">
        <v>270.24</v>
      </c>
      <c r="H802">
        <v>295.51</v>
      </c>
      <c r="I802">
        <v>3773</v>
      </c>
      <c r="J802">
        <v>16</v>
      </c>
      <c r="K802" s="17">
        <f t="shared" si="97"/>
        <v>2012.2666666666667</v>
      </c>
      <c r="L802" t="str">
        <f t="shared" si="98"/>
        <v>High Risk</v>
      </c>
      <c r="P802" s="19">
        <f t="shared" si="99"/>
        <v>714</v>
      </c>
      <c r="R802" s="19">
        <f t="shared" si="96"/>
        <v>210994.13999999998</v>
      </c>
      <c r="T802" s="19">
        <f t="shared" si="100"/>
        <v>1019615.52</v>
      </c>
      <c r="U802" s="19">
        <f t="shared" si="101"/>
        <v>1114959.23</v>
      </c>
      <c r="V802" s="21">
        <f t="shared" si="102"/>
        <v>95343.709999999963</v>
      </c>
      <c r="W802" s="18">
        <f t="shared" si="103"/>
        <v>9.3509473060982798E-2</v>
      </c>
    </row>
    <row r="803" spans="1:23" x14ac:dyDescent="0.3">
      <c r="A803" t="s">
        <v>618</v>
      </c>
      <c r="B803" t="s">
        <v>1983</v>
      </c>
      <c r="C803" t="s">
        <v>23</v>
      </c>
      <c r="D803" t="s">
        <v>17</v>
      </c>
      <c r="E803">
        <v>1302</v>
      </c>
      <c r="F803">
        <v>66.55</v>
      </c>
      <c r="G803">
        <v>68.569999999999993</v>
      </c>
      <c r="H803">
        <v>66.55</v>
      </c>
      <c r="I803">
        <v>3597</v>
      </c>
      <c r="J803">
        <v>79</v>
      </c>
      <c r="K803" s="17">
        <f t="shared" si="97"/>
        <v>9472.1</v>
      </c>
      <c r="L803" t="str">
        <f t="shared" si="98"/>
        <v>High Risk</v>
      </c>
      <c r="P803" s="19">
        <f t="shared" si="99"/>
        <v>8171</v>
      </c>
      <c r="R803" s="19">
        <f t="shared" si="96"/>
        <v>543780.04999999993</v>
      </c>
      <c r="T803" s="19">
        <f t="shared" si="100"/>
        <v>246646.28999999998</v>
      </c>
      <c r="U803" s="19">
        <f t="shared" si="101"/>
        <v>239380.34999999998</v>
      </c>
      <c r="V803" s="21">
        <f t="shared" si="102"/>
        <v>-7265.9400000000023</v>
      </c>
      <c r="W803" s="18">
        <f t="shared" si="103"/>
        <v>-2.9458947061397123E-2</v>
      </c>
    </row>
    <row r="804" spans="1:23" x14ac:dyDescent="0.3">
      <c r="A804" t="s">
        <v>1146</v>
      </c>
      <c r="B804" t="s">
        <v>3162</v>
      </c>
      <c r="C804" t="s">
        <v>50</v>
      </c>
      <c r="D804" t="s">
        <v>26</v>
      </c>
      <c r="E804">
        <v>1302</v>
      </c>
      <c r="F804">
        <v>257.64</v>
      </c>
      <c r="G804">
        <v>241.74</v>
      </c>
      <c r="H804">
        <v>257.64</v>
      </c>
      <c r="I804">
        <v>3202</v>
      </c>
      <c r="J804">
        <v>48</v>
      </c>
      <c r="K804" s="17">
        <f t="shared" si="97"/>
        <v>5123.2</v>
      </c>
      <c r="L804" t="str">
        <f t="shared" si="98"/>
        <v>High Risk</v>
      </c>
      <c r="P804" s="19">
        <f t="shared" si="99"/>
        <v>3822</v>
      </c>
      <c r="R804" s="19">
        <f t="shared" si="96"/>
        <v>984700.08</v>
      </c>
      <c r="T804" s="19">
        <f t="shared" si="100"/>
        <v>774051.48</v>
      </c>
      <c r="U804" s="19">
        <f t="shared" si="101"/>
        <v>824963.27999999991</v>
      </c>
      <c r="V804" s="21">
        <f t="shared" si="102"/>
        <v>50911.79999999993</v>
      </c>
      <c r="W804" s="18">
        <f t="shared" si="103"/>
        <v>6.577314470091826E-2</v>
      </c>
    </row>
    <row r="805" spans="1:23" x14ac:dyDescent="0.3">
      <c r="A805" t="s">
        <v>1467</v>
      </c>
      <c r="B805" t="s">
        <v>2163</v>
      </c>
      <c r="C805" t="s">
        <v>16</v>
      </c>
      <c r="D805" t="s">
        <v>69</v>
      </c>
      <c r="E805">
        <v>1304</v>
      </c>
      <c r="F805">
        <v>270.10000000000002</v>
      </c>
      <c r="G805">
        <v>266.13</v>
      </c>
      <c r="H805">
        <v>270.10000000000002</v>
      </c>
      <c r="I805">
        <v>530</v>
      </c>
      <c r="J805">
        <v>21</v>
      </c>
      <c r="K805" s="17">
        <f t="shared" si="97"/>
        <v>371</v>
      </c>
      <c r="L805" t="str">
        <f t="shared" si="98"/>
        <v>Sufficuent Stock</v>
      </c>
      <c r="P805" s="19">
        <f t="shared" si="99"/>
        <v>0</v>
      </c>
      <c r="R805" s="19">
        <f t="shared" si="96"/>
        <v>0</v>
      </c>
      <c r="T805" s="19">
        <f t="shared" si="100"/>
        <v>141048.9</v>
      </c>
      <c r="U805" s="19">
        <f t="shared" si="101"/>
        <v>143153</v>
      </c>
      <c r="V805" s="21">
        <f t="shared" si="102"/>
        <v>2104.1000000000058</v>
      </c>
      <c r="W805" s="18">
        <f t="shared" si="103"/>
        <v>1.4917521512043029E-2</v>
      </c>
    </row>
    <row r="806" spans="1:23" x14ac:dyDescent="0.3">
      <c r="A806" t="s">
        <v>365</v>
      </c>
      <c r="B806" t="s">
        <v>3369</v>
      </c>
      <c r="C806" t="s">
        <v>23</v>
      </c>
      <c r="D806" t="s">
        <v>26</v>
      </c>
      <c r="E806">
        <v>1306</v>
      </c>
      <c r="F806">
        <v>292.77</v>
      </c>
      <c r="G806">
        <v>305.10000000000002</v>
      </c>
      <c r="H806">
        <v>292.77</v>
      </c>
      <c r="I806">
        <v>1449</v>
      </c>
      <c r="J806">
        <v>10</v>
      </c>
      <c r="K806" s="17">
        <f t="shared" si="97"/>
        <v>483</v>
      </c>
      <c r="L806" t="str">
        <f t="shared" si="98"/>
        <v>Sufficuent Stock</v>
      </c>
      <c r="P806" s="19">
        <f t="shared" si="99"/>
        <v>0</v>
      </c>
      <c r="R806" s="19">
        <f t="shared" si="96"/>
        <v>0</v>
      </c>
      <c r="T806" s="19">
        <f t="shared" si="100"/>
        <v>442089.9</v>
      </c>
      <c r="U806" s="19">
        <f t="shared" si="101"/>
        <v>424223.73</v>
      </c>
      <c r="V806" s="21">
        <f t="shared" si="102"/>
        <v>-17866.170000000042</v>
      </c>
      <c r="W806" s="18">
        <f t="shared" si="103"/>
        <v>-4.0412979351032538E-2</v>
      </c>
    </row>
    <row r="807" spans="1:23" x14ac:dyDescent="0.3">
      <c r="A807" t="s">
        <v>136</v>
      </c>
      <c r="B807" t="s">
        <v>1896</v>
      </c>
      <c r="C807" t="s">
        <v>50</v>
      </c>
      <c r="D807" t="s">
        <v>69</v>
      </c>
      <c r="E807">
        <v>1309</v>
      </c>
      <c r="F807">
        <v>331.06</v>
      </c>
      <c r="G807">
        <v>313.83999999999997</v>
      </c>
      <c r="H807">
        <v>331.06</v>
      </c>
      <c r="I807">
        <v>498</v>
      </c>
      <c r="J807">
        <v>88</v>
      </c>
      <c r="K807" s="17">
        <f t="shared" si="97"/>
        <v>1460.8000000000002</v>
      </c>
      <c r="L807" t="str">
        <f t="shared" si="98"/>
        <v>High Risk</v>
      </c>
      <c r="P807" s="19">
        <f t="shared" si="99"/>
        <v>152</v>
      </c>
      <c r="R807" s="19">
        <f t="shared" si="96"/>
        <v>50321.120000000003</v>
      </c>
      <c r="T807" s="19">
        <f t="shared" si="100"/>
        <v>156292.31999999998</v>
      </c>
      <c r="U807" s="19">
        <f t="shared" si="101"/>
        <v>164867.88</v>
      </c>
      <c r="V807" s="21">
        <f t="shared" si="102"/>
        <v>8575.5600000000268</v>
      </c>
      <c r="W807" s="18">
        <f t="shared" si="103"/>
        <v>5.4868722916135787E-2</v>
      </c>
    </row>
    <row r="808" spans="1:23" x14ac:dyDescent="0.3">
      <c r="A808" t="s">
        <v>1322</v>
      </c>
      <c r="B808" t="s">
        <v>2978</v>
      </c>
      <c r="C808" t="s">
        <v>50</v>
      </c>
      <c r="D808" t="s">
        <v>26</v>
      </c>
      <c r="E808">
        <v>1311</v>
      </c>
      <c r="F808">
        <v>57.56</v>
      </c>
      <c r="G808">
        <v>63.05</v>
      </c>
      <c r="H808">
        <v>57.56</v>
      </c>
      <c r="I808">
        <v>3440</v>
      </c>
      <c r="J808">
        <v>74</v>
      </c>
      <c r="K808" s="17">
        <f t="shared" si="97"/>
        <v>8485.3333333333339</v>
      </c>
      <c r="L808" t="str">
        <f t="shared" si="98"/>
        <v>High Risk</v>
      </c>
      <c r="P808" s="19">
        <f t="shared" si="99"/>
        <v>7175</v>
      </c>
      <c r="R808" s="19">
        <f t="shared" si="96"/>
        <v>412993</v>
      </c>
      <c r="T808" s="19">
        <f t="shared" si="100"/>
        <v>216892</v>
      </c>
      <c r="U808" s="19">
        <f t="shared" si="101"/>
        <v>198006.39999999999</v>
      </c>
      <c r="V808" s="21">
        <f t="shared" si="102"/>
        <v>-18885.600000000006</v>
      </c>
      <c r="W808" s="18">
        <f t="shared" si="103"/>
        <v>-8.7073750991276788E-2</v>
      </c>
    </row>
    <row r="809" spans="1:23" x14ac:dyDescent="0.3">
      <c r="A809" t="s">
        <v>218</v>
      </c>
      <c r="B809" t="s">
        <v>2443</v>
      </c>
      <c r="C809" t="s">
        <v>23</v>
      </c>
      <c r="D809" t="s">
        <v>17</v>
      </c>
      <c r="E809">
        <v>1313</v>
      </c>
      <c r="F809">
        <v>362.53</v>
      </c>
      <c r="G809">
        <v>366.1</v>
      </c>
      <c r="H809">
        <v>362.53</v>
      </c>
      <c r="I809">
        <v>548</v>
      </c>
      <c r="J809">
        <v>54</v>
      </c>
      <c r="K809" s="17">
        <f t="shared" si="97"/>
        <v>986.4</v>
      </c>
      <c r="L809" t="str">
        <f t="shared" si="98"/>
        <v>Sufficuent Stock</v>
      </c>
      <c r="P809" s="19">
        <f t="shared" si="99"/>
        <v>0</v>
      </c>
      <c r="R809" s="19">
        <f t="shared" si="96"/>
        <v>0</v>
      </c>
      <c r="T809" s="19">
        <f t="shared" si="100"/>
        <v>200622.80000000002</v>
      </c>
      <c r="U809" s="19">
        <f t="shared" si="101"/>
        <v>198666.43999999997</v>
      </c>
      <c r="V809" s="21">
        <f t="shared" si="102"/>
        <v>-1956.3600000000442</v>
      </c>
      <c r="W809" s="18">
        <f t="shared" si="103"/>
        <v>-9.7514340344170454E-3</v>
      </c>
    </row>
    <row r="810" spans="1:23" x14ac:dyDescent="0.3">
      <c r="A810" t="s">
        <v>629</v>
      </c>
      <c r="B810" t="s">
        <v>630</v>
      </c>
      <c r="C810" t="s">
        <v>16</v>
      </c>
      <c r="D810" t="s">
        <v>17</v>
      </c>
      <c r="E810">
        <v>1313</v>
      </c>
      <c r="F810">
        <v>314.7</v>
      </c>
      <c r="G810">
        <v>278.26</v>
      </c>
      <c r="H810">
        <v>314.7</v>
      </c>
      <c r="I810">
        <v>1701</v>
      </c>
      <c r="J810">
        <v>28</v>
      </c>
      <c r="K810" s="17">
        <f t="shared" si="97"/>
        <v>1587.6000000000001</v>
      </c>
      <c r="L810" t="str">
        <f t="shared" si="98"/>
        <v>High Risk</v>
      </c>
      <c r="P810" s="19">
        <f t="shared" si="99"/>
        <v>275</v>
      </c>
      <c r="R810" s="19">
        <f t="shared" si="96"/>
        <v>86542.5</v>
      </c>
      <c r="T810" s="19">
        <f t="shared" si="100"/>
        <v>473320.26</v>
      </c>
      <c r="U810" s="19">
        <f t="shared" si="101"/>
        <v>535304.69999999995</v>
      </c>
      <c r="V810" s="21">
        <f t="shared" si="102"/>
        <v>61984.439999999944</v>
      </c>
      <c r="W810" s="18">
        <f t="shared" si="103"/>
        <v>0.13095665923956001</v>
      </c>
    </row>
    <row r="811" spans="1:23" x14ac:dyDescent="0.3">
      <c r="A811" t="s">
        <v>1146</v>
      </c>
      <c r="B811" t="s">
        <v>1405</v>
      </c>
      <c r="C811" t="s">
        <v>16</v>
      </c>
      <c r="D811" t="s">
        <v>69</v>
      </c>
      <c r="E811">
        <v>1319</v>
      </c>
      <c r="F811">
        <v>146.1</v>
      </c>
      <c r="G811">
        <v>160.13999999999999</v>
      </c>
      <c r="H811">
        <v>146.1</v>
      </c>
      <c r="I811">
        <v>3995</v>
      </c>
      <c r="J811">
        <v>76</v>
      </c>
      <c r="K811" s="17">
        <f t="shared" si="97"/>
        <v>10120.666666666666</v>
      </c>
      <c r="L811" t="str">
        <f t="shared" si="98"/>
        <v>High Risk</v>
      </c>
      <c r="P811" s="19">
        <f t="shared" si="99"/>
        <v>8802</v>
      </c>
      <c r="R811" s="19">
        <f t="shared" si="96"/>
        <v>1285972.2</v>
      </c>
      <c r="T811" s="19">
        <f t="shared" si="100"/>
        <v>639759.29999999993</v>
      </c>
      <c r="U811" s="19">
        <f t="shared" si="101"/>
        <v>583669.5</v>
      </c>
      <c r="V811" s="21">
        <f t="shared" si="102"/>
        <v>-56089.79999999993</v>
      </c>
      <c r="W811" s="18">
        <f t="shared" si="103"/>
        <v>-8.7673285874859397E-2</v>
      </c>
    </row>
    <row r="812" spans="1:23" x14ac:dyDescent="0.3">
      <c r="A812" t="s">
        <v>825</v>
      </c>
      <c r="B812" t="s">
        <v>3108</v>
      </c>
      <c r="C812" t="s">
        <v>23</v>
      </c>
      <c r="D812" t="s">
        <v>13</v>
      </c>
      <c r="E812">
        <v>1321</v>
      </c>
      <c r="F812">
        <v>448.13</v>
      </c>
      <c r="G812">
        <v>403.99</v>
      </c>
      <c r="H812">
        <v>448.13</v>
      </c>
      <c r="I812">
        <v>687</v>
      </c>
      <c r="J812">
        <v>8</v>
      </c>
      <c r="K812" s="17">
        <f t="shared" si="97"/>
        <v>183.2</v>
      </c>
      <c r="L812" t="str">
        <f t="shared" si="98"/>
        <v>Sufficuent Stock</v>
      </c>
      <c r="P812" s="19">
        <f t="shared" si="99"/>
        <v>0</v>
      </c>
      <c r="R812" s="19">
        <f t="shared" si="96"/>
        <v>0</v>
      </c>
      <c r="T812" s="19">
        <f t="shared" si="100"/>
        <v>277541.13</v>
      </c>
      <c r="U812" s="19">
        <f t="shared" si="101"/>
        <v>307865.31</v>
      </c>
      <c r="V812" s="21">
        <f t="shared" si="102"/>
        <v>30324.179999999993</v>
      </c>
      <c r="W812" s="18">
        <f t="shared" si="103"/>
        <v>0.10926013020124258</v>
      </c>
    </row>
    <row r="813" spans="1:23" x14ac:dyDescent="0.3">
      <c r="A813" t="s">
        <v>472</v>
      </c>
      <c r="B813" t="s">
        <v>2742</v>
      </c>
      <c r="C813" t="s">
        <v>23</v>
      </c>
      <c r="D813" t="s">
        <v>13</v>
      </c>
      <c r="E813">
        <v>1323</v>
      </c>
      <c r="F813">
        <v>158.08000000000001</v>
      </c>
      <c r="G813">
        <v>167.2</v>
      </c>
      <c r="H813">
        <v>158.08000000000001</v>
      </c>
      <c r="I813">
        <v>415</v>
      </c>
      <c r="J813">
        <v>81</v>
      </c>
      <c r="K813" s="17">
        <f t="shared" si="97"/>
        <v>1120.5</v>
      </c>
      <c r="L813" t="str">
        <f t="shared" si="98"/>
        <v>Sufficuent Stock</v>
      </c>
      <c r="P813" s="19">
        <f t="shared" si="99"/>
        <v>0</v>
      </c>
      <c r="R813" s="19">
        <f t="shared" si="96"/>
        <v>0</v>
      </c>
      <c r="T813" s="19">
        <f t="shared" si="100"/>
        <v>69388</v>
      </c>
      <c r="U813" s="19">
        <f t="shared" si="101"/>
        <v>65603.200000000012</v>
      </c>
      <c r="V813" s="21">
        <f t="shared" si="102"/>
        <v>-3784.7999999999884</v>
      </c>
      <c r="W813" s="18">
        <f t="shared" si="103"/>
        <v>-5.4545454545454376E-2</v>
      </c>
    </row>
    <row r="814" spans="1:23" x14ac:dyDescent="0.3">
      <c r="A814" t="s">
        <v>143</v>
      </c>
      <c r="B814" t="s">
        <v>144</v>
      </c>
      <c r="C814" t="s">
        <v>50</v>
      </c>
      <c r="D814" t="s">
        <v>20</v>
      </c>
      <c r="E814">
        <v>1323</v>
      </c>
      <c r="F814">
        <v>399.77</v>
      </c>
      <c r="G814">
        <v>399.42</v>
      </c>
      <c r="H814">
        <v>399.77</v>
      </c>
      <c r="I814">
        <v>1702</v>
      </c>
      <c r="J814">
        <v>36</v>
      </c>
      <c r="K814" s="17">
        <f t="shared" si="97"/>
        <v>2042.4</v>
      </c>
      <c r="L814" t="str">
        <f t="shared" si="98"/>
        <v>High Risk</v>
      </c>
      <c r="P814" s="19">
        <f t="shared" si="99"/>
        <v>720</v>
      </c>
      <c r="R814" s="19">
        <f t="shared" si="96"/>
        <v>287834.39999999997</v>
      </c>
      <c r="T814" s="19">
        <f t="shared" si="100"/>
        <v>679812.84000000008</v>
      </c>
      <c r="U814" s="19">
        <f t="shared" si="101"/>
        <v>680408.53999999992</v>
      </c>
      <c r="V814" s="21">
        <f t="shared" si="102"/>
        <v>595.69999999983702</v>
      </c>
      <c r="W814" s="18">
        <f t="shared" si="103"/>
        <v>8.7627059235868062E-4</v>
      </c>
    </row>
    <row r="815" spans="1:23" x14ac:dyDescent="0.3">
      <c r="A815" t="s">
        <v>180</v>
      </c>
      <c r="B815" t="s">
        <v>2993</v>
      </c>
      <c r="C815" t="s">
        <v>12</v>
      </c>
      <c r="D815" t="s">
        <v>69</v>
      </c>
      <c r="E815">
        <v>1327</v>
      </c>
      <c r="F815">
        <v>273.55</v>
      </c>
      <c r="G815">
        <v>260.95</v>
      </c>
      <c r="H815">
        <v>273.55</v>
      </c>
      <c r="I815">
        <v>269</v>
      </c>
      <c r="J815">
        <v>84</v>
      </c>
      <c r="K815" s="17">
        <f t="shared" si="97"/>
        <v>753.2</v>
      </c>
      <c r="L815" t="str">
        <f t="shared" si="98"/>
        <v>Sufficuent Stock</v>
      </c>
      <c r="P815" s="19">
        <f t="shared" si="99"/>
        <v>0</v>
      </c>
      <c r="R815" s="19">
        <f t="shared" si="96"/>
        <v>0</v>
      </c>
      <c r="T815" s="19">
        <f t="shared" si="100"/>
        <v>70195.55</v>
      </c>
      <c r="U815" s="19">
        <f t="shared" si="101"/>
        <v>73584.95</v>
      </c>
      <c r="V815" s="21">
        <f t="shared" si="102"/>
        <v>3389.3999999999942</v>
      </c>
      <c r="W815" s="18">
        <f t="shared" si="103"/>
        <v>4.8285112090438696E-2</v>
      </c>
    </row>
    <row r="816" spans="1:23" x14ac:dyDescent="0.3">
      <c r="A816" t="s">
        <v>320</v>
      </c>
      <c r="B816" t="s">
        <v>2103</v>
      </c>
      <c r="C816" t="s">
        <v>37</v>
      </c>
      <c r="D816" t="s">
        <v>13</v>
      </c>
      <c r="E816">
        <v>1327</v>
      </c>
      <c r="F816">
        <v>466.44</v>
      </c>
      <c r="G816">
        <v>441.32</v>
      </c>
      <c r="H816">
        <v>466.44</v>
      </c>
      <c r="I816">
        <v>1093</v>
      </c>
      <c r="J816">
        <v>63</v>
      </c>
      <c r="K816" s="17">
        <f t="shared" si="97"/>
        <v>2295.2999999999997</v>
      </c>
      <c r="L816" t="str">
        <f t="shared" si="98"/>
        <v>High Risk</v>
      </c>
      <c r="P816" s="19">
        <f t="shared" si="99"/>
        <v>969</v>
      </c>
      <c r="R816" s="19">
        <f t="shared" si="96"/>
        <v>451980.36</v>
      </c>
      <c r="T816" s="19">
        <f t="shared" si="100"/>
        <v>482362.76</v>
      </c>
      <c r="U816" s="19">
        <f t="shared" si="101"/>
        <v>509818.92</v>
      </c>
      <c r="V816" s="21">
        <f t="shared" si="102"/>
        <v>27456.159999999974</v>
      </c>
      <c r="W816" s="18">
        <f t="shared" si="103"/>
        <v>5.6920148644974113E-2</v>
      </c>
    </row>
    <row r="817" spans="1:23" x14ac:dyDescent="0.3">
      <c r="A817" t="s">
        <v>801</v>
      </c>
      <c r="B817" t="s">
        <v>2910</v>
      </c>
      <c r="C817" t="s">
        <v>12</v>
      </c>
      <c r="D817" t="s">
        <v>17</v>
      </c>
      <c r="E817">
        <v>1329</v>
      </c>
      <c r="F817">
        <v>131.71</v>
      </c>
      <c r="G817">
        <v>146.02000000000001</v>
      </c>
      <c r="H817">
        <v>131.71</v>
      </c>
      <c r="I817">
        <v>1539</v>
      </c>
      <c r="J817">
        <v>66</v>
      </c>
      <c r="K817" s="17">
        <f t="shared" si="97"/>
        <v>3385.7999999999997</v>
      </c>
      <c r="L817" t="str">
        <f t="shared" si="98"/>
        <v>High Risk</v>
      </c>
      <c r="P817" s="19">
        <f t="shared" si="99"/>
        <v>2057</v>
      </c>
      <c r="R817" s="19">
        <f t="shared" si="96"/>
        <v>270927.47000000003</v>
      </c>
      <c r="T817" s="19">
        <f t="shared" si="100"/>
        <v>224724.78000000003</v>
      </c>
      <c r="U817" s="19">
        <f t="shared" si="101"/>
        <v>202701.69</v>
      </c>
      <c r="V817" s="21">
        <f t="shared" si="102"/>
        <v>-22023.090000000026</v>
      </c>
      <c r="W817" s="18">
        <f t="shared" si="103"/>
        <v>-9.8000273935077487E-2</v>
      </c>
    </row>
    <row r="818" spans="1:23" x14ac:dyDescent="0.3">
      <c r="A818" t="s">
        <v>1002</v>
      </c>
      <c r="B818" t="s">
        <v>3072</v>
      </c>
      <c r="C818" t="s">
        <v>50</v>
      </c>
      <c r="D818" t="s">
        <v>13</v>
      </c>
      <c r="E818">
        <v>1329</v>
      </c>
      <c r="F818">
        <v>14.4</v>
      </c>
      <c r="G818">
        <v>14.71</v>
      </c>
      <c r="H818">
        <v>14.4</v>
      </c>
      <c r="I818">
        <v>3694</v>
      </c>
      <c r="J818">
        <v>64</v>
      </c>
      <c r="K818" s="17">
        <f t="shared" si="97"/>
        <v>7880.5333333333338</v>
      </c>
      <c r="L818" t="str">
        <f t="shared" si="98"/>
        <v>High Risk</v>
      </c>
      <c r="P818" s="19">
        <f t="shared" si="99"/>
        <v>6552</v>
      </c>
      <c r="R818" s="19">
        <f t="shared" si="96"/>
        <v>94348.800000000003</v>
      </c>
      <c r="T818" s="19">
        <f t="shared" si="100"/>
        <v>54338.740000000005</v>
      </c>
      <c r="U818" s="19">
        <f t="shared" si="101"/>
        <v>53193.599999999999</v>
      </c>
      <c r="V818" s="21">
        <f t="shared" si="102"/>
        <v>-1145.1400000000067</v>
      </c>
      <c r="W818" s="18">
        <f t="shared" si="103"/>
        <v>-2.1074099252209502E-2</v>
      </c>
    </row>
    <row r="819" spans="1:23" x14ac:dyDescent="0.3">
      <c r="A819" t="s">
        <v>416</v>
      </c>
      <c r="B819" t="s">
        <v>725</v>
      </c>
      <c r="C819" t="s">
        <v>12</v>
      </c>
      <c r="D819" t="s">
        <v>17</v>
      </c>
      <c r="E819">
        <v>1332</v>
      </c>
      <c r="F819">
        <v>138.97999999999999</v>
      </c>
      <c r="G819">
        <v>121.52</v>
      </c>
      <c r="H819">
        <v>138.97999999999999</v>
      </c>
      <c r="I819">
        <v>3150</v>
      </c>
      <c r="J819">
        <v>56</v>
      </c>
      <c r="K819" s="17">
        <f t="shared" si="97"/>
        <v>5880</v>
      </c>
      <c r="L819" t="str">
        <f t="shared" si="98"/>
        <v>High Risk</v>
      </c>
      <c r="P819" s="19">
        <f t="shared" si="99"/>
        <v>4548</v>
      </c>
      <c r="R819" s="19">
        <f t="shared" si="96"/>
        <v>632081.03999999992</v>
      </c>
      <c r="T819" s="19">
        <f t="shared" si="100"/>
        <v>382788</v>
      </c>
      <c r="U819" s="19">
        <f t="shared" si="101"/>
        <v>437786.99999999994</v>
      </c>
      <c r="V819" s="21">
        <f t="shared" si="102"/>
        <v>54998.999999999942</v>
      </c>
      <c r="W819" s="18">
        <f t="shared" si="103"/>
        <v>0.14368005266622763</v>
      </c>
    </row>
    <row r="820" spans="1:23" x14ac:dyDescent="0.3">
      <c r="A820" t="s">
        <v>14</v>
      </c>
      <c r="B820" t="s">
        <v>2547</v>
      </c>
      <c r="C820" t="s">
        <v>16</v>
      </c>
      <c r="D820" t="s">
        <v>26</v>
      </c>
      <c r="E820">
        <v>1332</v>
      </c>
      <c r="F820">
        <v>152.32</v>
      </c>
      <c r="G820">
        <v>134.91</v>
      </c>
      <c r="H820">
        <v>152.32</v>
      </c>
      <c r="I820">
        <v>3729</v>
      </c>
      <c r="J820">
        <v>87</v>
      </c>
      <c r="K820" s="17">
        <f t="shared" si="97"/>
        <v>10814.1</v>
      </c>
      <c r="L820" t="str">
        <f t="shared" si="98"/>
        <v>High Risk</v>
      </c>
      <c r="P820" s="19">
        <f t="shared" si="99"/>
        <v>9483</v>
      </c>
      <c r="R820" s="19">
        <f t="shared" si="96"/>
        <v>1444450.5599999998</v>
      </c>
      <c r="T820" s="19">
        <f t="shared" si="100"/>
        <v>503079.39</v>
      </c>
      <c r="U820" s="19">
        <f t="shared" si="101"/>
        <v>568001.28000000003</v>
      </c>
      <c r="V820" s="21">
        <f t="shared" si="102"/>
        <v>64921.890000000014</v>
      </c>
      <c r="W820" s="18">
        <f t="shared" si="103"/>
        <v>0.12904899562671412</v>
      </c>
    </row>
    <row r="821" spans="1:23" x14ac:dyDescent="0.3">
      <c r="A821" t="s">
        <v>629</v>
      </c>
      <c r="B821" t="s">
        <v>2462</v>
      </c>
      <c r="C821" t="s">
        <v>12</v>
      </c>
      <c r="D821" t="s">
        <v>13</v>
      </c>
      <c r="E821">
        <v>1332</v>
      </c>
      <c r="F821">
        <v>376.01</v>
      </c>
      <c r="G821">
        <v>370.97</v>
      </c>
      <c r="H821">
        <v>376.01</v>
      </c>
      <c r="I821">
        <v>588</v>
      </c>
      <c r="J821">
        <v>7</v>
      </c>
      <c r="K821" s="17">
        <f t="shared" si="97"/>
        <v>137.20000000000002</v>
      </c>
      <c r="L821" t="str">
        <f t="shared" si="98"/>
        <v>Sufficuent Stock</v>
      </c>
      <c r="P821" s="19">
        <f t="shared" si="99"/>
        <v>0</v>
      </c>
      <c r="R821" s="19">
        <f t="shared" si="96"/>
        <v>0</v>
      </c>
      <c r="T821" s="19">
        <f t="shared" si="100"/>
        <v>218130.36000000002</v>
      </c>
      <c r="U821" s="19">
        <f t="shared" si="101"/>
        <v>221093.88</v>
      </c>
      <c r="V821" s="21">
        <f t="shared" si="102"/>
        <v>2963.5199999999895</v>
      </c>
      <c r="W821" s="18">
        <f t="shared" si="103"/>
        <v>1.3586004259104461E-2</v>
      </c>
    </row>
    <row r="822" spans="1:23" x14ac:dyDescent="0.3">
      <c r="A822" t="s">
        <v>262</v>
      </c>
      <c r="B822" t="s">
        <v>3145</v>
      </c>
      <c r="C822" t="s">
        <v>23</v>
      </c>
      <c r="D822" t="s">
        <v>17</v>
      </c>
      <c r="E822">
        <v>1334</v>
      </c>
      <c r="F822">
        <v>380.51</v>
      </c>
      <c r="G822">
        <v>386.91</v>
      </c>
      <c r="H822">
        <v>380.51</v>
      </c>
      <c r="I822">
        <v>3696</v>
      </c>
      <c r="J822">
        <v>75</v>
      </c>
      <c r="K822" s="17">
        <f t="shared" si="97"/>
        <v>9240</v>
      </c>
      <c r="L822" t="str">
        <f t="shared" si="98"/>
        <v>High Risk</v>
      </c>
      <c r="P822" s="19">
        <f t="shared" si="99"/>
        <v>7906</v>
      </c>
      <c r="R822" s="19">
        <f t="shared" si="96"/>
        <v>3008312.06</v>
      </c>
      <c r="T822" s="19">
        <f t="shared" si="100"/>
        <v>1430019.36</v>
      </c>
      <c r="U822" s="19">
        <f t="shared" si="101"/>
        <v>1406364.96</v>
      </c>
      <c r="V822" s="21">
        <f t="shared" si="102"/>
        <v>-23654.40000000014</v>
      </c>
      <c r="W822" s="18">
        <f t="shared" si="103"/>
        <v>-1.6541314517588165E-2</v>
      </c>
    </row>
    <row r="823" spans="1:23" x14ac:dyDescent="0.3">
      <c r="A823" t="s">
        <v>929</v>
      </c>
      <c r="B823" t="s">
        <v>930</v>
      </c>
      <c r="C823" t="s">
        <v>12</v>
      </c>
      <c r="D823" t="s">
        <v>26</v>
      </c>
      <c r="E823">
        <v>1335</v>
      </c>
      <c r="F823">
        <v>223.8</v>
      </c>
      <c r="G823">
        <v>204.48</v>
      </c>
      <c r="H823">
        <v>223.8</v>
      </c>
      <c r="I823">
        <v>1803</v>
      </c>
      <c r="J823">
        <v>11</v>
      </c>
      <c r="K823" s="17">
        <f t="shared" si="97"/>
        <v>661.1</v>
      </c>
      <c r="L823" t="str">
        <f t="shared" si="98"/>
        <v>Sufficuent Stock</v>
      </c>
      <c r="P823" s="19">
        <f t="shared" si="99"/>
        <v>0</v>
      </c>
      <c r="R823" s="19">
        <f t="shared" si="96"/>
        <v>0</v>
      </c>
      <c r="T823" s="19">
        <f t="shared" si="100"/>
        <v>368677.44</v>
      </c>
      <c r="U823" s="19">
        <f t="shared" si="101"/>
        <v>403511.4</v>
      </c>
      <c r="V823" s="21">
        <f t="shared" si="102"/>
        <v>34833.960000000021</v>
      </c>
      <c r="W823" s="18">
        <f t="shared" si="103"/>
        <v>9.448356807511743E-2</v>
      </c>
    </row>
    <row r="824" spans="1:23" x14ac:dyDescent="0.3">
      <c r="A824" t="s">
        <v>732</v>
      </c>
      <c r="B824" t="s">
        <v>887</v>
      </c>
      <c r="C824" t="s">
        <v>23</v>
      </c>
      <c r="D824" t="s">
        <v>17</v>
      </c>
      <c r="E824">
        <v>1335</v>
      </c>
      <c r="F824">
        <v>167.67</v>
      </c>
      <c r="G824">
        <v>167.61</v>
      </c>
      <c r="H824">
        <v>167.67</v>
      </c>
      <c r="I824">
        <v>471</v>
      </c>
      <c r="J824">
        <v>53</v>
      </c>
      <c r="K824" s="17">
        <f t="shared" si="97"/>
        <v>832.09999999999991</v>
      </c>
      <c r="L824" t="str">
        <f t="shared" si="98"/>
        <v>Sufficuent Stock</v>
      </c>
      <c r="P824" s="19">
        <f t="shared" si="99"/>
        <v>0</v>
      </c>
      <c r="R824" s="19">
        <f t="shared" si="96"/>
        <v>0</v>
      </c>
      <c r="T824" s="19">
        <f t="shared" si="100"/>
        <v>78944.310000000012</v>
      </c>
      <c r="U824" s="19">
        <f t="shared" si="101"/>
        <v>78972.569999999992</v>
      </c>
      <c r="V824" s="21">
        <f t="shared" si="102"/>
        <v>28.259999999980209</v>
      </c>
      <c r="W824" s="18">
        <f t="shared" si="103"/>
        <v>3.5797386790739199E-4</v>
      </c>
    </row>
    <row r="825" spans="1:23" x14ac:dyDescent="0.3">
      <c r="A825" t="s">
        <v>585</v>
      </c>
      <c r="B825" t="s">
        <v>2341</v>
      </c>
      <c r="C825" t="s">
        <v>23</v>
      </c>
      <c r="D825" t="s">
        <v>20</v>
      </c>
      <c r="E825">
        <v>1336</v>
      </c>
      <c r="F825">
        <v>309.52</v>
      </c>
      <c r="G825">
        <v>264.92</v>
      </c>
      <c r="H825">
        <v>309.52</v>
      </c>
      <c r="I825">
        <v>3187</v>
      </c>
      <c r="J825">
        <v>17</v>
      </c>
      <c r="K825" s="17">
        <f t="shared" si="97"/>
        <v>1805.9666666666667</v>
      </c>
      <c r="L825" t="str">
        <f t="shared" si="98"/>
        <v>High Risk</v>
      </c>
      <c r="P825" s="19">
        <f t="shared" si="99"/>
        <v>470</v>
      </c>
      <c r="R825" s="19">
        <f t="shared" si="96"/>
        <v>145474.4</v>
      </c>
      <c r="T825" s="19">
        <f t="shared" si="100"/>
        <v>844300.04</v>
      </c>
      <c r="U825" s="19">
        <f t="shared" si="101"/>
        <v>986440.24</v>
      </c>
      <c r="V825" s="21">
        <f t="shared" si="102"/>
        <v>142140.19999999995</v>
      </c>
      <c r="W825" s="18">
        <f t="shared" si="103"/>
        <v>0.16835271025215154</v>
      </c>
    </row>
    <row r="826" spans="1:23" x14ac:dyDescent="0.3">
      <c r="A826" t="s">
        <v>141</v>
      </c>
      <c r="B826" t="s">
        <v>3008</v>
      </c>
      <c r="C826" t="s">
        <v>37</v>
      </c>
      <c r="D826" t="s">
        <v>17</v>
      </c>
      <c r="E826">
        <v>1337</v>
      </c>
      <c r="F826">
        <v>188.6</v>
      </c>
      <c r="G826">
        <v>193.18</v>
      </c>
      <c r="H826">
        <v>188.6</v>
      </c>
      <c r="I826">
        <v>1566</v>
      </c>
      <c r="J826">
        <v>20</v>
      </c>
      <c r="K826" s="17">
        <f t="shared" si="97"/>
        <v>1044</v>
      </c>
      <c r="L826" t="str">
        <f t="shared" si="98"/>
        <v>Sufficuent Stock</v>
      </c>
      <c r="P826" s="19">
        <f t="shared" si="99"/>
        <v>0</v>
      </c>
      <c r="R826" s="19">
        <f t="shared" si="96"/>
        <v>0</v>
      </c>
      <c r="T826" s="19">
        <f t="shared" si="100"/>
        <v>302519.88</v>
      </c>
      <c r="U826" s="19">
        <f t="shared" si="101"/>
        <v>295347.59999999998</v>
      </c>
      <c r="V826" s="21">
        <f t="shared" si="102"/>
        <v>-7172.2800000000279</v>
      </c>
      <c r="W826" s="18">
        <f t="shared" si="103"/>
        <v>-2.3708458432550046E-2</v>
      </c>
    </row>
    <row r="827" spans="1:23" x14ac:dyDescent="0.3">
      <c r="A827" t="s">
        <v>1500</v>
      </c>
      <c r="B827" t="s">
        <v>1698</v>
      </c>
      <c r="C827" t="s">
        <v>16</v>
      </c>
      <c r="D827" t="s">
        <v>20</v>
      </c>
      <c r="E827">
        <v>1337</v>
      </c>
      <c r="F827">
        <v>335.29</v>
      </c>
      <c r="G827">
        <v>287.23</v>
      </c>
      <c r="H827">
        <v>335.29</v>
      </c>
      <c r="I827">
        <v>3724</v>
      </c>
      <c r="J827">
        <v>29</v>
      </c>
      <c r="K827" s="17">
        <f t="shared" si="97"/>
        <v>3599.8666666666668</v>
      </c>
      <c r="L827" t="str">
        <f t="shared" si="98"/>
        <v>High Risk</v>
      </c>
      <c r="P827" s="19">
        <f t="shared" si="99"/>
        <v>2263</v>
      </c>
      <c r="R827" s="19">
        <f t="shared" si="96"/>
        <v>758761.27</v>
      </c>
      <c r="T827" s="19">
        <f t="shared" si="100"/>
        <v>1069644.52</v>
      </c>
      <c r="U827" s="19">
        <f t="shared" si="101"/>
        <v>1248619.96</v>
      </c>
      <c r="V827" s="21">
        <f t="shared" si="102"/>
        <v>178975.43999999994</v>
      </c>
      <c r="W827" s="18">
        <f t="shared" si="103"/>
        <v>0.16732235490721717</v>
      </c>
    </row>
    <row r="828" spans="1:23" x14ac:dyDescent="0.3">
      <c r="A828" t="s">
        <v>224</v>
      </c>
      <c r="B828" t="s">
        <v>225</v>
      </c>
      <c r="C828" t="s">
        <v>50</v>
      </c>
      <c r="D828" t="s">
        <v>13</v>
      </c>
      <c r="E828">
        <v>1338</v>
      </c>
      <c r="F828">
        <v>226.7</v>
      </c>
      <c r="G828">
        <v>191.77</v>
      </c>
      <c r="H828">
        <v>226.7</v>
      </c>
      <c r="I828">
        <v>2002</v>
      </c>
      <c r="J828">
        <v>9</v>
      </c>
      <c r="K828" s="17">
        <f t="shared" si="97"/>
        <v>600.6</v>
      </c>
      <c r="L828" t="str">
        <f t="shared" si="98"/>
        <v>Sufficuent Stock</v>
      </c>
      <c r="P828" s="19">
        <f t="shared" si="99"/>
        <v>0</v>
      </c>
      <c r="R828" s="19">
        <f t="shared" si="96"/>
        <v>0</v>
      </c>
      <c r="T828" s="19">
        <f t="shared" si="100"/>
        <v>383923.54000000004</v>
      </c>
      <c r="U828" s="19">
        <f t="shared" si="101"/>
        <v>453853.39999999997</v>
      </c>
      <c r="V828" s="21">
        <f t="shared" si="102"/>
        <v>69929.859999999928</v>
      </c>
      <c r="W828" s="18">
        <f t="shared" si="103"/>
        <v>0.18214527819784096</v>
      </c>
    </row>
    <row r="829" spans="1:23" x14ac:dyDescent="0.3">
      <c r="A829" t="s">
        <v>38</v>
      </c>
      <c r="B829" t="s">
        <v>277</v>
      </c>
      <c r="C829" t="s">
        <v>16</v>
      </c>
      <c r="D829" t="s">
        <v>20</v>
      </c>
      <c r="E829">
        <v>1341</v>
      </c>
      <c r="F829">
        <v>64.52</v>
      </c>
      <c r="G829">
        <v>63.85</v>
      </c>
      <c r="H829">
        <v>64.52</v>
      </c>
      <c r="I829">
        <v>575</v>
      </c>
      <c r="J829">
        <v>16</v>
      </c>
      <c r="K829" s="17">
        <f t="shared" si="97"/>
        <v>306.66666666666669</v>
      </c>
      <c r="L829" t="str">
        <f t="shared" si="98"/>
        <v>Sufficuent Stock</v>
      </c>
      <c r="P829" s="19">
        <f t="shared" si="99"/>
        <v>0</v>
      </c>
      <c r="R829" s="19">
        <f t="shared" si="96"/>
        <v>0</v>
      </c>
      <c r="T829" s="19">
        <f t="shared" si="100"/>
        <v>36713.75</v>
      </c>
      <c r="U829" s="19">
        <f t="shared" si="101"/>
        <v>37099</v>
      </c>
      <c r="V829" s="21">
        <f t="shared" si="102"/>
        <v>385.25</v>
      </c>
      <c r="W829" s="18">
        <f t="shared" si="103"/>
        <v>1.0493343774471418E-2</v>
      </c>
    </row>
    <row r="830" spans="1:23" x14ac:dyDescent="0.3">
      <c r="A830" t="s">
        <v>387</v>
      </c>
      <c r="B830" t="s">
        <v>3066</v>
      </c>
      <c r="C830" t="s">
        <v>37</v>
      </c>
      <c r="D830" t="s">
        <v>20</v>
      </c>
      <c r="E830">
        <v>1342</v>
      </c>
      <c r="F830">
        <v>102.54</v>
      </c>
      <c r="G830">
        <v>107.42</v>
      </c>
      <c r="H830">
        <v>102.54</v>
      </c>
      <c r="I830">
        <v>1687</v>
      </c>
      <c r="J830">
        <v>49</v>
      </c>
      <c r="K830" s="17">
        <f t="shared" si="97"/>
        <v>2755.4333333333334</v>
      </c>
      <c r="L830" t="str">
        <f t="shared" si="98"/>
        <v>High Risk</v>
      </c>
      <c r="P830" s="19">
        <f t="shared" si="99"/>
        <v>1414</v>
      </c>
      <c r="R830" s="19">
        <f t="shared" si="96"/>
        <v>144991.56</v>
      </c>
      <c r="T830" s="19">
        <f t="shared" si="100"/>
        <v>181217.54</v>
      </c>
      <c r="U830" s="19">
        <f t="shared" si="101"/>
        <v>172984.98</v>
      </c>
      <c r="V830" s="21">
        <f t="shared" si="102"/>
        <v>-8232.5599999999977</v>
      </c>
      <c r="W830" s="18">
        <f t="shared" si="103"/>
        <v>-4.5429156581642136E-2</v>
      </c>
    </row>
    <row r="831" spans="1:23" x14ac:dyDescent="0.3">
      <c r="A831" t="s">
        <v>949</v>
      </c>
      <c r="B831" t="s">
        <v>3270</v>
      </c>
      <c r="C831" t="s">
        <v>12</v>
      </c>
      <c r="D831" t="s">
        <v>20</v>
      </c>
      <c r="E831">
        <v>1343</v>
      </c>
      <c r="F831">
        <v>233.37</v>
      </c>
      <c r="G831">
        <v>199.44</v>
      </c>
      <c r="H831">
        <v>233.37</v>
      </c>
      <c r="I831">
        <v>416</v>
      </c>
      <c r="J831">
        <v>90</v>
      </c>
      <c r="K831" s="17">
        <f t="shared" si="97"/>
        <v>1248</v>
      </c>
      <c r="L831" t="str">
        <f t="shared" si="98"/>
        <v>Sufficuent Stock</v>
      </c>
      <c r="P831" s="19">
        <f t="shared" si="99"/>
        <v>0</v>
      </c>
      <c r="R831" s="19">
        <f t="shared" si="96"/>
        <v>0</v>
      </c>
      <c r="T831" s="19">
        <f t="shared" si="100"/>
        <v>82967.039999999994</v>
      </c>
      <c r="U831" s="19">
        <f t="shared" si="101"/>
        <v>97081.919999999998</v>
      </c>
      <c r="V831" s="21">
        <f t="shared" si="102"/>
        <v>14114.880000000005</v>
      </c>
      <c r="W831" s="18">
        <f t="shared" si="103"/>
        <v>0.17012635379061378</v>
      </c>
    </row>
    <row r="832" spans="1:23" x14ac:dyDescent="0.3">
      <c r="A832" t="s">
        <v>243</v>
      </c>
      <c r="B832" t="s">
        <v>2677</v>
      </c>
      <c r="C832" t="s">
        <v>23</v>
      </c>
      <c r="D832" t="s">
        <v>69</v>
      </c>
      <c r="E832">
        <v>1344</v>
      </c>
      <c r="F832">
        <v>93.28</v>
      </c>
      <c r="G832">
        <v>91.32</v>
      </c>
      <c r="H832">
        <v>93.28</v>
      </c>
      <c r="I832">
        <v>1904</v>
      </c>
      <c r="J832">
        <v>37</v>
      </c>
      <c r="K832" s="17">
        <f t="shared" si="97"/>
        <v>2348.2666666666669</v>
      </c>
      <c r="L832" t="str">
        <f t="shared" si="98"/>
        <v>High Risk</v>
      </c>
      <c r="P832" s="19">
        <f t="shared" si="99"/>
        <v>1005</v>
      </c>
      <c r="R832" s="19">
        <f t="shared" si="96"/>
        <v>93746.4</v>
      </c>
      <c r="T832" s="19">
        <f t="shared" si="100"/>
        <v>173873.28</v>
      </c>
      <c r="U832" s="19">
        <f t="shared" si="101"/>
        <v>177605.12</v>
      </c>
      <c r="V832" s="21">
        <f t="shared" si="102"/>
        <v>3731.8399999999965</v>
      </c>
      <c r="W832" s="18">
        <f t="shared" si="103"/>
        <v>2.1462987297415661E-2</v>
      </c>
    </row>
    <row r="833" spans="1:23" x14ac:dyDescent="0.3">
      <c r="A833" t="s">
        <v>253</v>
      </c>
      <c r="B833" t="s">
        <v>2755</v>
      </c>
      <c r="C833" t="s">
        <v>50</v>
      </c>
      <c r="D833" t="s">
        <v>69</v>
      </c>
      <c r="E833">
        <v>1344</v>
      </c>
      <c r="F833">
        <v>548.66</v>
      </c>
      <c r="G833">
        <v>491.05</v>
      </c>
      <c r="H833">
        <v>548.66</v>
      </c>
      <c r="I833">
        <v>60</v>
      </c>
      <c r="J833">
        <v>36</v>
      </c>
      <c r="K833" s="17">
        <f t="shared" si="97"/>
        <v>72</v>
      </c>
      <c r="L833" t="str">
        <f t="shared" si="98"/>
        <v>Sufficuent Stock</v>
      </c>
      <c r="P833" s="19">
        <f t="shared" si="99"/>
        <v>0</v>
      </c>
      <c r="R833" s="19">
        <f t="shared" si="96"/>
        <v>0</v>
      </c>
      <c r="T833" s="19">
        <f t="shared" si="100"/>
        <v>29463</v>
      </c>
      <c r="U833" s="19">
        <f t="shared" si="101"/>
        <v>32919.599999999999</v>
      </c>
      <c r="V833" s="21">
        <f t="shared" si="102"/>
        <v>3456.5999999999985</v>
      </c>
      <c r="W833" s="18">
        <f t="shared" si="103"/>
        <v>0.11732002851033495</v>
      </c>
    </row>
    <row r="834" spans="1:23" x14ac:dyDescent="0.3">
      <c r="A834" t="s">
        <v>161</v>
      </c>
      <c r="B834" t="s">
        <v>827</v>
      </c>
      <c r="C834" t="s">
        <v>37</v>
      </c>
      <c r="D834" t="s">
        <v>20</v>
      </c>
      <c r="E834">
        <v>1345</v>
      </c>
      <c r="F834">
        <v>470.55</v>
      </c>
      <c r="G834">
        <v>415.82</v>
      </c>
      <c r="H834">
        <v>470.55</v>
      </c>
      <c r="I834">
        <v>2708</v>
      </c>
      <c r="J834">
        <v>14</v>
      </c>
      <c r="K834" s="17">
        <f t="shared" si="97"/>
        <v>1263.7333333333333</v>
      </c>
      <c r="L834" t="str">
        <f t="shared" si="98"/>
        <v>Sufficuent Stock</v>
      </c>
      <c r="P834" s="19">
        <f t="shared" si="99"/>
        <v>0</v>
      </c>
      <c r="R834" s="19">
        <f t="shared" ref="R834:R897" si="104">P834*H834</f>
        <v>0</v>
      </c>
      <c r="T834" s="19">
        <f t="shared" si="100"/>
        <v>1126040.56</v>
      </c>
      <c r="U834" s="19">
        <f t="shared" si="101"/>
        <v>1274249.4000000001</v>
      </c>
      <c r="V834" s="21">
        <f t="shared" si="102"/>
        <v>148208.84000000008</v>
      </c>
      <c r="W834" s="18">
        <f t="shared" si="103"/>
        <v>0.13161945072387096</v>
      </c>
    </row>
    <row r="835" spans="1:23" x14ac:dyDescent="0.3">
      <c r="A835" t="s">
        <v>235</v>
      </c>
      <c r="B835" t="s">
        <v>2959</v>
      </c>
      <c r="C835" t="s">
        <v>12</v>
      </c>
      <c r="D835" t="s">
        <v>13</v>
      </c>
      <c r="E835">
        <v>1346</v>
      </c>
      <c r="F835">
        <v>89.23</v>
      </c>
      <c r="G835">
        <v>98.5</v>
      </c>
      <c r="H835">
        <v>89.23</v>
      </c>
      <c r="I835">
        <v>659</v>
      </c>
      <c r="J835">
        <v>38</v>
      </c>
      <c r="K835" s="17">
        <f t="shared" ref="K835:K898" si="105">(I835/30)*J835</f>
        <v>834.73333333333323</v>
      </c>
      <c r="L835" t="str">
        <f t="shared" ref="L835:L898" si="106">IF(E835&lt;K835,"High Risk","Sufficuent Stock")</f>
        <v>Sufficuent Stock</v>
      </c>
      <c r="P835" s="19">
        <f t="shared" ref="P835:P898" si="107">ROUNDUP(MAX(0,K835-E835),0)</f>
        <v>0</v>
      </c>
      <c r="R835" s="19">
        <f t="shared" si="104"/>
        <v>0</v>
      </c>
      <c r="T835" s="19">
        <f t="shared" ref="T835:T898" si="108">I835*G835</f>
        <v>64911.5</v>
      </c>
      <c r="U835" s="19">
        <f t="shared" ref="U835:U898" si="109">I835*H835</f>
        <v>58802.57</v>
      </c>
      <c r="V835" s="21">
        <f t="shared" ref="V835:V898" si="110">U835-T835</f>
        <v>-6108.93</v>
      </c>
      <c r="W835" s="18">
        <f t="shared" ref="W835:W898" si="111">IFERROR(V835/T835,0)</f>
        <v>-9.4111675126903563E-2</v>
      </c>
    </row>
    <row r="836" spans="1:23" x14ac:dyDescent="0.3">
      <c r="A836" t="s">
        <v>61</v>
      </c>
      <c r="B836" t="s">
        <v>584</v>
      </c>
      <c r="C836" t="s">
        <v>37</v>
      </c>
      <c r="D836" t="s">
        <v>17</v>
      </c>
      <c r="E836">
        <v>1347</v>
      </c>
      <c r="F836">
        <v>432.33</v>
      </c>
      <c r="G836">
        <v>375.64</v>
      </c>
      <c r="H836">
        <v>432.33</v>
      </c>
      <c r="I836">
        <v>2106</v>
      </c>
      <c r="J836">
        <v>58</v>
      </c>
      <c r="K836" s="17">
        <f t="shared" si="105"/>
        <v>4071.6000000000004</v>
      </c>
      <c r="L836" t="str">
        <f t="shared" si="106"/>
        <v>High Risk</v>
      </c>
      <c r="P836" s="19">
        <f t="shared" si="107"/>
        <v>2725</v>
      </c>
      <c r="R836" s="19">
        <f t="shared" si="104"/>
        <v>1178099.25</v>
      </c>
      <c r="T836" s="19">
        <f t="shared" si="108"/>
        <v>791097.84</v>
      </c>
      <c r="U836" s="19">
        <f t="shared" si="109"/>
        <v>910486.98</v>
      </c>
      <c r="V836" s="21">
        <f t="shared" si="110"/>
        <v>119389.14000000001</v>
      </c>
      <c r="W836" s="18">
        <f t="shared" si="111"/>
        <v>0.15091577041848581</v>
      </c>
    </row>
    <row r="837" spans="1:23" x14ac:dyDescent="0.3">
      <c r="A837" t="s">
        <v>748</v>
      </c>
      <c r="B837" t="s">
        <v>749</v>
      </c>
      <c r="C837" t="s">
        <v>12</v>
      </c>
      <c r="D837" t="s">
        <v>20</v>
      </c>
      <c r="E837">
        <v>1348</v>
      </c>
      <c r="F837">
        <v>311.76</v>
      </c>
      <c r="G837">
        <v>309.35000000000002</v>
      </c>
      <c r="H837">
        <v>311.76</v>
      </c>
      <c r="I837">
        <v>1781</v>
      </c>
      <c r="J837">
        <v>82</v>
      </c>
      <c r="K837" s="17">
        <f t="shared" si="105"/>
        <v>4868.0666666666666</v>
      </c>
      <c r="L837" t="str">
        <f t="shared" si="106"/>
        <v>High Risk</v>
      </c>
      <c r="P837" s="19">
        <f t="shared" si="107"/>
        <v>3521</v>
      </c>
      <c r="R837" s="19">
        <f t="shared" si="104"/>
        <v>1097706.96</v>
      </c>
      <c r="T837" s="19">
        <f t="shared" si="108"/>
        <v>550952.35000000009</v>
      </c>
      <c r="U837" s="19">
        <f t="shared" si="109"/>
        <v>555244.55999999994</v>
      </c>
      <c r="V837" s="21">
        <f t="shared" si="110"/>
        <v>4292.2099999998463</v>
      </c>
      <c r="W837" s="18">
        <f t="shared" si="111"/>
        <v>7.7905285275575026E-3</v>
      </c>
    </row>
    <row r="838" spans="1:23" x14ac:dyDescent="0.3">
      <c r="A838" t="s">
        <v>1375</v>
      </c>
      <c r="B838" t="s">
        <v>2765</v>
      </c>
      <c r="C838" t="s">
        <v>12</v>
      </c>
      <c r="D838" t="s">
        <v>69</v>
      </c>
      <c r="E838">
        <v>1351</v>
      </c>
      <c r="F838">
        <v>165.07</v>
      </c>
      <c r="G838">
        <v>156.12</v>
      </c>
      <c r="H838">
        <v>165.07</v>
      </c>
      <c r="I838">
        <v>3051</v>
      </c>
      <c r="J838">
        <v>64</v>
      </c>
      <c r="K838" s="17">
        <f t="shared" si="105"/>
        <v>6508.8</v>
      </c>
      <c r="L838" t="str">
        <f t="shared" si="106"/>
        <v>High Risk</v>
      </c>
      <c r="P838" s="19">
        <f t="shared" si="107"/>
        <v>5158</v>
      </c>
      <c r="R838" s="19">
        <f t="shared" si="104"/>
        <v>851431.05999999994</v>
      </c>
      <c r="T838" s="19">
        <f t="shared" si="108"/>
        <v>476322.12</v>
      </c>
      <c r="U838" s="19">
        <f t="shared" si="109"/>
        <v>503628.57</v>
      </c>
      <c r="V838" s="21">
        <f t="shared" si="110"/>
        <v>27306.450000000012</v>
      </c>
      <c r="W838" s="18">
        <f t="shared" si="111"/>
        <v>5.7327696643607505E-2</v>
      </c>
    </row>
    <row r="839" spans="1:23" x14ac:dyDescent="0.3">
      <c r="A839" t="s">
        <v>976</v>
      </c>
      <c r="B839" t="s">
        <v>1695</v>
      </c>
      <c r="C839" t="s">
        <v>16</v>
      </c>
      <c r="D839" t="s">
        <v>17</v>
      </c>
      <c r="E839">
        <v>1353</v>
      </c>
      <c r="F839">
        <v>376.72</v>
      </c>
      <c r="G839">
        <v>418.29</v>
      </c>
      <c r="H839">
        <v>376.72</v>
      </c>
      <c r="I839">
        <v>870</v>
      </c>
      <c r="J839">
        <v>80</v>
      </c>
      <c r="K839" s="17">
        <f t="shared" si="105"/>
        <v>2320</v>
      </c>
      <c r="L839" t="str">
        <f t="shared" si="106"/>
        <v>High Risk</v>
      </c>
      <c r="P839" s="19">
        <f t="shared" si="107"/>
        <v>967</v>
      </c>
      <c r="R839" s="19">
        <f t="shared" si="104"/>
        <v>364288.24000000005</v>
      </c>
      <c r="T839" s="19">
        <f t="shared" si="108"/>
        <v>363912.30000000005</v>
      </c>
      <c r="U839" s="19">
        <f t="shared" si="109"/>
        <v>327746.40000000002</v>
      </c>
      <c r="V839" s="21">
        <f t="shared" si="110"/>
        <v>-36165.900000000023</v>
      </c>
      <c r="W839" s="18">
        <f t="shared" si="111"/>
        <v>-9.9380812355064713E-2</v>
      </c>
    </row>
    <row r="840" spans="1:23" x14ac:dyDescent="0.3">
      <c r="A840" t="s">
        <v>246</v>
      </c>
      <c r="B840" t="s">
        <v>1760</v>
      </c>
      <c r="C840" t="s">
        <v>12</v>
      </c>
      <c r="D840" t="s">
        <v>26</v>
      </c>
      <c r="E840">
        <v>1353</v>
      </c>
      <c r="F840">
        <v>220.8</v>
      </c>
      <c r="G840">
        <v>209.27</v>
      </c>
      <c r="H840">
        <v>220.8</v>
      </c>
      <c r="I840">
        <v>3608</v>
      </c>
      <c r="J840">
        <v>79</v>
      </c>
      <c r="K840" s="17">
        <f t="shared" si="105"/>
        <v>9501.0666666666657</v>
      </c>
      <c r="L840" t="str">
        <f t="shared" si="106"/>
        <v>High Risk</v>
      </c>
      <c r="P840" s="19">
        <f t="shared" si="107"/>
        <v>8149</v>
      </c>
      <c r="R840" s="19">
        <f t="shared" si="104"/>
        <v>1799299.2000000002</v>
      </c>
      <c r="T840" s="19">
        <f t="shared" si="108"/>
        <v>755046.16</v>
      </c>
      <c r="U840" s="19">
        <f t="shared" si="109"/>
        <v>796646.40000000002</v>
      </c>
      <c r="V840" s="21">
        <f t="shared" si="110"/>
        <v>41600.239999999991</v>
      </c>
      <c r="W840" s="18">
        <f t="shared" si="111"/>
        <v>5.5096287093228828E-2</v>
      </c>
    </row>
    <row r="841" spans="1:23" x14ac:dyDescent="0.3">
      <c r="A841" t="s">
        <v>605</v>
      </c>
      <c r="B841" t="s">
        <v>959</v>
      </c>
      <c r="C841" t="s">
        <v>23</v>
      </c>
      <c r="D841" t="s">
        <v>17</v>
      </c>
      <c r="E841">
        <v>1359</v>
      </c>
      <c r="F841">
        <v>132.91999999999999</v>
      </c>
      <c r="G841">
        <v>123.59</v>
      </c>
      <c r="H841">
        <v>132.91999999999999</v>
      </c>
      <c r="I841">
        <v>3188</v>
      </c>
      <c r="J841">
        <v>78</v>
      </c>
      <c r="K841" s="17">
        <f t="shared" si="105"/>
        <v>8288.7999999999993</v>
      </c>
      <c r="L841" t="str">
        <f t="shared" si="106"/>
        <v>High Risk</v>
      </c>
      <c r="P841" s="19">
        <f t="shared" si="107"/>
        <v>6930</v>
      </c>
      <c r="R841" s="19">
        <f t="shared" si="104"/>
        <v>921135.59999999986</v>
      </c>
      <c r="T841" s="19">
        <f t="shared" si="108"/>
        <v>394004.92</v>
      </c>
      <c r="U841" s="19">
        <f t="shared" si="109"/>
        <v>423748.95999999996</v>
      </c>
      <c r="V841" s="21">
        <f t="shared" si="110"/>
        <v>29744.039999999979</v>
      </c>
      <c r="W841" s="18">
        <f t="shared" si="111"/>
        <v>7.549154462335135E-2</v>
      </c>
    </row>
    <row r="842" spans="1:23" x14ac:dyDescent="0.3">
      <c r="A842" t="s">
        <v>1379</v>
      </c>
      <c r="B842" t="s">
        <v>2409</v>
      </c>
      <c r="C842" t="s">
        <v>12</v>
      </c>
      <c r="D842" t="s">
        <v>13</v>
      </c>
      <c r="E842">
        <v>1359</v>
      </c>
      <c r="F842">
        <v>448.01</v>
      </c>
      <c r="G842">
        <v>452.5</v>
      </c>
      <c r="H842">
        <v>448.01</v>
      </c>
      <c r="I842">
        <v>1681</v>
      </c>
      <c r="J842">
        <v>85</v>
      </c>
      <c r="K842" s="17">
        <f t="shared" si="105"/>
        <v>4762.833333333333</v>
      </c>
      <c r="L842" t="str">
        <f t="shared" si="106"/>
        <v>High Risk</v>
      </c>
      <c r="P842" s="19">
        <f t="shared" si="107"/>
        <v>3404</v>
      </c>
      <c r="R842" s="19">
        <f t="shared" si="104"/>
        <v>1525026.04</v>
      </c>
      <c r="T842" s="19">
        <f t="shared" si="108"/>
        <v>760652.5</v>
      </c>
      <c r="U842" s="19">
        <f t="shared" si="109"/>
        <v>753104.80999999994</v>
      </c>
      <c r="V842" s="21">
        <f t="shared" si="110"/>
        <v>-7547.6900000000605</v>
      </c>
      <c r="W842" s="18">
        <f t="shared" si="111"/>
        <v>-9.9226519337017368E-3</v>
      </c>
    </row>
    <row r="843" spans="1:23" x14ac:dyDescent="0.3">
      <c r="A843" t="s">
        <v>509</v>
      </c>
      <c r="B843" t="s">
        <v>1086</v>
      </c>
      <c r="C843" t="s">
        <v>16</v>
      </c>
      <c r="D843" t="s">
        <v>26</v>
      </c>
      <c r="E843">
        <v>1363</v>
      </c>
      <c r="F843">
        <v>420.25</v>
      </c>
      <c r="G843">
        <v>377.46</v>
      </c>
      <c r="H843">
        <v>420.25</v>
      </c>
      <c r="I843">
        <v>2420</v>
      </c>
      <c r="J843">
        <v>38</v>
      </c>
      <c r="K843" s="17">
        <f t="shared" si="105"/>
        <v>3065.3333333333335</v>
      </c>
      <c r="L843" t="str">
        <f t="shared" si="106"/>
        <v>High Risk</v>
      </c>
      <c r="P843" s="19">
        <f t="shared" si="107"/>
        <v>1703</v>
      </c>
      <c r="R843" s="19">
        <f t="shared" si="104"/>
        <v>715685.75</v>
      </c>
      <c r="T843" s="19">
        <f t="shared" si="108"/>
        <v>913453.2</v>
      </c>
      <c r="U843" s="19">
        <f t="shared" si="109"/>
        <v>1017005</v>
      </c>
      <c r="V843" s="21">
        <f t="shared" si="110"/>
        <v>103551.80000000005</v>
      </c>
      <c r="W843" s="18">
        <f t="shared" si="111"/>
        <v>0.11336300535156049</v>
      </c>
    </row>
    <row r="844" spans="1:23" x14ac:dyDescent="0.3">
      <c r="A844" t="s">
        <v>890</v>
      </c>
      <c r="B844" t="s">
        <v>3256</v>
      </c>
      <c r="C844" t="s">
        <v>12</v>
      </c>
      <c r="D844" t="s">
        <v>13</v>
      </c>
      <c r="E844">
        <v>1363</v>
      </c>
      <c r="F844">
        <v>176.56</v>
      </c>
      <c r="G844">
        <v>152.83000000000001</v>
      </c>
      <c r="H844">
        <v>176.56</v>
      </c>
      <c r="I844">
        <v>2713</v>
      </c>
      <c r="J844">
        <v>90</v>
      </c>
      <c r="K844" s="17">
        <f t="shared" si="105"/>
        <v>8139</v>
      </c>
      <c r="L844" t="str">
        <f t="shared" si="106"/>
        <v>High Risk</v>
      </c>
      <c r="P844" s="19">
        <f t="shared" si="107"/>
        <v>6776</v>
      </c>
      <c r="R844" s="19">
        <f t="shared" si="104"/>
        <v>1196370.56</v>
      </c>
      <c r="T844" s="19">
        <f t="shared" si="108"/>
        <v>414627.79000000004</v>
      </c>
      <c r="U844" s="19">
        <f t="shared" si="109"/>
        <v>479007.28</v>
      </c>
      <c r="V844" s="21">
        <f t="shared" si="110"/>
        <v>64379.489999999991</v>
      </c>
      <c r="W844" s="18">
        <f t="shared" si="111"/>
        <v>0.15527056206242226</v>
      </c>
    </row>
    <row r="845" spans="1:23" x14ac:dyDescent="0.3">
      <c r="A845" t="s">
        <v>1679</v>
      </c>
      <c r="B845" t="s">
        <v>2799</v>
      </c>
      <c r="C845" t="s">
        <v>37</v>
      </c>
      <c r="D845" t="s">
        <v>69</v>
      </c>
      <c r="E845">
        <v>1364</v>
      </c>
      <c r="F845">
        <v>384.08</v>
      </c>
      <c r="G845">
        <v>323.12</v>
      </c>
      <c r="H845">
        <v>384.08</v>
      </c>
      <c r="I845">
        <v>943</v>
      </c>
      <c r="J845">
        <v>68</v>
      </c>
      <c r="K845" s="17">
        <f t="shared" si="105"/>
        <v>2137.4666666666667</v>
      </c>
      <c r="L845" t="str">
        <f t="shared" si="106"/>
        <v>High Risk</v>
      </c>
      <c r="P845" s="19">
        <f t="shared" si="107"/>
        <v>774</v>
      </c>
      <c r="R845" s="19">
        <f t="shared" si="104"/>
        <v>297277.92</v>
      </c>
      <c r="T845" s="19">
        <f t="shared" si="108"/>
        <v>304702.16000000003</v>
      </c>
      <c r="U845" s="19">
        <f t="shared" si="109"/>
        <v>362187.44</v>
      </c>
      <c r="V845" s="21">
        <f t="shared" si="110"/>
        <v>57485.27999999997</v>
      </c>
      <c r="W845" s="18">
        <f t="shared" si="111"/>
        <v>0.18866055954444158</v>
      </c>
    </row>
    <row r="846" spans="1:23" x14ac:dyDescent="0.3">
      <c r="A846" t="s">
        <v>1839</v>
      </c>
      <c r="B846" t="s">
        <v>3294</v>
      </c>
      <c r="C846" t="s">
        <v>12</v>
      </c>
      <c r="D846" t="s">
        <v>69</v>
      </c>
      <c r="E846">
        <v>1365</v>
      </c>
      <c r="F846">
        <v>30.19</v>
      </c>
      <c r="G846">
        <v>30.86</v>
      </c>
      <c r="H846">
        <v>30.19</v>
      </c>
      <c r="I846">
        <v>556</v>
      </c>
      <c r="J846">
        <v>71</v>
      </c>
      <c r="K846" s="17">
        <f t="shared" si="105"/>
        <v>1315.8666666666668</v>
      </c>
      <c r="L846" t="str">
        <f t="shared" si="106"/>
        <v>Sufficuent Stock</v>
      </c>
      <c r="P846" s="19">
        <f t="shared" si="107"/>
        <v>0</v>
      </c>
      <c r="R846" s="19">
        <f t="shared" si="104"/>
        <v>0</v>
      </c>
      <c r="T846" s="19">
        <f t="shared" si="108"/>
        <v>17158.16</v>
      </c>
      <c r="U846" s="19">
        <f t="shared" si="109"/>
        <v>16785.64</v>
      </c>
      <c r="V846" s="21">
        <f t="shared" si="110"/>
        <v>-372.52000000000044</v>
      </c>
      <c r="W846" s="18">
        <f t="shared" si="111"/>
        <v>-2.1710952689565806E-2</v>
      </c>
    </row>
    <row r="847" spans="1:23" x14ac:dyDescent="0.3">
      <c r="A847" t="s">
        <v>1033</v>
      </c>
      <c r="B847" t="s">
        <v>2645</v>
      </c>
      <c r="C847" t="s">
        <v>23</v>
      </c>
      <c r="D847" t="s">
        <v>20</v>
      </c>
      <c r="E847">
        <v>1368</v>
      </c>
      <c r="F847">
        <v>128.35</v>
      </c>
      <c r="G847">
        <v>139.88999999999999</v>
      </c>
      <c r="H847">
        <v>128.35</v>
      </c>
      <c r="I847">
        <v>1637</v>
      </c>
      <c r="J847">
        <v>31</v>
      </c>
      <c r="K847" s="17">
        <f t="shared" si="105"/>
        <v>1691.5666666666668</v>
      </c>
      <c r="L847" t="str">
        <f t="shared" si="106"/>
        <v>High Risk</v>
      </c>
      <c r="P847" s="19">
        <f t="shared" si="107"/>
        <v>324</v>
      </c>
      <c r="R847" s="19">
        <f t="shared" si="104"/>
        <v>41585.4</v>
      </c>
      <c r="T847" s="19">
        <f t="shared" si="108"/>
        <v>228999.92999999996</v>
      </c>
      <c r="U847" s="19">
        <f t="shared" si="109"/>
        <v>210108.94999999998</v>
      </c>
      <c r="V847" s="21">
        <f t="shared" si="110"/>
        <v>-18890.979999999981</v>
      </c>
      <c r="W847" s="18">
        <f t="shared" si="111"/>
        <v>-8.2493387661734155E-2</v>
      </c>
    </row>
    <row r="848" spans="1:23" x14ac:dyDescent="0.3">
      <c r="A848" t="s">
        <v>615</v>
      </c>
      <c r="B848" t="s">
        <v>2380</v>
      </c>
      <c r="C848" t="s">
        <v>16</v>
      </c>
      <c r="D848" t="s">
        <v>26</v>
      </c>
      <c r="E848">
        <v>1372</v>
      </c>
      <c r="F848">
        <v>203.66</v>
      </c>
      <c r="G848">
        <v>172.97</v>
      </c>
      <c r="H848">
        <v>203.66</v>
      </c>
      <c r="I848">
        <v>1827</v>
      </c>
      <c r="J848">
        <v>77</v>
      </c>
      <c r="K848" s="17">
        <f t="shared" si="105"/>
        <v>4689.3</v>
      </c>
      <c r="L848" t="str">
        <f t="shared" si="106"/>
        <v>High Risk</v>
      </c>
      <c r="P848" s="19">
        <f t="shared" si="107"/>
        <v>3318</v>
      </c>
      <c r="R848" s="19">
        <f t="shared" si="104"/>
        <v>675743.88</v>
      </c>
      <c r="T848" s="19">
        <f t="shared" si="108"/>
        <v>316016.19</v>
      </c>
      <c r="U848" s="19">
        <f t="shared" si="109"/>
        <v>372086.82</v>
      </c>
      <c r="V848" s="21">
        <f t="shared" si="110"/>
        <v>56070.630000000005</v>
      </c>
      <c r="W848" s="18">
        <f t="shared" si="111"/>
        <v>0.17742961207145749</v>
      </c>
    </row>
    <row r="849" spans="1:23" x14ac:dyDescent="0.3">
      <c r="A849" t="s">
        <v>470</v>
      </c>
      <c r="B849" t="s">
        <v>1216</v>
      </c>
      <c r="C849" t="s">
        <v>37</v>
      </c>
      <c r="D849" t="s">
        <v>13</v>
      </c>
      <c r="E849">
        <v>1373</v>
      </c>
      <c r="F849">
        <v>117.75</v>
      </c>
      <c r="G849">
        <v>114.83</v>
      </c>
      <c r="H849">
        <v>117.75</v>
      </c>
      <c r="I849">
        <v>2897</v>
      </c>
      <c r="J849">
        <v>57</v>
      </c>
      <c r="K849" s="17">
        <f t="shared" si="105"/>
        <v>5504.3</v>
      </c>
      <c r="L849" t="str">
        <f t="shared" si="106"/>
        <v>High Risk</v>
      </c>
      <c r="P849" s="19">
        <f t="shared" si="107"/>
        <v>4132</v>
      </c>
      <c r="R849" s="19">
        <f t="shared" si="104"/>
        <v>486543</v>
      </c>
      <c r="T849" s="19">
        <f t="shared" si="108"/>
        <v>332662.51</v>
      </c>
      <c r="U849" s="19">
        <f t="shared" si="109"/>
        <v>341121.75</v>
      </c>
      <c r="V849" s="21">
        <f t="shared" si="110"/>
        <v>8459.2399999999907</v>
      </c>
      <c r="W849" s="18">
        <f t="shared" si="111"/>
        <v>2.5428894888095417E-2</v>
      </c>
    </row>
    <row r="850" spans="1:23" x14ac:dyDescent="0.3">
      <c r="A850" t="s">
        <v>286</v>
      </c>
      <c r="B850" t="s">
        <v>1834</v>
      </c>
      <c r="C850" t="s">
        <v>16</v>
      </c>
      <c r="D850" t="s">
        <v>26</v>
      </c>
      <c r="E850">
        <v>1373</v>
      </c>
      <c r="F850">
        <v>95.37</v>
      </c>
      <c r="G850">
        <v>87.2</v>
      </c>
      <c r="H850">
        <v>95.37</v>
      </c>
      <c r="I850">
        <v>3316</v>
      </c>
      <c r="J850">
        <v>78</v>
      </c>
      <c r="K850" s="17">
        <f t="shared" si="105"/>
        <v>8621.6</v>
      </c>
      <c r="L850" t="str">
        <f t="shared" si="106"/>
        <v>High Risk</v>
      </c>
      <c r="P850" s="19">
        <f t="shared" si="107"/>
        <v>7249</v>
      </c>
      <c r="R850" s="19">
        <f t="shared" si="104"/>
        <v>691337.13</v>
      </c>
      <c r="T850" s="19">
        <f t="shared" si="108"/>
        <v>289155.20000000001</v>
      </c>
      <c r="U850" s="19">
        <f t="shared" si="109"/>
        <v>316246.92000000004</v>
      </c>
      <c r="V850" s="21">
        <f t="shared" si="110"/>
        <v>27091.72000000003</v>
      </c>
      <c r="W850" s="18">
        <f t="shared" si="111"/>
        <v>9.3692660550458814E-2</v>
      </c>
    </row>
    <row r="851" spans="1:23" x14ac:dyDescent="0.3">
      <c r="A851" t="s">
        <v>976</v>
      </c>
      <c r="B851" t="s">
        <v>2375</v>
      </c>
      <c r="C851" t="s">
        <v>23</v>
      </c>
      <c r="D851" t="s">
        <v>13</v>
      </c>
      <c r="E851">
        <v>1373</v>
      </c>
      <c r="F851">
        <v>361.12</v>
      </c>
      <c r="G851">
        <v>333.69</v>
      </c>
      <c r="H851">
        <v>361.12</v>
      </c>
      <c r="I851">
        <v>635</v>
      </c>
      <c r="J851">
        <v>18</v>
      </c>
      <c r="K851" s="17">
        <f t="shared" si="105"/>
        <v>381</v>
      </c>
      <c r="L851" t="str">
        <f t="shared" si="106"/>
        <v>Sufficuent Stock</v>
      </c>
      <c r="P851" s="19">
        <f t="shared" si="107"/>
        <v>0</v>
      </c>
      <c r="R851" s="19">
        <f t="shared" si="104"/>
        <v>0</v>
      </c>
      <c r="T851" s="19">
        <f t="shared" si="108"/>
        <v>211893.15</v>
      </c>
      <c r="U851" s="19">
        <f t="shared" si="109"/>
        <v>229311.2</v>
      </c>
      <c r="V851" s="21">
        <f t="shared" si="110"/>
        <v>17418.050000000017</v>
      </c>
      <c r="W851" s="18">
        <f t="shared" si="111"/>
        <v>8.2202043813120046E-2</v>
      </c>
    </row>
    <row r="852" spans="1:23" x14ac:dyDescent="0.3">
      <c r="A852" t="s">
        <v>165</v>
      </c>
      <c r="B852" t="s">
        <v>3034</v>
      </c>
      <c r="C852" t="s">
        <v>12</v>
      </c>
      <c r="D852" t="s">
        <v>13</v>
      </c>
      <c r="E852">
        <v>1373</v>
      </c>
      <c r="F852">
        <v>571.17999999999995</v>
      </c>
      <c r="G852">
        <v>477.86</v>
      </c>
      <c r="H852">
        <v>571.17999999999995</v>
      </c>
      <c r="I852">
        <v>1213</v>
      </c>
      <c r="J852">
        <v>30</v>
      </c>
      <c r="K852" s="17">
        <f t="shared" si="105"/>
        <v>1213</v>
      </c>
      <c r="L852" t="str">
        <f t="shared" si="106"/>
        <v>Sufficuent Stock</v>
      </c>
      <c r="P852" s="19">
        <f t="shared" si="107"/>
        <v>0</v>
      </c>
      <c r="R852" s="19">
        <f t="shared" si="104"/>
        <v>0</v>
      </c>
      <c r="T852" s="19">
        <f t="shared" si="108"/>
        <v>579644.18000000005</v>
      </c>
      <c r="U852" s="19">
        <f t="shared" si="109"/>
        <v>692841.34</v>
      </c>
      <c r="V852" s="21">
        <f t="shared" si="110"/>
        <v>113197.15999999992</v>
      </c>
      <c r="W852" s="18">
        <f t="shared" si="111"/>
        <v>0.19528732264680015</v>
      </c>
    </row>
    <row r="853" spans="1:23" x14ac:dyDescent="0.3">
      <c r="A853" t="s">
        <v>1096</v>
      </c>
      <c r="B853" t="s">
        <v>3091</v>
      </c>
      <c r="C853" t="s">
        <v>12</v>
      </c>
      <c r="D853" t="s">
        <v>26</v>
      </c>
      <c r="E853">
        <v>1374</v>
      </c>
      <c r="F853">
        <v>486.11</v>
      </c>
      <c r="G853">
        <v>420.68</v>
      </c>
      <c r="H853">
        <v>486.11</v>
      </c>
      <c r="I853">
        <v>2556</v>
      </c>
      <c r="J853">
        <v>40</v>
      </c>
      <c r="K853" s="17">
        <f t="shared" si="105"/>
        <v>3408</v>
      </c>
      <c r="L853" t="str">
        <f t="shared" si="106"/>
        <v>High Risk</v>
      </c>
      <c r="P853" s="19">
        <f t="shared" si="107"/>
        <v>2034</v>
      </c>
      <c r="R853" s="19">
        <f t="shared" si="104"/>
        <v>988747.74</v>
      </c>
      <c r="T853" s="19">
        <f t="shared" si="108"/>
        <v>1075258.08</v>
      </c>
      <c r="U853" s="19">
        <f t="shared" si="109"/>
        <v>1242497.1600000001</v>
      </c>
      <c r="V853" s="21">
        <f t="shared" si="110"/>
        <v>167239.08000000007</v>
      </c>
      <c r="W853" s="18">
        <f t="shared" si="111"/>
        <v>0.15553389749928692</v>
      </c>
    </row>
    <row r="854" spans="1:23" x14ac:dyDescent="0.3">
      <c r="A854" t="s">
        <v>376</v>
      </c>
      <c r="B854" t="s">
        <v>1161</v>
      </c>
      <c r="C854" t="s">
        <v>50</v>
      </c>
      <c r="D854" t="s">
        <v>26</v>
      </c>
      <c r="E854">
        <v>1374</v>
      </c>
      <c r="F854">
        <v>242.02</v>
      </c>
      <c r="G854">
        <v>226.88</v>
      </c>
      <c r="H854">
        <v>242.02</v>
      </c>
      <c r="I854">
        <v>569</v>
      </c>
      <c r="J854">
        <v>34</v>
      </c>
      <c r="K854" s="17">
        <f t="shared" si="105"/>
        <v>644.86666666666656</v>
      </c>
      <c r="L854" t="str">
        <f t="shared" si="106"/>
        <v>Sufficuent Stock</v>
      </c>
      <c r="P854" s="19">
        <f t="shared" si="107"/>
        <v>0</v>
      </c>
      <c r="R854" s="19">
        <f t="shared" si="104"/>
        <v>0</v>
      </c>
      <c r="T854" s="19">
        <f t="shared" si="108"/>
        <v>129094.72</v>
      </c>
      <c r="U854" s="19">
        <f t="shared" si="109"/>
        <v>137709.38</v>
      </c>
      <c r="V854" s="21">
        <f t="shared" si="110"/>
        <v>8614.6600000000035</v>
      </c>
      <c r="W854" s="18">
        <f t="shared" si="111"/>
        <v>6.6731311706629076E-2</v>
      </c>
    </row>
    <row r="855" spans="1:23" x14ac:dyDescent="0.3">
      <c r="A855" t="s">
        <v>226</v>
      </c>
      <c r="B855" t="s">
        <v>227</v>
      </c>
      <c r="C855" t="s">
        <v>16</v>
      </c>
      <c r="D855" t="s">
        <v>69</v>
      </c>
      <c r="E855">
        <v>1380</v>
      </c>
      <c r="F855">
        <v>217.08</v>
      </c>
      <c r="G855">
        <v>199.86</v>
      </c>
      <c r="H855">
        <v>217.08</v>
      </c>
      <c r="I855">
        <v>2079</v>
      </c>
      <c r="J855">
        <v>56</v>
      </c>
      <c r="K855" s="17">
        <f t="shared" si="105"/>
        <v>3880.7999999999997</v>
      </c>
      <c r="L855" t="str">
        <f t="shared" si="106"/>
        <v>High Risk</v>
      </c>
      <c r="P855" s="19">
        <f t="shared" si="107"/>
        <v>2501</v>
      </c>
      <c r="R855" s="19">
        <f t="shared" si="104"/>
        <v>542917.08000000007</v>
      </c>
      <c r="T855" s="19">
        <f t="shared" si="108"/>
        <v>415508.94</v>
      </c>
      <c r="U855" s="19">
        <f t="shared" si="109"/>
        <v>451309.32</v>
      </c>
      <c r="V855" s="21">
        <f t="shared" si="110"/>
        <v>35800.380000000005</v>
      </c>
      <c r="W855" s="18">
        <f t="shared" si="111"/>
        <v>8.6160312218552998E-2</v>
      </c>
    </row>
    <row r="856" spans="1:23" x14ac:dyDescent="0.3">
      <c r="A856" t="s">
        <v>147</v>
      </c>
      <c r="B856" t="s">
        <v>2340</v>
      </c>
      <c r="C856" t="s">
        <v>23</v>
      </c>
      <c r="D856" t="s">
        <v>13</v>
      </c>
      <c r="E856">
        <v>1380</v>
      </c>
      <c r="F856">
        <v>331.36</v>
      </c>
      <c r="G856">
        <v>296.70999999999998</v>
      </c>
      <c r="H856">
        <v>331.36</v>
      </c>
      <c r="I856">
        <v>1048</v>
      </c>
      <c r="J856">
        <v>9</v>
      </c>
      <c r="K856" s="17">
        <f t="shared" si="105"/>
        <v>314.39999999999998</v>
      </c>
      <c r="L856" t="str">
        <f t="shared" si="106"/>
        <v>Sufficuent Stock</v>
      </c>
      <c r="P856" s="19">
        <f t="shared" si="107"/>
        <v>0</v>
      </c>
      <c r="R856" s="19">
        <f t="shared" si="104"/>
        <v>0</v>
      </c>
      <c r="T856" s="19">
        <f t="shared" si="108"/>
        <v>310952.07999999996</v>
      </c>
      <c r="U856" s="19">
        <f t="shared" si="109"/>
        <v>347265.28000000003</v>
      </c>
      <c r="V856" s="21">
        <f t="shared" si="110"/>
        <v>36313.20000000007</v>
      </c>
      <c r="W856" s="18">
        <f t="shared" si="111"/>
        <v>0.11678069495466978</v>
      </c>
    </row>
    <row r="857" spans="1:23" x14ac:dyDescent="0.3">
      <c r="A857" t="s">
        <v>288</v>
      </c>
      <c r="B857" t="s">
        <v>289</v>
      </c>
      <c r="C857" t="s">
        <v>50</v>
      </c>
      <c r="D857" t="s">
        <v>20</v>
      </c>
      <c r="E857">
        <v>1381</v>
      </c>
      <c r="F857">
        <v>110.05</v>
      </c>
      <c r="G857">
        <v>118.83</v>
      </c>
      <c r="H857">
        <v>110.05</v>
      </c>
      <c r="I857">
        <v>1830</v>
      </c>
      <c r="J857">
        <v>31</v>
      </c>
      <c r="K857" s="17">
        <f t="shared" si="105"/>
        <v>1891</v>
      </c>
      <c r="L857" t="str">
        <f t="shared" si="106"/>
        <v>High Risk</v>
      </c>
      <c r="P857" s="19">
        <f t="shared" si="107"/>
        <v>510</v>
      </c>
      <c r="R857" s="19">
        <f t="shared" si="104"/>
        <v>56125.5</v>
      </c>
      <c r="T857" s="19">
        <f t="shared" si="108"/>
        <v>217458.9</v>
      </c>
      <c r="U857" s="19">
        <f t="shared" si="109"/>
        <v>201391.5</v>
      </c>
      <c r="V857" s="21">
        <f t="shared" si="110"/>
        <v>-16067.399999999994</v>
      </c>
      <c r="W857" s="18">
        <f t="shared" si="111"/>
        <v>-7.3887065555836046E-2</v>
      </c>
    </row>
    <row r="858" spans="1:23" x14ac:dyDescent="0.3">
      <c r="A858" t="s">
        <v>825</v>
      </c>
      <c r="B858" t="s">
        <v>936</v>
      </c>
      <c r="C858" t="s">
        <v>16</v>
      </c>
      <c r="D858" t="s">
        <v>13</v>
      </c>
      <c r="E858">
        <v>1382</v>
      </c>
      <c r="F858">
        <v>227.3</v>
      </c>
      <c r="G858">
        <v>217.56</v>
      </c>
      <c r="H858">
        <v>227.3</v>
      </c>
      <c r="I858">
        <v>1756</v>
      </c>
      <c r="J858">
        <v>18</v>
      </c>
      <c r="K858" s="17">
        <f t="shared" si="105"/>
        <v>1053.5999999999999</v>
      </c>
      <c r="L858" t="str">
        <f t="shared" si="106"/>
        <v>Sufficuent Stock</v>
      </c>
      <c r="P858" s="19">
        <f t="shared" si="107"/>
        <v>0</v>
      </c>
      <c r="R858" s="19">
        <f t="shared" si="104"/>
        <v>0</v>
      </c>
      <c r="T858" s="19">
        <f t="shared" si="108"/>
        <v>382035.36</v>
      </c>
      <c r="U858" s="19">
        <f t="shared" si="109"/>
        <v>399138.80000000005</v>
      </c>
      <c r="V858" s="21">
        <f t="shared" si="110"/>
        <v>17103.440000000061</v>
      </c>
      <c r="W858" s="18">
        <f t="shared" si="111"/>
        <v>4.4769259054973504E-2</v>
      </c>
    </row>
    <row r="859" spans="1:23" x14ac:dyDescent="0.3">
      <c r="A859" t="s">
        <v>90</v>
      </c>
      <c r="B859" t="s">
        <v>1538</v>
      </c>
      <c r="C859" t="s">
        <v>50</v>
      </c>
      <c r="D859" t="s">
        <v>13</v>
      </c>
      <c r="E859">
        <v>1383</v>
      </c>
      <c r="F859">
        <v>510.48</v>
      </c>
      <c r="G859">
        <v>491.33</v>
      </c>
      <c r="H859">
        <v>510.48</v>
      </c>
      <c r="I859">
        <v>2624</v>
      </c>
      <c r="J859">
        <v>28</v>
      </c>
      <c r="K859" s="17">
        <f t="shared" si="105"/>
        <v>2449.0666666666666</v>
      </c>
      <c r="L859" t="str">
        <f t="shared" si="106"/>
        <v>High Risk</v>
      </c>
      <c r="P859" s="19">
        <f t="shared" si="107"/>
        <v>1067</v>
      </c>
      <c r="R859" s="19">
        <f t="shared" si="104"/>
        <v>544682.16</v>
      </c>
      <c r="T859" s="19">
        <f t="shared" si="108"/>
        <v>1289249.92</v>
      </c>
      <c r="U859" s="19">
        <f t="shared" si="109"/>
        <v>1339499.52</v>
      </c>
      <c r="V859" s="21">
        <f t="shared" si="110"/>
        <v>50249.600000000093</v>
      </c>
      <c r="W859" s="18">
        <f t="shared" si="111"/>
        <v>3.8975841084403634E-2</v>
      </c>
    </row>
    <row r="860" spans="1:23" x14ac:dyDescent="0.3">
      <c r="A860" t="s">
        <v>1542</v>
      </c>
      <c r="B860" t="s">
        <v>2024</v>
      </c>
      <c r="C860" t="s">
        <v>50</v>
      </c>
      <c r="D860" t="s">
        <v>69</v>
      </c>
      <c r="E860">
        <v>1385</v>
      </c>
      <c r="F860">
        <v>559.29</v>
      </c>
      <c r="G860">
        <v>466.77</v>
      </c>
      <c r="H860">
        <v>559.29</v>
      </c>
      <c r="I860">
        <v>1111</v>
      </c>
      <c r="J860">
        <v>35</v>
      </c>
      <c r="K860" s="17">
        <f t="shared" si="105"/>
        <v>1296.1666666666665</v>
      </c>
      <c r="L860" t="str">
        <f t="shared" si="106"/>
        <v>Sufficuent Stock</v>
      </c>
      <c r="P860" s="19">
        <f t="shared" si="107"/>
        <v>0</v>
      </c>
      <c r="R860" s="19">
        <f t="shared" si="104"/>
        <v>0</v>
      </c>
      <c r="T860" s="19">
        <f t="shared" si="108"/>
        <v>518581.47</v>
      </c>
      <c r="U860" s="19">
        <f t="shared" si="109"/>
        <v>621371.18999999994</v>
      </c>
      <c r="V860" s="21">
        <f t="shared" si="110"/>
        <v>102789.71999999997</v>
      </c>
      <c r="W860" s="18">
        <f t="shared" si="111"/>
        <v>0.19821325277974158</v>
      </c>
    </row>
    <row r="861" spans="1:23" x14ac:dyDescent="0.3">
      <c r="A861" t="s">
        <v>253</v>
      </c>
      <c r="B861" t="s">
        <v>1871</v>
      </c>
      <c r="C861" t="s">
        <v>23</v>
      </c>
      <c r="D861" t="s">
        <v>17</v>
      </c>
      <c r="E861">
        <v>1385</v>
      </c>
      <c r="F861">
        <v>177.69</v>
      </c>
      <c r="G861">
        <v>196.56</v>
      </c>
      <c r="H861">
        <v>177.69</v>
      </c>
      <c r="I861">
        <v>3152</v>
      </c>
      <c r="J861">
        <v>45</v>
      </c>
      <c r="K861" s="17">
        <f t="shared" si="105"/>
        <v>4728</v>
      </c>
      <c r="L861" t="str">
        <f t="shared" si="106"/>
        <v>High Risk</v>
      </c>
      <c r="P861" s="19">
        <f t="shared" si="107"/>
        <v>3343</v>
      </c>
      <c r="R861" s="19">
        <f t="shared" si="104"/>
        <v>594017.67000000004</v>
      </c>
      <c r="T861" s="19">
        <f t="shared" si="108"/>
        <v>619557.12</v>
      </c>
      <c r="U861" s="19">
        <f t="shared" si="109"/>
        <v>560078.88</v>
      </c>
      <c r="V861" s="21">
        <f t="shared" si="110"/>
        <v>-59478.239999999991</v>
      </c>
      <c r="W861" s="18">
        <f t="shared" si="111"/>
        <v>-9.6001221001220993E-2</v>
      </c>
    </row>
    <row r="862" spans="1:23" x14ac:dyDescent="0.3">
      <c r="A862" t="s">
        <v>229</v>
      </c>
      <c r="B862" t="s">
        <v>1731</v>
      </c>
      <c r="C862" t="s">
        <v>12</v>
      </c>
      <c r="D862" t="s">
        <v>20</v>
      </c>
      <c r="E862">
        <v>1386</v>
      </c>
      <c r="F862">
        <v>171.47</v>
      </c>
      <c r="G862">
        <v>172.44</v>
      </c>
      <c r="H862">
        <v>171.47</v>
      </c>
      <c r="I862">
        <v>1871</v>
      </c>
      <c r="J862">
        <v>62</v>
      </c>
      <c r="K862" s="17">
        <f t="shared" si="105"/>
        <v>3866.7333333333336</v>
      </c>
      <c r="L862" t="str">
        <f t="shared" si="106"/>
        <v>High Risk</v>
      </c>
      <c r="P862" s="19">
        <f t="shared" si="107"/>
        <v>2481</v>
      </c>
      <c r="R862" s="19">
        <f t="shared" si="104"/>
        <v>425417.07</v>
      </c>
      <c r="T862" s="19">
        <f t="shared" si="108"/>
        <v>322635.24</v>
      </c>
      <c r="U862" s="19">
        <f t="shared" si="109"/>
        <v>320820.37</v>
      </c>
      <c r="V862" s="21">
        <f t="shared" si="110"/>
        <v>-1814.8699999999953</v>
      </c>
      <c r="W862" s="18">
        <f t="shared" si="111"/>
        <v>-5.6251449779633356E-3</v>
      </c>
    </row>
    <row r="863" spans="1:23" x14ac:dyDescent="0.3">
      <c r="A863" t="s">
        <v>331</v>
      </c>
      <c r="B863" t="s">
        <v>1470</v>
      </c>
      <c r="C863" t="s">
        <v>16</v>
      </c>
      <c r="D863" t="s">
        <v>13</v>
      </c>
      <c r="E863">
        <v>1387</v>
      </c>
      <c r="F863">
        <v>458.12</v>
      </c>
      <c r="G863">
        <v>470.24</v>
      </c>
      <c r="H863">
        <v>458.12</v>
      </c>
      <c r="I863">
        <v>2527</v>
      </c>
      <c r="J863">
        <v>72</v>
      </c>
      <c r="K863" s="17">
        <f t="shared" si="105"/>
        <v>6064.8</v>
      </c>
      <c r="L863" t="str">
        <f t="shared" si="106"/>
        <v>High Risk</v>
      </c>
      <c r="P863" s="19">
        <f t="shared" si="107"/>
        <v>4678</v>
      </c>
      <c r="R863" s="19">
        <f t="shared" si="104"/>
        <v>2143085.36</v>
      </c>
      <c r="T863" s="19">
        <f t="shared" si="108"/>
        <v>1188296.48</v>
      </c>
      <c r="U863" s="19">
        <f t="shared" si="109"/>
        <v>1157669.24</v>
      </c>
      <c r="V863" s="21">
        <f t="shared" si="110"/>
        <v>-30627.239999999991</v>
      </c>
      <c r="W863" s="18">
        <f t="shared" si="111"/>
        <v>-2.5774072813882266E-2</v>
      </c>
    </row>
    <row r="864" spans="1:23" x14ac:dyDescent="0.3">
      <c r="A864" t="s">
        <v>82</v>
      </c>
      <c r="B864" t="s">
        <v>2845</v>
      </c>
      <c r="C864" t="s">
        <v>12</v>
      </c>
      <c r="D864" t="s">
        <v>17</v>
      </c>
      <c r="E864">
        <v>1388</v>
      </c>
      <c r="F864">
        <v>576.07000000000005</v>
      </c>
      <c r="G864">
        <v>481.06</v>
      </c>
      <c r="H864">
        <v>576.07000000000005</v>
      </c>
      <c r="I864">
        <v>1247</v>
      </c>
      <c r="J864">
        <v>19</v>
      </c>
      <c r="K864" s="17">
        <f t="shared" si="105"/>
        <v>789.76666666666677</v>
      </c>
      <c r="L864" t="str">
        <f t="shared" si="106"/>
        <v>Sufficuent Stock</v>
      </c>
      <c r="P864" s="19">
        <f t="shared" si="107"/>
        <v>0</v>
      </c>
      <c r="R864" s="19">
        <f t="shared" si="104"/>
        <v>0</v>
      </c>
      <c r="T864" s="19">
        <f t="shared" si="108"/>
        <v>599881.81999999995</v>
      </c>
      <c r="U864" s="19">
        <f t="shared" si="109"/>
        <v>718359.29</v>
      </c>
      <c r="V864" s="21">
        <f t="shared" si="110"/>
        <v>118477.47000000009</v>
      </c>
      <c r="W864" s="18">
        <f t="shared" si="111"/>
        <v>0.19750135118280479</v>
      </c>
    </row>
    <row r="865" spans="1:23" x14ac:dyDescent="0.3">
      <c r="A865" t="s">
        <v>2050</v>
      </c>
      <c r="B865" t="s">
        <v>2251</v>
      </c>
      <c r="C865" t="s">
        <v>16</v>
      </c>
      <c r="D865" t="s">
        <v>17</v>
      </c>
      <c r="E865">
        <v>1390</v>
      </c>
      <c r="F865">
        <v>111.74</v>
      </c>
      <c r="G865">
        <v>98.06</v>
      </c>
      <c r="H865">
        <v>111.74</v>
      </c>
      <c r="I865">
        <v>3173</v>
      </c>
      <c r="J865">
        <v>82</v>
      </c>
      <c r="K865" s="17">
        <f t="shared" si="105"/>
        <v>8672.8666666666668</v>
      </c>
      <c r="L865" t="str">
        <f t="shared" si="106"/>
        <v>High Risk</v>
      </c>
      <c r="P865" s="19">
        <f t="shared" si="107"/>
        <v>7283</v>
      </c>
      <c r="R865" s="19">
        <f t="shared" si="104"/>
        <v>813802.41999999993</v>
      </c>
      <c r="T865" s="19">
        <f t="shared" si="108"/>
        <v>311144.38</v>
      </c>
      <c r="U865" s="19">
        <f t="shared" si="109"/>
        <v>354551.01999999996</v>
      </c>
      <c r="V865" s="21">
        <f t="shared" si="110"/>
        <v>43406.639999999956</v>
      </c>
      <c r="W865" s="18">
        <f t="shared" si="111"/>
        <v>0.13950642463797661</v>
      </c>
    </row>
    <row r="866" spans="1:23" x14ac:dyDescent="0.3">
      <c r="A866" t="s">
        <v>226</v>
      </c>
      <c r="B866" t="s">
        <v>2880</v>
      </c>
      <c r="C866" t="s">
        <v>23</v>
      </c>
      <c r="D866" t="s">
        <v>20</v>
      </c>
      <c r="E866">
        <v>1394</v>
      </c>
      <c r="F866">
        <v>422.22</v>
      </c>
      <c r="G866">
        <v>386.1</v>
      </c>
      <c r="H866">
        <v>422.22</v>
      </c>
      <c r="I866">
        <v>759</v>
      </c>
      <c r="J866">
        <v>26</v>
      </c>
      <c r="K866" s="17">
        <f t="shared" si="105"/>
        <v>657.80000000000007</v>
      </c>
      <c r="L866" t="str">
        <f t="shared" si="106"/>
        <v>Sufficuent Stock</v>
      </c>
      <c r="P866" s="19">
        <f t="shared" si="107"/>
        <v>0</v>
      </c>
      <c r="R866" s="19">
        <f t="shared" si="104"/>
        <v>0</v>
      </c>
      <c r="T866" s="19">
        <f t="shared" si="108"/>
        <v>293049.90000000002</v>
      </c>
      <c r="U866" s="19">
        <f t="shared" si="109"/>
        <v>320464.98000000004</v>
      </c>
      <c r="V866" s="21">
        <f t="shared" si="110"/>
        <v>27415.080000000016</v>
      </c>
      <c r="W866" s="18">
        <f t="shared" si="111"/>
        <v>9.3550893550893605E-2</v>
      </c>
    </row>
    <row r="867" spans="1:23" x14ac:dyDescent="0.3">
      <c r="A867" t="s">
        <v>430</v>
      </c>
      <c r="B867" t="s">
        <v>3087</v>
      </c>
      <c r="C867" t="s">
        <v>16</v>
      </c>
      <c r="D867" t="s">
        <v>69</v>
      </c>
      <c r="E867">
        <v>1395</v>
      </c>
      <c r="F867">
        <v>19.899999999999999</v>
      </c>
      <c r="G867">
        <v>18.93</v>
      </c>
      <c r="H867">
        <v>19.899999999999999</v>
      </c>
      <c r="I867">
        <v>3241</v>
      </c>
      <c r="J867">
        <v>29</v>
      </c>
      <c r="K867" s="17">
        <f t="shared" si="105"/>
        <v>3132.9666666666667</v>
      </c>
      <c r="L867" t="str">
        <f t="shared" si="106"/>
        <v>High Risk</v>
      </c>
      <c r="P867" s="19">
        <f t="shared" si="107"/>
        <v>1738</v>
      </c>
      <c r="R867" s="19">
        <f t="shared" si="104"/>
        <v>34586.199999999997</v>
      </c>
      <c r="T867" s="19">
        <f t="shared" si="108"/>
        <v>61352.13</v>
      </c>
      <c r="U867" s="19">
        <f t="shared" si="109"/>
        <v>64495.899999999994</v>
      </c>
      <c r="V867" s="21">
        <f t="shared" si="110"/>
        <v>3143.7699999999968</v>
      </c>
      <c r="W867" s="18">
        <f t="shared" si="111"/>
        <v>5.1241415742208085E-2</v>
      </c>
    </row>
    <row r="868" spans="1:23" x14ac:dyDescent="0.3">
      <c r="A868" t="s">
        <v>788</v>
      </c>
      <c r="B868" t="s">
        <v>789</v>
      </c>
      <c r="C868" t="s">
        <v>12</v>
      </c>
      <c r="D868" t="s">
        <v>69</v>
      </c>
      <c r="E868">
        <v>1397</v>
      </c>
      <c r="F868">
        <v>199.23</v>
      </c>
      <c r="G868">
        <v>206.97</v>
      </c>
      <c r="H868">
        <v>199.23</v>
      </c>
      <c r="I868">
        <v>3275</v>
      </c>
      <c r="J868">
        <v>75</v>
      </c>
      <c r="K868" s="17">
        <f t="shared" si="105"/>
        <v>8187.5</v>
      </c>
      <c r="L868" t="str">
        <f t="shared" si="106"/>
        <v>High Risk</v>
      </c>
      <c r="P868" s="19">
        <f t="shared" si="107"/>
        <v>6791</v>
      </c>
      <c r="R868" s="19">
        <f t="shared" si="104"/>
        <v>1352970.93</v>
      </c>
      <c r="T868" s="19">
        <f t="shared" si="108"/>
        <v>677826.75</v>
      </c>
      <c r="U868" s="19">
        <f t="shared" si="109"/>
        <v>652478.25</v>
      </c>
      <c r="V868" s="21">
        <f t="shared" si="110"/>
        <v>-25348.5</v>
      </c>
      <c r="W868" s="18">
        <f t="shared" si="111"/>
        <v>-3.7396724162922161E-2</v>
      </c>
    </row>
    <row r="869" spans="1:23" x14ac:dyDescent="0.3">
      <c r="A869" t="s">
        <v>63</v>
      </c>
      <c r="B869" t="s">
        <v>3062</v>
      </c>
      <c r="C869" t="s">
        <v>50</v>
      </c>
      <c r="D869" t="s">
        <v>20</v>
      </c>
      <c r="E869">
        <v>1397</v>
      </c>
      <c r="F869">
        <v>421.87</v>
      </c>
      <c r="G869">
        <v>425.13</v>
      </c>
      <c r="H869">
        <v>421.87</v>
      </c>
      <c r="I869">
        <v>3057</v>
      </c>
      <c r="J869">
        <v>82</v>
      </c>
      <c r="K869" s="17">
        <f t="shared" si="105"/>
        <v>8355.8000000000011</v>
      </c>
      <c r="L869" t="str">
        <f t="shared" si="106"/>
        <v>High Risk</v>
      </c>
      <c r="N869">
        <f>COUNTIF(L869:L3868,"High Risk")</f>
        <v>879</v>
      </c>
      <c r="O869" s="18">
        <f>N869/COUNTA(B869:B3868)</f>
        <v>0.41209563994374121</v>
      </c>
      <c r="P869" s="19">
        <f t="shared" si="107"/>
        <v>6959</v>
      </c>
      <c r="Q869" s="17">
        <f>SUM(P869:P3868)</f>
        <v>2435680</v>
      </c>
      <c r="R869" s="19">
        <f t="shared" si="104"/>
        <v>2935793.33</v>
      </c>
      <c r="S869" s="19">
        <f>SUM(R869:R3868)</f>
        <v>620807388.28999937</v>
      </c>
      <c r="T869" s="19">
        <f t="shared" si="108"/>
        <v>1299622.4099999999</v>
      </c>
      <c r="U869" s="19">
        <f t="shared" si="109"/>
        <v>1289656.5900000001</v>
      </c>
      <c r="V869" s="21">
        <f t="shared" si="110"/>
        <v>-9965.8199999998324</v>
      </c>
      <c r="W869" s="18">
        <f t="shared" si="111"/>
        <v>-7.6682426551876962E-3</v>
      </c>
    </row>
    <row r="870" spans="1:23" x14ac:dyDescent="0.3">
      <c r="A870" t="s">
        <v>803</v>
      </c>
      <c r="B870" t="s">
        <v>1208</v>
      </c>
      <c r="C870" t="s">
        <v>12</v>
      </c>
      <c r="D870" t="s">
        <v>17</v>
      </c>
      <c r="E870">
        <v>1399</v>
      </c>
      <c r="F870">
        <v>488.8</v>
      </c>
      <c r="G870">
        <v>448.99</v>
      </c>
      <c r="H870">
        <v>488.8</v>
      </c>
      <c r="I870">
        <v>3685</v>
      </c>
      <c r="J870">
        <v>85</v>
      </c>
      <c r="K870" s="17">
        <f t="shared" si="105"/>
        <v>10440.833333333332</v>
      </c>
      <c r="L870" t="str">
        <f t="shared" si="106"/>
        <v>High Risk</v>
      </c>
      <c r="P870" s="19">
        <f t="shared" si="107"/>
        <v>9042</v>
      </c>
      <c r="R870" s="19">
        <f t="shared" si="104"/>
        <v>4419729.6000000006</v>
      </c>
      <c r="T870" s="19">
        <f t="shared" si="108"/>
        <v>1654528.1500000001</v>
      </c>
      <c r="U870" s="19">
        <f t="shared" si="109"/>
        <v>1801228</v>
      </c>
      <c r="V870" s="21">
        <f t="shared" si="110"/>
        <v>146699.84999999986</v>
      </c>
      <c r="W870" s="18">
        <f t="shared" si="111"/>
        <v>8.866567184124359E-2</v>
      </c>
    </row>
    <row r="871" spans="1:23" x14ac:dyDescent="0.3">
      <c r="A871" t="s">
        <v>427</v>
      </c>
      <c r="B871" t="s">
        <v>3326</v>
      </c>
      <c r="C871" t="s">
        <v>37</v>
      </c>
      <c r="D871" t="s">
        <v>26</v>
      </c>
      <c r="E871">
        <v>1401</v>
      </c>
      <c r="F871">
        <v>115.61</v>
      </c>
      <c r="G871">
        <v>117.62</v>
      </c>
      <c r="H871">
        <v>115.61</v>
      </c>
      <c r="I871">
        <v>3761</v>
      </c>
      <c r="J871">
        <v>53</v>
      </c>
      <c r="K871" s="17">
        <f t="shared" si="105"/>
        <v>6644.4333333333334</v>
      </c>
      <c r="L871" t="str">
        <f t="shared" si="106"/>
        <v>High Risk</v>
      </c>
      <c r="P871" s="19">
        <f t="shared" si="107"/>
        <v>5244</v>
      </c>
      <c r="R871" s="19">
        <f t="shared" si="104"/>
        <v>606258.84</v>
      </c>
      <c r="T871" s="19">
        <f t="shared" si="108"/>
        <v>442368.82</v>
      </c>
      <c r="U871" s="19">
        <f t="shared" si="109"/>
        <v>434809.21</v>
      </c>
      <c r="V871" s="21">
        <f t="shared" si="110"/>
        <v>-7559.609999999986</v>
      </c>
      <c r="W871" s="18">
        <f t="shared" si="111"/>
        <v>-1.7088930454004388E-2</v>
      </c>
    </row>
    <row r="872" spans="1:23" x14ac:dyDescent="0.3">
      <c r="A872" t="s">
        <v>487</v>
      </c>
      <c r="B872" t="s">
        <v>488</v>
      </c>
      <c r="C872" t="s">
        <v>23</v>
      </c>
      <c r="D872" t="s">
        <v>20</v>
      </c>
      <c r="E872">
        <v>1409</v>
      </c>
      <c r="F872">
        <v>219.31</v>
      </c>
      <c r="G872">
        <v>195.97</v>
      </c>
      <c r="H872">
        <v>219.31</v>
      </c>
      <c r="I872">
        <v>1852</v>
      </c>
      <c r="J872">
        <v>88</v>
      </c>
      <c r="K872" s="17">
        <f t="shared" si="105"/>
        <v>5432.5333333333338</v>
      </c>
      <c r="L872" t="str">
        <f t="shared" si="106"/>
        <v>High Risk</v>
      </c>
      <c r="P872" s="19">
        <f t="shared" si="107"/>
        <v>4024</v>
      </c>
      <c r="R872" s="19">
        <f t="shared" si="104"/>
        <v>882503.44000000006</v>
      </c>
      <c r="T872" s="19">
        <f t="shared" si="108"/>
        <v>362936.44</v>
      </c>
      <c r="U872" s="19">
        <f t="shared" si="109"/>
        <v>406162.12</v>
      </c>
      <c r="V872" s="21">
        <f t="shared" si="110"/>
        <v>43225.679999999993</v>
      </c>
      <c r="W872" s="18">
        <f t="shared" si="111"/>
        <v>0.11909986222380975</v>
      </c>
    </row>
    <row r="873" spans="1:23" x14ac:dyDescent="0.3">
      <c r="A873" t="s">
        <v>320</v>
      </c>
      <c r="B873" t="s">
        <v>1956</v>
      </c>
      <c r="C873" t="s">
        <v>37</v>
      </c>
      <c r="D873" t="s">
        <v>20</v>
      </c>
      <c r="E873">
        <v>1410</v>
      </c>
      <c r="F873">
        <v>371.02</v>
      </c>
      <c r="G873">
        <v>392.86</v>
      </c>
      <c r="H873">
        <v>371.02</v>
      </c>
      <c r="I873">
        <v>3995</v>
      </c>
      <c r="J873">
        <v>35</v>
      </c>
      <c r="K873" s="17">
        <f t="shared" si="105"/>
        <v>4660.833333333333</v>
      </c>
      <c r="L873" t="str">
        <f t="shared" si="106"/>
        <v>High Risk</v>
      </c>
      <c r="P873" s="19">
        <f t="shared" si="107"/>
        <v>3251</v>
      </c>
      <c r="R873" s="19">
        <f t="shared" si="104"/>
        <v>1206186.02</v>
      </c>
      <c r="T873" s="19">
        <f t="shared" si="108"/>
        <v>1569475.7</v>
      </c>
      <c r="U873" s="19">
        <f t="shared" si="109"/>
        <v>1482224.9</v>
      </c>
      <c r="V873" s="21">
        <f t="shared" si="110"/>
        <v>-87250.800000000047</v>
      </c>
      <c r="W873" s="18">
        <f t="shared" si="111"/>
        <v>-5.5592322964923925E-2</v>
      </c>
    </row>
    <row r="874" spans="1:23" x14ac:dyDescent="0.3">
      <c r="A874" t="s">
        <v>539</v>
      </c>
      <c r="B874" t="s">
        <v>1717</v>
      </c>
      <c r="C874" t="s">
        <v>16</v>
      </c>
      <c r="D874" t="s">
        <v>69</v>
      </c>
      <c r="E874">
        <v>1410</v>
      </c>
      <c r="F874">
        <v>295.45999999999998</v>
      </c>
      <c r="G874">
        <v>304.27</v>
      </c>
      <c r="H874">
        <v>295.45999999999998</v>
      </c>
      <c r="I874">
        <v>3683</v>
      </c>
      <c r="J874">
        <v>55</v>
      </c>
      <c r="K874" s="17">
        <f t="shared" si="105"/>
        <v>6752.166666666667</v>
      </c>
      <c r="L874" t="str">
        <f t="shared" si="106"/>
        <v>High Risk</v>
      </c>
      <c r="P874" s="19">
        <f t="shared" si="107"/>
        <v>5343</v>
      </c>
      <c r="R874" s="19">
        <f t="shared" si="104"/>
        <v>1578642.7799999998</v>
      </c>
      <c r="T874" s="19">
        <f t="shared" si="108"/>
        <v>1120626.4099999999</v>
      </c>
      <c r="U874" s="19">
        <f t="shared" si="109"/>
        <v>1088179.18</v>
      </c>
      <c r="V874" s="21">
        <f t="shared" si="110"/>
        <v>-32447.229999999981</v>
      </c>
      <c r="W874" s="18">
        <f t="shared" si="111"/>
        <v>-2.8954546948433944E-2</v>
      </c>
    </row>
    <row r="875" spans="1:23" x14ac:dyDescent="0.3">
      <c r="A875" t="s">
        <v>635</v>
      </c>
      <c r="B875" t="s">
        <v>1630</v>
      </c>
      <c r="C875" t="s">
        <v>50</v>
      </c>
      <c r="D875" t="s">
        <v>13</v>
      </c>
      <c r="E875">
        <v>1411</v>
      </c>
      <c r="F875">
        <v>255.04</v>
      </c>
      <c r="G875">
        <v>277.91000000000003</v>
      </c>
      <c r="H875">
        <v>255.04</v>
      </c>
      <c r="I875">
        <v>833</v>
      </c>
      <c r="J875">
        <v>38</v>
      </c>
      <c r="K875" s="17">
        <f t="shared" si="105"/>
        <v>1055.1333333333332</v>
      </c>
      <c r="L875" t="str">
        <f t="shared" si="106"/>
        <v>Sufficuent Stock</v>
      </c>
      <c r="P875" s="19">
        <f t="shared" si="107"/>
        <v>0</v>
      </c>
      <c r="R875" s="19">
        <f t="shared" si="104"/>
        <v>0</v>
      </c>
      <c r="T875" s="19">
        <f t="shared" si="108"/>
        <v>231499.03000000003</v>
      </c>
      <c r="U875" s="19">
        <f t="shared" si="109"/>
        <v>212448.32</v>
      </c>
      <c r="V875" s="21">
        <f t="shared" si="110"/>
        <v>-19050.710000000021</v>
      </c>
      <c r="W875" s="18">
        <f t="shared" si="111"/>
        <v>-8.2292828613580019E-2</v>
      </c>
    </row>
    <row r="876" spans="1:23" x14ac:dyDescent="0.3">
      <c r="A876" t="s">
        <v>53</v>
      </c>
      <c r="B876" t="s">
        <v>1493</v>
      </c>
      <c r="C876" t="s">
        <v>37</v>
      </c>
      <c r="D876" t="s">
        <v>17</v>
      </c>
      <c r="E876">
        <v>1412</v>
      </c>
      <c r="F876">
        <v>21.9</v>
      </c>
      <c r="G876">
        <v>19.559999999999999</v>
      </c>
      <c r="H876">
        <v>21.9</v>
      </c>
      <c r="I876">
        <v>3431</v>
      </c>
      <c r="J876">
        <v>70</v>
      </c>
      <c r="K876" s="17">
        <f t="shared" si="105"/>
        <v>8005.6666666666661</v>
      </c>
      <c r="L876" t="str">
        <f t="shared" si="106"/>
        <v>High Risk</v>
      </c>
      <c r="P876" s="19">
        <f t="shared" si="107"/>
        <v>6594</v>
      </c>
      <c r="R876" s="19">
        <f t="shared" si="104"/>
        <v>144408.59999999998</v>
      </c>
      <c r="T876" s="19">
        <f t="shared" si="108"/>
        <v>67110.36</v>
      </c>
      <c r="U876" s="19">
        <f t="shared" si="109"/>
        <v>75138.899999999994</v>
      </c>
      <c r="V876" s="21">
        <f t="shared" si="110"/>
        <v>8028.5399999999936</v>
      </c>
      <c r="W876" s="18">
        <f t="shared" si="111"/>
        <v>0.1196319018404907</v>
      </c>
    </row>
    <row r="877" spans="1:23" x14ac:dyDescent="0.3">
      <c r="A877" t="s">
        <v>216</v>
      </c>
      <c r="B877" t="s">
        <v>1440</v>
      </c>
      <c r="C877" t="s">
        <v>23</v>
      </c>
      <c r="D877" t="s">
        <v>20</v>
      </c>
      <c r="E877">
        <v>1412</v>
      </c>
      <c r="F877">
        <v>427.82</v>
      </c>
      <c r="G877">
        <v>441.75</v>
      </c>
      <c r="H877">
        <v>427.82</v>
      </c>
      <c r="I877">
        <v>1808</v>
      </c>
      <c r="J877">
        <v>13</v>
      </c>
      <c r="K877" s="17">
        <f t="shared" si="105"/>
        <v>783.4666666666667</v>
      </c>
      <c r="L877" t="str">
        <f t="shared" si="106"/>
        <v>Sufficuent Stock</v>
      </c>
      <c r="P877" s="19">
        <f t="shared" si="107"/>
        <v>0</v>
      </c>
      <c r="R877" s="19">
        <f t="shared" si="104"/>
        <v>0</v>
      </c>
      <c r="T877" s="19">
        <f t="shared" si="108"/>
        <v>798684</v>
      </c>
      <c r="U877" s="19">
        <f t="shared" si="109"/>
        <v>773498.55999999994</v>
      </c>
      <c r="V877" s="21">
        <f t="shared" si="110"/>
        <v>-25185.440000000061</v>
      </c>
      <c r="W877" s="18">
        <f t="shared" si="111"/>
        <v>-3.1533672891907262E-2</v>
      </c>
    </row>
    <row r="878" spans="1:23" x14ac:dyDescent="0.3">
      <c r="A878" t="s">
        <v>525</v>
      </c>
      <c r="B878" t="s">
        <v>2022</v>
      </c>
      <c r="C878" t="s">
        <v>23</v>
      </c>
      <c r="D878" t="s">
        <v>20</v>
      </c>
      <c r="E878">
        <v>1416</v>
      </c>
      <c r="F878">
        <v>27.88</v>
      </c>
      <c r="G878">
        <v>28.91</v>
      </c>
      <c r="H878">
        <v>27.88</v>
      </c>
      <c r="I878">
        <v>1296</v>
      </c>
      <c r="J878">
        <v>87</v>
      </c>
      <c r="K878" s="17">
        <f t="shared" si="105"/>
        <v>3758.4</v>
      </c>
      <c r="L878" t="str">
        <f t="shared" si="106"/>
        <v>High Risk</v>
      </c>
      <c r="P878" s="19">
        <f t="shared" si="107"/>
        <v>2343</v>
      </c>
      <c r="R878" s="19">
        <f t="shared" si="104"/>
        <v>65322.84</v>
      </c>
      <c r="T878" s="19">
        <f t="shared" si="108"/>
        <v>37467.360000000001</v>
      </c>
      <c r="U878" s="19">
        <f t="shared" si="109"/>
        <v>36132.479999999996</v>
      </c>
      <c r="V878" s="21">
        <f t="shared" si="110"/>
        <v>-1334.8800000000047</v>
      </c>
      <c r="W878" s="18">
        <f t="shared" si="111"/>
        <v>-3.5627810446212507E-2</v>
      </c>
    </row>
    <row r="879" spans="1:23" x14ac:dyDescent="0.3">
      <c r="A879" t="s">
        <v>638</v>
      </c>
      <c r="B879" t="s">
        <v>1969</v>
      </c>
      <c r="C879" t="s">
        <v>37</v>
      </c>
      <c r="D879" t="s">
        <v>20</v>
      </c>
      <c r="E879">
        <v>1417</v>
      </c>
      <c r="F879">
        <v>171.39</v>
      </c>
      <c r="G879">
        <v>185.27</v>
      </c>
      <c r="H879">
        <v>171.39</v>
      </c>
      <c r="I879">
        <v>227</v>
      </c>
      <c r="J879">
        <v>40</v>
      </c>
      <c r="K879" s="17">
        <f t="shared" si="105"/>
        <v>302.66666666666663</v>
      </c>
      <c r="L879" t="str">
        <f t="shared" si="106"/>
        <v>Sufficuent Stock</v>
      </c>
      <c r="P879" s="19">
        <f t="shared" si="107"/>
        <v>0</v>
      </c>
      <c r="R879" s="19">
        <f t="shared" si="104"/>
        <v>0</v>
      </c>
      <c r="T879" s="19">
        <f t="shared" si="108"/>
        <v>42056.29</v>
      </c>
      <c r="U879" s="19">
        <f t="shared" si="109"/>
        <v>38905.53</v>
      </c>
      <c r="V879" s="21">
        <f t="shared" si="110"/>
        <v>-3150.760000000002</v>
      </c>
      <c r="W879" s="18">
        <f t="shared" si="111"/>
        <v>-7.4917687699033883E-2</v>
      </c>
    </row>
    <row r="880" spans="1:23" x14ac:dyDescent="0.3">
      <c r="A880" t="s">
        <v>111</v>
      </c>
      <c r="B880" t="s">
        <v>2275</v>
      </c>
      <c r="C880" t="s">
        <v>16</v>
      </c>
      <c r="D880" t="s">
        <v>69</v>
      </c>
      <c r="E880">
        <v>1420</v>
      </c>
      <c r="F880">
        <v>132.33000000000001</v>
      </c>
      <c r="G880">
        <v>114.39</v>
      </c>
      <c r="H880">
        <v>132.33000000000001</v>
      </c>
      <c r="I880">
        <v>3204</v>
      </c>
      <c r="J880">
        <v>23</v>
      </c>
      <c r="K880" s="17">
        <f t="shared" si="105"/>
        <v>2456.4</v>
      </c>
      <c r="L880" t="str">
        <f t="shared" si="106"/>
        <v>High Risk</v>
      </c>
      <c r="P880" s="19">
        <f t="shared" si="107"/>
        <v>1037</v>
      </c>
      <c r="R880" s="19">
        <f t="shared" si="104"/>
        <v>137226.21000000002</v>
      </c>
      <c r="T880" s="19">
        <f t="shared" si="108"/>
        <v>366505.56</v>
      </c>
      <c r="U880" s="19">
        <f t="shared" si="109"/>
        <v>423985.32000000007</v>
      </c>
      <c r="V880" s="21">
        <f t="shared" si="110"/>
        <v>57479.760000000068</v>
      </c>
      <c r="W880" s="18">
        <f t="shared" si="111"/>
        <v>0.15683189089955435</v>
      </c>
    </row>
    <row r="881" spans="1:23" x14ac:dyDescent="0.3">
      <c r="A881" t="s">
        <v>368</v>
      </c>
      <c r="B881" t="s">
        <v>2214</v>
      </c>
      <c r="C881" t="s">
        <v>37</v>
      </c>
      <c r="D881" t="s">
        <v>69</v>
      </c>
      <c r="E881">
        <v>1423</v>
      </c>
      <c r="F881">
        <v>123.99</v>
      </c>
      <c r="G881">
        <v>113.68</v>
      </c>
      <c r="H881">
        <v>123.99</v>
      </c>
      <c r="I881">
        <v>1815</v>
      </c>
      <c r="J881">
        <v>81</v>
      </c>
      <c r="K881" s="17">
        <f t="shared" si="105"/>
        <v>4900.5</v>
      </c>
      <c r="L881" t="str">
        <f t="shared" si="106"/>
        <v>High Risk</v>
      </c>
      <c r="P881" s="19">
        <f t="shared" si="107"/>
        <v>3478</v>
      </c>
      <c r="R881" s="19">
        <f t="shared" si="104"/>
        <v>431237.22</v>
      </c>
      <c r="T881" s="19">
        <f t="shared" si="108"/>
        <v>206329.2</v>
      </c>
      <c r="U881" s="19">
        <f t="shared" si="109"/>
        <v>225041.84999999998</v>
      </c>
      <c r="V881" s="21">
        <f t="shared" si="110"/>
        <v>18712.649999999965</v>
      </c>
      <c r="W881" s="18">
        <f t="shared" si="111"/>
        <v>9.0693173821252471E-2</v>
      </c>
    </row>
    <row r="882" spans="1:23" x14ac:dyDescent="0.3">
      <c r="A882" t="s">
        <v>40</v>
      </c>
      <c r="B882" t="s">
        <v>1754</v>
      </c>
      <c r="C882" t="s">
        <v>23</v>
      </c>
      <c r="D882" t="s">
        <v>17</v>
      </c>
      <c r="E882">
        <v>1424</v>
      </c>
      <c r="F882">
        <v>73.37</v>
      </c>
      <c r="G882">
        <v>66.58</v>
      </c>
      <c r="H882">
        <v>73.37</v>
      </c>
      <c r="I882">
        <v>2367</v>
      </c>
      <c r="J882">
        <v>30</v>
      </c>
      <c r="K882" s="17">
        <f t="shared" si="105"/>
        <v>2367</v>
      </c>
      <c r="L882" t="str">
        <f t="shared" si="106"/>
        <v>High Risk</v>
      </c>
      <c r="P882" s="19">
        <f t="shared" si="107"/>
        <v>943</v>
      </c>
      <c r="R882" s="19">
        <f t="shared" si="104"/>
        <v>69187.91</v>
      </c>
      <c r="T882" s="19">
        <f t="shared" si="108"/>
        <v>157594.85999999999</v>
      </c>
      <c r="U882" s="19">
        <f t="shared" si="109"/>
        <v>173666.79</v>
      </c>
      <c r="V882" s="21">
        <f t="shared" si="110"/>
        <v>16071.930000000022</v>
      </c>
      <c r="W882" s="18">
        <f t="shared" si="111"/>
        <v>0.10198257735055587</v>
      </c>
    </row>
    <row r="883" spans="1:23" x14ac:dyDescent="0.3">
      <c r="A883" t="s">
        <v>268</v>
      </c>
      <c r="B883" t="s">
        <v>319</v>
      </c>
      <c r="C883" t="s">
        <v>12</v>
      </c>
      <c r="D883" t="s">
        <v>20</v>
      </c>
      <c r="E883">
        <v>1425</v>
      </c>
      <c r="F883">
        <v>58.59</v>
      </c>
      <c r="G883">
        <v>48.97</v>
      </c>
      <c r="H883">
        <v>58.59</v>
      </c>
      <c r="I883">
        <v>1414</v>
      </c>
      <c r="J883">
        <v>77</v>
      </c>
      <c r="K883" s="17">
        <f t="shared" si="105"/>
        <v>3629.2666666666664</v>
      </c>
      <c r="L883" t="str">
        <f t="shared" si="106"/>
        <v>High Risk</v>
      </c>
      <c r="P883" s="19">
        <f t="shared" si="107"/>
        <v>2205</v>
      </c>
      <c r="R883" s="19">
        <f t="shared" si="104"/>
        <v>129190.95000000001</v>
      </c>
      <c r="T883" s="19">
        <f t="shared" si="108"/>
        <v>69243.58</v>
      </c>
      <c r="U883" s="19">
        <f t="shared" si="109"/>
        <v>82846.260000000009</v>
      </c>
      <c r="V883" s="21">
        <f t="shared" si="110"/>
        <v>13602.680000000008</v>
      </c>
      <c r="W883" s="18">
        <f t="shared" si="111"/>
        <v>0.19644680416581592</v>
      </c>
    </row>
    <row r="884" spans="1:23" x14ac:dyDescent="0.3">
      <c r="A884" t="s">
        <v>203</v>
      </c>
      <c r="B884" t="s">
        <v>204</v>
      </c>
      <c r="C884" t="s">
        <v>16</v>
      </c>
      <c r="D884" t="s">
        <v>20</v>
      </c>
      <c r="E884">
        <v>1425</v>
      </c>
      <c r="F884">
        <v>304.39</v>
      </c>
      <c r="G884">
        <v>255.24</v>
      </c>
      <c r="H884">
        <v>304.39</v>
      </c>
      <c r="I884">
        <v>2510</v>
      </c>
      <c r="J884">
        <v>32</v>
      </c>
      <c r="K884" s="17">
        <f t="shared" si="105"/>
        <v>2677.3333333333335</v>
      </c>
      <c r="L884" t="str">
        <f t="shared" si="106"/>
        <v>High Risk</v>
      </c>
      <c r="P884" s="19">
        <f t="shared" si="107"/>
        <v>1253</v>
      </c>
      <c r="R884" s="19">
        <f t="shared" si="104"/>
        <v>381400.67</v>
      </c>
      <c r="T884" s="19">
        <f t="shared" si="108"/>
        <v>640652.4</v>
      </c>
      <c r="U884" s="19">
        <f t="shared" si="109"/>
        <v>764018.9</v>
      </c>
      <c r="V884" s="21">
        <f t="shared" si="110"/>
        <v>123366.5</v>
      </c>
      <c r="W884" s="18">
        <f t="shared" si="111"/>
        <v>0.19256386146372043</v>
      </c>
    </row>
    <row r="885" spans="1:23" x14ac:dyDescent="0.3">
      <c r="A885" t="s">
        <v>651</v>
      </c>
      <c r="B885" t="s">
        <v>726</v>
      </c>
      <c r="C885" t="s">
        <v>50</v>
      </c>
      <c r="D885" t="s">
        <v>69</v>
      </c>
      <c r="E885">
        <v>1425</v>
      </c>
      <c r="F885">
        <v>306.64999999999998</v>
      </c>
      <c r="G885">
        <v>283.89999999999998</v>
      </c>
      <c r="H885">
        <v>306.64999999999998</v>
      </c>
      <c r="I885">
        <v>3731</v>
      </c>
      <c r="J885">
        <v>46</v>
      </c>
      <c r="K885" s="17">
        <f t="shared" si="105"/>
        <v>5720.8666666666668</v>
      </c>
      <c r="L885" t="str">
        <f t="shared" si="106"/>
        <v>High Risk</v>
      </c>
      <c r="P885" s="19">
        <f t="shared" si="107"/>
        <v>4296</v>
      </c>
      <c r="R885" s="19">
        <f t="shared" si="104"/>
        <v>1317368.3999999999</v>
      </c>
      <c r="T885" s="19">
        <f t="shared" si="108"/>
        <v>1059230.8999999999</v>
      </c>
      <c r="U885" s="19">
        <f t="shared" si="109"/>
        <v>1144111.1499999999</v>
      </c>
      <c r="V885" s="21">
        <f t="shared" si="110"/>
        <v>84880.25</v>
      </c>
      <c r="W885" s="18">
        <f t="shared" si="111"/>
        <v>8.0133849947164507E-2</v>
      </c>
    </row>
    <row r="886" spans="1:23" x14ac:dyDescent="0.3">
      <c r="A886" t="s">
        <v>115</v>
      </c>
      <c r="B886" t="s">
        <v>2098</v>
      </c>
      <c r="C886" t="s">
        <v>12</v>
      </c>
      <c r="D886" t="s">
        <v>69</v>
      </c>
      <c r="E886">
        <v>1428</v>
      </c>
      <c r="F886">
        <v>175.16</v>
      </c>
      <c r="G886">
        <v>191.56</v>
      </c>
      <c r="H886">
        <v>175.16</v>
      </c>
      <c r="I886">
        <v>3538</v>
      </c>
      <c r="J886">
        <v>19</v>
      </c>
      <c r="K886" s="17">
        <f t="shared" si="105"/>
        <v>2240.7333333333336</v>
      </c>
      <c r="L886" t="str">
        <f t="shared" si="106"/>
        <v>High Risk</v>
      </c>
      <c r="P886" s="19">
        <f t="shared" si="107"/>
        <v>813</v>
      </c>
      <c r="R886" s="19">
        <f t="shared" si="104"/>
        <v>142405.07999999999</v>
      </c>
      <c r="T886" s="19">
        <f t="shared" si="108"/>
        <v>677739.28</v>
      </c>
      <c r="U886" s="19">
        <f t="shared" si="109"/>
        <v>619716.07999999996</v>
      </c>
      <c r="V886" s="21">
        <f t="shared" si="110"/>
        <v>-58023.20000000007</v>
      </c>
      <c r="W886" s="18">
        <f t="shared" si="111"/>
        <v>-8.5612862810607746E-2</v>
      </c>
    </row>
    <row r="887" spans="1:23" x14ac:dyDescent="0.3">
      <c r="A887" t="s">
        <v>168</v>
      </c>
      <c r="B887" t="s">
        <v>1635</v>
      </c>
      <c r="C887" t="s">
        <v>50</v>
      </c>
      <c r="D887" t="s">
        <v>20</v>
      </c>
      <c r="E887">
        <v>1429</v>
      </c>
      <c r="F887">
        <v>462.49</v>
      </c>
      <c r="G887">
        <v>482.62</v>
      </c>
      <c r="H887">
        <v>462.49</v>
      </c>
      <c r="I887">
        <v>579</v>
      </c>
      <c r="J887">
        <v>50</v>
      </c>
      <c r="K887" s="17">
        <f t="shared" si="105"/>
        <v>965</v>
      </c>
      <c r="L887" t="str">
        <f t="shared" si="106"/>
        <v>Sufficuent Stock</v>
      </c>
      <c r="P887" s="19">
        <f t="shared" si="107"/>
        <v>0</v>
      </c>
      <c r="R887" s="19">
        <f t="shared" si="104"/>
        <v>0</v>
      </c>
      <c r="T887" s="19">
        <f t="shared" si="108"/>
        <v>279436.98</v>
      </c>
      <c r="U887" s="19">
        <f t="shared" si="109"/>
        <v>267781.71000000002</v>
      </c>
      <c r="V887" s="21">
        <f t="shared" si="110"/>
        <v>-11655.26999999996</v>
      </c>
      <c r="W887" s="18">
        <f t="shared" si="111"/>
        <v>-4.17098338237121E-2</v>
      </c>
    </row>
    <row r="888" spans="1:23" x14ac:dyDescent="0.3">
      <c r="A888" t="s">
        <v>395</v>
      </c>
      <c r="B888" t="s">
        <v>1050</v>
      </c>
      <c r="C888" t="s">
        <v>12</v>
      </c>
      <c r="D888" t="s">
        <v>20</v>
      </c>
      <c r="E888">
        <v>1432</v>
      </c>
      <c r="F888">
        <v>140.63999999999999</v>
      </c>
      <c r="G888">
        <v>150.32</v>
      </c>
      <c r="H888">
        <v>140.63999999999999</v>
      </c>
      <c r="I888">
        <v>2450</v>
      </c>
      <c r="J888">
        <v>84</v>
      </c>
      <c r="K888" s="17">
        <f t="shared" si="105"/>
        <v>6860</v>
      </c>
      <c r="L888" t="str">
        <f t="shared" si="106"/>
        <v>High Risk</v>
      </c>
      <c r="P888" s="19">
        <f t="shared" si="107"/>
        <v>5428</v>
      </c>
      <c r="R888" s="19">
        <f t="shared" si="104"/>
        <v>763393.91999999993</v>
      </c>
      <c r="T888" s="19">
        <f t="shared" si="108"/>
        <v>368284</v>
      </c>
      <c r="U888" s="19">
        <f t="shared" si="109"/>
        <v>344567.99999999994</v>
      </c>
      <c r="V888" s="21">
        <f t="shared" si="110"/>
        <v>-23716.000000000058</v>
      </c>
      <c r="W888" s="18">
        <f t="shared" si="111"/>
        <v>-6.4395955295370039E-2</v>
      </c>
    </row>
    <row r="889" spans="1:23" x14ac:dyDescent="0.3">
      <c r="A889" t="s">
        <v>482</v>
      </c>
      <c r="B889" t="s">
        <v>2328</v>
      </c>
      <c r="C889" t="s">
        <v>12</v>
      </c>
      <c r="D889" t="s">
        <v>26</v>
      </c>
      <c r="E889">
        <v>1432</v>
      </c>
      <c r="F889">
        <v>530.72</v>
      </c>
      <c r="G889">
        <v>457.3</v>
      </c>
      <c r="H889">
        <v>530.72</v>
      </c>
      <c r="I889">
        <v>1940</v>
      </c>
      <c r="J889">
        <v>11</v>
      </c>
      <c r="K889" s="17">
        <f t="shared" si="105"/>
        <v>711.33333333333337</v>
      </c>
      <c r="L889" t="str">
        <f t="shared" si="106"/>
        <v>Sufficuent Stock</v>
      </c>
      <c r="P889" s="19">
        <f t="shared" si="107"/>
        <v>0</v>
      </c>
      <c r="R889" s="19">
        <f t="shared" si="104"/>
        <v>0</v>
      </c>
      <c r="T889" s="19">
        <f t="shared" si="108"/>
        <v>887162</v>
      </c>
      <c r="U889" s="19">
        <f t="shared" si="109"/>
        <v>1029596.8</v>
      </c>
      <c r="V889" s="21">
        <f t="shared" si="110"/>
        <v>142434.80000000005</v>
      </c>
      <c r="W889" s="18">
        <f t="shared" si="111"/>
        <v>0.16055106057292812</v>
      </c>
    </row>
    <row r="890" spans="1:23" x14ac:dyDescent="0.3">
      <c r="A890" t="s">
        <v>326</v>
      </c>
      <c r="B890" t="s">
        <v>1723</v>
      </c>
      <c r="C890" t="s">
        <v>23</v>
      </c>
      <c r="D890" t="s">
        <v>20</v>
      </c>
      <c r="E890">
        <v>1435</v>
      </c>
      <c r="F890">
        <v>93.97</v>
      </c>
      <c r="G890">
        <v>82.92</v>
      </c>
      <c r="H890">
        <v>93.97</v>
      </c>
      <c r="I890">
        <v>2762</v>
      </c>
      <c r="J890">
        <v>76</v>
      </c>
      <c r="K890" s="17">
        <f t="shared" si="105"/>
        <v>6997.0666666666666</v>
      </c>
      <c r="L890" t="str">
        <f t="shared" si="106"/>
        <v>High Risk</v>
      </c>
      <c r="P890" s="19">
        <f t="shared" si="107"/>
        <v>5563</v>
      </c>
      <c r="R890" s="19">
        <f t="shared" si="104"/>
        <v>522755.11</v>
      </c>
      <c r="T890" s="19">
        <f t="shared" si="108"/>
        <v>229025.04</v>
      </c>
      <c r="U890" s="19">
        <f t="shared" si="109"/>
        <v>259545.13999999998</v>
      </c>
      <c r="V890" s="21">
        <f t="shared" si="110"/>
        <v>30520.099999999977</v>
      </c>
      <c r="W890" s="18">
        <f t="shared" si="111"/>
        <v>0.13326097443318852</v>
      </c>
    </row>
    <row r="891" spans="1:23" x14ac:dyDescent="0.3">
      <c r="A891" t="s">
        <v>153</v>
      </c>
      <c r="B891" t="s">
        <v>154</v>
      </c>
      <c r="C891" t="s">
        <v>23</v>
      </c>
      <c r="D891" t="s">
        <v>26</v>
      </c>
      <c r="E891">
        <v>1438</v>
      </c>
      <c r="F891">
        <v>389.2</v>
      </c>
      <c r="G891">
        <v>386.47</v>
      </c>
      <c r="H891">
        <v>389.2</v>
      </c>
      <c r="I891">
        <v>1205</v>
      </c>
      <c r="J891">
        <v>15</v>
      </c>
      <c r="K891" s="17">
        <f t="shared" si="105"/>
        <v>602.5</v>
      </c>
      <c r="L891" t="str">
        <f t="shared" si="106"/>
        <v>Sufficuent Stock</v>
      </c>
      <c r="P891" s="19">
        <f t="shared" si="107"/>
        <v>0</v>
      </c>
      <c r="R891" s="19">
        <f t="shared" si="104"/>
        <v>0</v>
      </c>
      <c r="T891" s="19">
        <f t="shared" si="108"/>
        <v>465696.35000000003</v>
      </c>
      <c r="U891" s="19">
        <f t="shared" si="109"/>
        <v>468986</v>
      </c>
      <c r="V891" s="21">
        <f t="shared" si="110"/>
        <v>3289.6499999999651</v>
      </c>
      <c r="W891" s="18">
        <f t="shared" si="111"/>
        <v>7.0639376924469446E-3</v>
      </c>
    </row>
    <row r="892" spans="1:23" x14ac:dyDescent="0.3">
      <c r="A892" t="s">
        <v>869</v>
      </c>
      <c r="B892" t="s">
        <v>907</v>
      </c>
      <c r="C892" t="s">
        <v>50</v>
      </c>
      <c r="D892" t="s">
        <v>69</v>
      </c>
      <c r="E892">
        <v>1442</v>
      </c>
      <c r="F892">
        <v>214.15</v>
      </c>
      <c r="G892">
        <v>217.64</v>
      </c>
      <c r="H892">
        <v>214.15</v>
      </c>
      <c r="I892">
        <v>1990</v>
      </c>
      <c r="J892">
        <v>40</v>
      </c>
      <c r="K892" s="17">
        <f t="shared" si="105"/>
        <v>2653.333333333333</v>
      </c>
      <c r="L892" t="str">
        <f t="shared" si="106"/>
        <v>High Risk</v>
      </c>
      <c r="P892" s="19">
        <f t="shared" si="107"/>
        <v>1212</v>
      </c>
      <c r="R892" s="19">
        <f t="shared" si="104"/>
        <v>259549.80000000002</v>
      </c>
      <c r="T892" s="19">
        <f t="shared" si="108"/>
        <v>433103.6</v>
      </c>
      <c r="U892" s="19">
        <f t="shared" si="109"/>
        <v>426158.5</v>
      </c>
      <c r="V892" s="21">
        <f t="shared" si="110"/>
        <v>-6945.0999999999767</v>
      </c>
      <c r="W892" s="18">
        <f t="shared" si="111"/>
        <v>-1.6035655210439204E-2</v>
      </c>
    </row>
    <row r="893" spans="1:23" x14ac:dyDescent="0.3">
      <c r="A893" t="s">
        <v>90</v>
      </c>
      <c r="B893" t="s">
        <v>2597</v>
      </c>
      <c r="C893" t="s">
        <v>50</v>
      </c>
      <c r="D893" t="s">
        <v>20</v>
      </c>
      <c r="E893">
        <v>1443</v>
      </c>
      <c r="F893">
        <v>213.62</v>
      </c>
      <c r="G893">
        <v>221.16</v>
      </c>
      <c r="H893">
        <v>213.62</v>
      </c>
      <c r="I893">
        <v>2026</v>
      </c>
      <c r="J893">
        <v>64</v>
      </c>
      <c r="K893" s="17">
        <f t="shared" si="105"/>
        <v>4322.1333333333332</v>
      </c>
      <c r="L893" t="str">
        <f t="shared" si="106"/>
        <v>High Risk</v>
      </c>
      <c r="P893" s="19">
        <f t="shared" si="107"/>
        <v>2880</v>
      </c>
      <c r="R893" s="19">
        <f t="shared" si="104"/>
        <v>615225.59999999998</v>
      </c>
      <c r="T893" s="19">
        <f t="shared" si="108"/>
        <v>448070.16</v>
      </c>
      <c r="U893" s="19">
        <f t="shared" si="109"/>
        <v>432794.12</v>
      </c>
      <c r="V893" s="21">
        <f t="shared" si="110"/>
        <v>-15276.039999999979</v>
      </c>
      <c r="W893" s="18">
        <f t="shared" si="111"/>
        <v>-3.4092964369687062E-2</v>
      </c>
    </row>
    <row r="894" spans="1:23" x14ac:dyDescent="0.3">
      <c r="A894" t="s">
        <v>262</v>
      </c>
      <c r="B894" t="s">
        <v>3307</v>
      </c>
      <c r="C894" t="s">
        <v>12</v>
      </c>
      <c r="D894" t="s">
        <v>69</v>
      </c>
      <c r="E894">
        <v>1444</v>
      </c>
      <c r="F894">
        <v>369.93</v>
      </c>
      <c r="G894">
        <v>325.67</v>
      </c>
      <c r="H894">
        <v>369.93</v>
      </c>
      <c r="I894">
        <v>3065</v>
      </c>
      <c r="J894">
        <v>31</v>
      </c>
      <c r="K894" s="17">
        <f t="shared" si="105"/>
        <v>3167.166666666667</v>
      </c>
      <c r="L894" t="str">
        <f t="shared" si="106"/>
        <v>High Risk</v>
      </c>
      <c r="P894" s="19">
        <f t="shared" si="107"/>
        <v>1724</v>
      </c>
      <c r="R894" s="19">
        <f t="shared" si="104"/>
        <v>637759.32000000007</v>
      </c>
      <c r="T894" s="19">
        <f t="shared" si="108"/>
        <v>998178.55</v>
      </c>
      <c r="U894" s="19">
        <f t="shared" si="109"/>
        <v>1133835.45</v>
      </c>
      <c r="V894" s="21">
        <f t="shared" si="110"/>
        <v>135656.89999999991</v>
      </c>
      <c r="W894" s="18">
        <f t="shared" si="111"/>
        <v>0.13590444314797179</v>
      </c>
    </row>
    <row r="895" spans="1:23" x14ac:dyDescent="0.3">
      <c r="A895" t="s">
        <v>153</v>
      </c>
      <c r="B895" t="s">
        <v>1684</v>
      </c>
      <c r="C895" t="s">
        <v>37</v>
      </c>
      <c r="D895" t="s">
        <v>17</v>
      </c>
      <c r="E895">
        <v>1444</v>
      </c>
      <c r="F895">
        <v>407.17</v>
      </c>
      <c r="G895">
        <v>405.17</v>
      </c>
      <c r="H895">
        <v>407.17</v>
      </c>
      <c r="I895">
        <v>2662</v>
      </c>
      <c r="J895">
        <v>55</v>
      </c>
      <c r="K895" s="17">
        <f t="shared" si="105"/>
        <v>4880.333333333333</v>
      </c>
      <c r="L895" t="str">
        <f t="shared" si="106"/>
        <v>High Risk</v>
      </c>
      <c r="P895" s="19">
        <f t="shared" si="107"/>
        <v>3437</v>
      </c>
      <c r="R895" s="19">
        <f t="shared" si="104"/>
        <v>1399443.29</v>
      </c>
      <c r="T895" s="19">
        <f t="shared" si="108"/>
        <v>1078562.54</v>
      </c>
      <c r="U895" s="19">
        <f t="shared" si="109"/>
        <v>1083886.54</v>
      </c>
      <c r="V895" s="21">
        <f t="shared" si="110"/>
        <v>5324</v>
      </c>
      <c r="W895" s="18">
        <f t="shared" si="111"/>
        <v>4.9361996199126287E-3</v>
      </c>
    </row>
    <row r="896" spans="1:23" x14ac:dyDescent="0.3">
      <c r="A896" t="s">
        <v>205</v>
      </c>
      <c r="B896" t="s">
        <v>2833</v>
      </c>
      <c r="C896" t="s">
        <v>50</v>
      </c>
      <c r="D896" t="s">
        <v>26</v>
      </c>
      <c r="E896">
        <v>1446</v>
      </c>
      <c r="F896">
        <v>408.16</v>
      </c>
      <c r="G896">
        <v>394.13</v>
      </c>
      <c r="H896">
        <v>408.16</v>
      </c>
      <c r="I896">
        <v>1647</v>
      </c>
      <c r="J896">
        <v>77</v>
      </c>
      <c r="K896" s="17">
        <f t="shared" si="105"/>
        <v>4227.3</v>
      </c>
      <c r="L896" t="str">
        <f t="shared" si="106"/>
        <v>High Risk</v>
      </c>
      <c r="P896" s="19">
        <f t="shared" si="107"/>
        <v>2782</v>
      </c>
      <c r="R896" s="19">
        <f t="shared" si="104"/>
        <v>1135501.1200000001</v>
      </c>
      <c r="T896" s="19">
        <f t="shared" si="108"/>
        <v>649132.11</v>
      </c>
      <c r="U896" s="19">
        <f t="shared" si="109"/>
        <v>672239.52</v>
      </c>
      <c r="V896" s="21">
        <f t="shared" si="110"/>
        <v>23107.410000000033</v>
      </c>
      <c r="W896" s="18">
        <f t="shared" si="111"/>
        <v>3.5597391723543044E-2</v>
      </c>
    </row>
    <row r="897" spans="1:23" x14ac:dyDescent="0.3">
      <c r="A897" t="s">
        <v>566</v>
      </c>
      <c r="B897" t="s">
        <v>707</v>
      </c>
      <c r="C897" t="s">
        <v>23</v>
      </c>
      <c r="D897" t="s">
        <v>13</v>
      </c>
      <c r="E897">
        <v>1446</v>
      </c>
      <c r="F897">
        <v>314.51</v>
      </c>
      <c r="G897">
        <v>272.27</v>
      </c>
      <c r="H897">
        <v>314.51</v>
      </c>
      <c r="I897">
        <v>552</v>
      </c>
      <c r="J897">
        <v>89</v>
      </c>
      <c r="K897" s="17">
        <f t="shared" si="105"/>
        <v>1637.6</v>
      </c>
      <c r="L897" t="str">
        <f t="shared" si="106"/>
        <v>High Risk</v>
      </c>
      <c r="P897" s="19">
        <f t="shared" si="107"/>
        <v>192</v>
      </c>
      <c r="R897" s="19">
        <f t="shared" si="104"/>
        <v>60385.919999999998</v>
      </c>
      <c r="T897" s="19">
        <f t="shared" si="108"/>
        <v>150293.03999999998</v>
      </c>
      <c r="U897" s="19">
        <f t="shared" si="109"/>
        <v>173609.52</v>
      </c>
      <c r="V897" s="21">
        <f t="shared" si="110"/>
        <v>23316.48000000001</v>
      </c>
      <c r="W897" s="18">
        <f t="shared" si="111"/>
        <v>0.15514011826495766</v>
      </c>
    </row>
    <row r="898" spans="1:23" x14ac:dyDescent="0.3">
      <c r="A898" t="s">
        <v>673</v>
      </c>
      <c r="B898" t="s">
        <v>674</v>
      </c>
      <c r="C898" t="s">
        <v>50</v>
      </c>
      <c r="D898" t="s">
        <v>20</v>
      </c>
      <c r="E898">
        <v>1447</v>
      </c>
      <c r="F898">
        <v>141.97</v>
      </c>
      <c r="G898">
        <v>148.06</v>
      </c>
      <c r="H898">
        <v>141.97</v>
      </c>
      <c r="I898">
        <v>1555</v>
      </c>
      <c r="J898">
        <v>71</v>
      </c>
      <c r="K898" s="17">
        <f t="shared" si="105"/>
        <v>3680.166666666667</v>
      </c>
      <c r="L898" t="str">
        <f t="shared" si="106"/>
        <v>High Risk</v>
      </c>
      <c r="P898" s="19">
        <f t="shared" si="107"/>
        <v>2234</v>
      </c>
      <c r="R898" s="19">
        <f t="shared" ref="R898:R961" si="112">P898*H898</f>
        <v>317160.98</v>
      </c>
      <c r="T898" s="19">
        <f t="shared" si="108"/>
        <v>230233.30000000002</v>
      </c>
      <c r="U898" s="19">
        <f t="shared" si="109"/>
        <v>220763.35</v>
      </c>
      <c r="V898" s="21">
        <f t="shared" si="110"/>
        <v>-9469.9500000000116</v>
      </c>
      <c r="W898" s="18">
        <f t="shared" si="111"/>
        <v>-4.1131973524246974E-2</v>
      </c>
    </row>
    <row r="899" spans="1:23" x14ac:dyDescent="0.3">
      <c r="A899" t="s">
        <v>1839</v>
      </c>
      <c r="B899" t="s">
        <v>2392</v>
      </c>
      <c r="C899" t="s">
        <v>37</v>
      </c>
      <c r="D899" t="s">
        <v>17</v>
      </c>
      <c r="E899">
        <v>1447</v>
      </c>
      <c r="F899">
        <v>219.54</v>
      </c>
      <c r="G899">
        <v>202.82</v>
      </c>
      <c r="H899">
        <v>219.54</v>
      </c>
      <c r="I899">
        <v>3857</v>
      </c>
      <c r="J899">
        <v>9</v>
      </c>
      <c r="K899" s="17">
        <f t="shared" ref="K899:K962" si="113">(I899/30)*J899</f>
        <v>1157.0999999999999</v>
      </c>
      <c r="L899" t="str">
        <f t="shared" ref="L899:L962" si="114">IF(E899&lt;K899,"High Risk","Sufficuent Stock")</f>
        <v>Sufficuent Stock</v>
      </c>
      <c r="P899" s="19">
        <f t="shared" ref="P899:P962" si="115">ROUNDUP(MAX(0,K899-E899),0)</f>
        <v>0</v>
      </c>
      <c r="R899" s="19">
        <f t="shared" si="112"/>
        <v>0</v>
      </c>
      <c r="T899" s="19">
        <f t="shared" ref="T899:T962" si="116">I899*G899</f>
        <v>782276.74</v>
      </c>
      <c r="U899" s="19">
        <f t="shared" ref="U899:U962" si="117">I899*H899</f>
        <v>846765.77999999991</v>
      </c>
      <c r="V899" s="21">
        <f t="shared" ref="V899:V962" si="118">U899-T899</f>
        <v>64489.039999999921</v>
      </c>
      <c r="W899" s="18">
        <f t="shared" ref="W899:W962" si="119">IFERROR(V899/T899,0)</f>
        <v>8.2437629425105907E-2</v>
      </c>
    </row>
    <row r="900" spans="1:23" x14ac:dyDescent="0.3">
      <c r="A900" t="s">
        <v>94</v>
      </c>
      <c r="B900" t="s">
        <v>1098</v>
      </c>
      <c r="C900" t="s">
        <v>23</v>
      </c>
      <c r="D900" t="s">
        <v>20</v>
      </c>
      <c r="E900">
        <v>1450</v>
      </c>
      <c r="F900">
        <v>333.37</v>
      </c>
      <c r="G900">
        <v>367.29</v>
      </c>
      <c r="H900">
        <v>333.37</v>
      </c>
      <c r="I900">
        <v>2328</v>
      </c>
      <c r="J900">
        <v>37</v>
      </c>
      <c r="K900" s="17">
        <f t="shared" si="113"/>
        <v>2871.2</v>
      </c>
      <c r="L900" t="str">
        <f t="shared" si="114"/>
        <v>High Risk</v>
      </c>
      <c r="P900" s="19">
        <f t="shared" si="115"/>
        <v>1422</v>
      </c>
      <c r="R900" s="19">
        <f t="shared" si="112"/>
        <v>474052.14</v>
      </c>
      <c r="T900" s="19">
        <f t="shared" si="116"/>
        <v>855051.12</v>
      </c>
      <c r="U900" s="19">
        <f t="shared" si="117"/>
        <v>776085.36</v>
      </c>
      <c r="V900" s="21">
        <f t="shared" si="118"/>
        <v>-78965.760000000009</v>
      </c>
      <c r="W900" s="18">
        <f t="shared" si="119"/>
        <v>-9.2352092352092366E-2</v>
      </c>
    </row>
    <row r="901" spans="1:23" x14ac:dyDescent="0.3">
      <c r="A901" t="s">
        <v>171</v>
      </c>
      <c r="B901" t="s">
        <v>1750</v>
      </c>
      <c r="C901" t="s">
        <v>23</v>
      </c>
      <c r="D901" t="s">
        <v>20</v>
      </c>
      <c r="E901">
        <v>1453</v>
      </c>
      <c r="F901">
        <v>463.32</v>
      </c>
      <c r="G901">
        <v>446.28</v>
      </c>
      <c r="H901">
        <v>463.32</v>
      </c>
      <c r="I901">
        <v>264</v>
      </c>
      <c r="J901">
        <v>76</v>
      </c>
      <c r="K901" s="17">
        <f t="shared" si="113"/>
        <v>668.80000000000007</v>
      </c>
      <c r="L901" t="str">
        <f t="shared" si="114"/>
        <v>Sufficuent Stock</v>
      </c>
      <c r="P901" s="19">
        <f t="shared" si="115"/>
        <v>0</v>
      </c>
      <c r="R901" s="19">
        <f t="shared" si="112"/>
        <v>0</v>
      </c>
      <c r="T901" s="19">
        <f t="shared" si="116"/>
        <v>117817.92</v>
      </c>
      <c r="U901" s="19">
        <f t="shared" si="117"/>
        <v>122316.48</v>
      </c>
      <c r="V901" s="21">
        <f t="shared" si="118"/>
        <v>4498.5599999999977</v>
      </c>
      <c r="W901" s="18">
        <f t="shared" si="119"/>
        <v>3.8182307071793473E-2</v>
      </c>
    </row>
    <row r="902" spans="1:23" x14ac:dyDescent="0.3">
      <c r="A902" t="s">
        <v>328</v>
      </c>
      <c r="B902" t="s">
        <v>329</v>
      </c>
      <c r="C902" t="s">
        <v>23</v>
      </c>
      <c r="D902" t="s">
        <v>69</v>
      </c>
      <c r="E902">
        <v>1455</v>
      </c>
      <c r="F902">
        <v>169.69</v>
      </c>
      <c r="G902">
        <v>164.11</v>
      </c>
      <c r="H902">
        <v>169.69</v>
      </c>
      <c r="I902">
        <v>2205</v>
      </c>
      <c r="J902">
        <v>34</v>
      </c>
      <c r="K902" s="17">
        <f t="shared" si="113"/>
        <v>2499</v>
      </c>
      <c r="L902" t="str">
        <f t="shared" si="114"/>
        <v>High Risk</v>
      </c>
      <c r="P902" s="19">
        <f t="shared" si="115"/>
        <v>1044</v>
      </c>
      <c r="R902" s="19">
        <f t="shared" si="112"/>
        <v>177156.36</v>
      </c>
      <c r="T902" s="19">
        <f t="shared" si="116"/>
        <v>361862.55000000005</v>
      </c>
      <c r="U902" s="19">
        <f t="shared" si="117"/>
        <v>374166.45</v>
      </c>
      <c r="V902" s="21">
        <f t="shared" si="118"/>
        <v>12303.899999999965</v>
      </c>
      <c r="W902" s="18">
        <f t="shared" si="119"/>
        <v>3.4001584303211159E-2</v>
      </c>
    </row>
    <row r="903" spans="1:23" x14ac:dyDescent="0.3">
      <c r="A903" t="s">
        <v>2115</v>
      </c>
      <c r="B903" t="s">
        <v>2317</v>
      </c>
      <c r="C903" t="s">
        <v>23</v>
      </c>
      <c r="D903" t="s">
        <v>26</v>
      </c>
      <c r="E903">
        <v>1455</v>
      </c>
      <c r="F903">
        <v>163.71</v>
      </c>
      <c r="G903">
        <v>180.96</v>
      </c>
      <c r="H903">
        <v>163.71</v>
      </c>
      <c r="I903">
        <v>334</v>
      </c>
      <c r="J903">
        <v>48</v>
      </c>
      <c r="K903" s="17">
        <f t="shared" si="113"/>
        <v>534.4</v>
      </c>
      <c r="L903" t="str">
        <f t="shared" si="114"/>
        <v>Sufficuent Stock</v>
      </c>
      <c r="P903" s="19">
        <f t="shared" si="115"/>
        <v>0</v>
      </c>
      <c r="R903" s="19">
        <f t="shared" si="112"/>
        <v>0</v>
      </c>
      <c r="T903" s="19">
        <f t="shared" si="116"/>
        <v>60440.639999999999</v>
      </c>
      <c r="U903" s="19">
        <f t="shared" si="117"/>
        <v>54679.14</v>
      </c>
      <c r="V903" s="21">
        <f t="shared" si="118"/>
        <v>-5761.5</v>
      </c>
      <c r="W903" s="18">
        <f t="shared" si="119"/>
        <v>-9.532493368700265E-2</v>
      </c>
    </row>
    <row r="904" spans="1:23" x14ac:dyDescent="0.3">
      <c r="A904" t="s">
        <v>14</v>
      </c>
      <c r="B904" t="s">
        <v>2173</v>
      </c>
      <c r="C904" t="s">
        <v>12</v>
      </c>
      <c r="D904" t="s">
        <v>13</v>
      </c>
      <c r="E904">
        <v>1458</v>
      </c>
      <c r="F904">
        <v>337.87</v>
      </c>
      <c r="G904">
        <v>374.47</v>
      </c>
      <c r="H904">
        <v>337.87</v>
      </c>
      <c r="I904">
        <v>1517</v>
      </c>
      <c r="J904">
        <v>40</v>
      </c>
      <c r="K904" s="17">
        <f t="shared" si="113"/>
        <v>2022.6666666666667</v>
      </c>
      <c r="L904" t="str">
        <f t="shared" si="114"/>
        <v>High Risk</v>
      </c>
      <c r="P904" s="19">
        <f t="shared" si="115"/>
        <v>565</v>
      </c>
      <c r="R904" s="19">
        <f t="shared" si="112"/>
        <v>190896.55</v>
      </c>
      <c r="T904" s="19">
        <f t="shared" si="116"/>
        <v>568070.99</v>
      </c>
      <c r="U904" s="19">
        <f t="shared" si="117"/>
        <v>512548.79</v>
      </c>
      <c r="V904" s="21">
        <f t="shared" si="118"/>
        <v>-55522.200000000012</v>
      </c>
      <c r="W904" s="18">
        <f t="shared" si="119"/>
        <v>-9.7738136566347125E-2</v>
      </c>
    </row>
    <row r="905" spans="1:23" x14ac:dyDescent="0.3">
      <c r="A905" t="s">
        <v>288</v>
      </c>
      <c r="B905" t="s">
        <v>3290</v>
      </c>
      <c r="C905" t="s">
        <v>16</v>
      </c>
      <c r="D905" t="s">
        <v>26</v>
      </c>
      <c r="E905">
        <v>1460</v>
      </c>
      <c r="F905">
        <v>148.43</v>
      </c>
      <c r="G905">
        <v>156.38999999999999</v>
      </c>
      <c r="H905">
        <v>148.43</v>
      </c>
      <c r="I905">
        <v>3220</v>
      </c>
      <c r="J905">
        <v>5</v>
      </c>
      <c r="K905" s="17">
        <f t="shared" si="113"/>
        <v>536.66666666666663</v>
      </c>
      <c r="L905" t="str">
        <f t="shared" si="114"/>
        <v>Sufficuent Stock</v>
      </c>
      <c r="P905" s="19">
        <f t="shared" si="115"/>
        <v>0</v>
      </c>
      <c r="R905" s="19">
        <f t="shared" si="112"/>
        <v>0</v>
      </c>
      <c r="T905" s="19">
        <f t="shared" si="116"/>
        <v>503575.79999999993</v>
      </c>
      <c r="U905" s="19">
        <f t="shared" si="117"/>
        <v>477944.60000000003</v>
      </c>
      <c r="V905" s="21">
        <f t="shared" si="118"/>
        <v>-25631.199999999895</v>
      </c>
      <c r="W905" s="18">
        <f t="shared" si="119"/>
        <v>-5.0898395038045711E-2</v>
      </c>
    </row>
    <row r="906" spans="1:23" x14ac:dyDescent="0.3">
      <c r="A906" t="s">
        <v>249</v>
      </c>
      <c r="B906" t="s">
        <v>3365</v>
      </c>
      <c r="C906" t="s">
        <v>23</v>
      </c>
      <c r="D906" t="s">
        <v>26</v>
      </c>
      <c r="E906">
        <v>1461</v>
      </c>
      <c r="F906">
        <v>143.69999999999999</v>
      </c>
      <c r="G906">
        <v>127.03</v>
      </c>
      <c r="H906">
        <v>143.69999999999999</v>
      </c>
      <c r="I906">
        <v>2227</v>
      </c>
      <c r="J906">
        <v>79</v>
      </c>
      <c r="K906" s="17">
        <f t="shared" si="113"/>
        <v>5864.4333333333334</v>
      </c>
      <c r="L906" t="str">
        <f t="shared" si="114"/>
        <v>High Risk</v>
      </c>
      <c r="P906" s="19">
        <f t="shared" si="115"/>
        <v>4404</v>
      </c>
      <c r="R906" s="19">
        <f t="shared" si="112"/>
        <v>632854.79999999993</v>
      </c>
      <c r="T906" s="19">
        <f t="shared" si="116"/>
        <v>282895.81</v>
      </c>
      <c r="U906" s="19">
        <f t="shared" si="117"/>
        <v>320019.89999999997</v>
      </c>
      <c r="V906" s="21">
        <f t="shared" si="118"/>
        <v>37124.089999999967</v>
      </c>
      <c r="W906" s="18">
        <f t="shared" si="119"/>
        <v>0.13122884358025652</v>
      </c>
    </row>
    <row r="907" spans="1:23" x14ac:dyDescent="0.3">
      <c r="A907" t="s">
        <v>732</v>
      </c>
      <c r="B907" t="s">
        <v>1397</v>
      </c>
      <c r="C907" t="s">
        <v>12</v>
      </c>
      <c r="D907" t="s">
        <v>17</v>
      </c>
      <c r="E907">
        <v>1464</v>
      </c>
      <c r="F907">
        <v>261.66000000000003</v>
      </c>
      <c r="G907">
        <v>236.19</v>
      </c>
      <c r="H907">
        <v>261.66000000000003</v>
      </c>
      <c r="I907">
        <v>1290</v>
      </c>
      <c r="J907">
        <v>44</v>
      </c>
      <c r="K907" s="17">
        <f t="shared" si="113"/>
        <v>1892</v>
      </c>
      <c r="L907" t="str">
        <f t="shared" si="114"/>
        <v>High Risk</v>
      </c>
      <c r="P907" s="19">
        <f t="shared" si="115"/>
        <v>428</v>
      </c>
      <c r="R907" s="19">
        <f t="shared" si="112"/>
        <v>111990.48000000001</v>
      </c>
      <c r="T907" s="19">
        <f t="shared" si="116"/>
        <v>304685.09999999998</v>
      </c>
      <c r="U907" s="19">
        <f t="shared" si="117"/>
        <v>337541.4</v>
      </c>
      <c r="V907" s="21">
        <f t="shared" si="118"/>
        <v>32856.300000000047</v>
      </c>
      <c r="W907" s="18">
        <f t="shared" si="119"/>
        <v>0.1078369109615142</v>
      </c>
    </row>
    <row r="908" spans="1:23" x14ac:dyDescent="0.3">
      <c r="A908" t="s">
        <v>712</v>
      </c>
      <c r="B908" t="s">
        <v>2704</v>
      </c>
      <c r="C908" t="s">
        <v>37</v>
      </c>
      <c r="D908" t="s">
        <v>13</v>
      </c>
      <c r="E908">
        <v>1468</v>
      </c>
      <c r="F908">
        <v>16.53</v>
      </c>
      <c r="G908">
        <v>16.13</v>
      </c>
      <c r="H908">
        <v>16.53</v>
      </c>
      <c r="I908">
        <v>673</v>
      </c>
      <c r="J908">
        <v>66</v>
      </c>
      <c r="K908" s="17">
        <f t="shared" si="113"/>
        <v>1480.6</v>
      </c>
      <c r="L908" t="str">
        <f t="shared" si="114"/>
        <v>High Risk</v>
      </c>
      <c r="P908" s="19">
        <f t="shared" si="115"/>
        <v>13</v>
      </c>
      <c r="R908" s="19">
        <f t="shared" si="112"/>
        <v>214.89000000000001</v>
      </c>
      <c r="T908" s="19">
        <f t="shared" si="116"/>
        <v>10855.49</v>
      </c>
      <c r="U908" s="19">
        <f t="shared" si="117"/>
        <v>11124.69</v>
      </c>
      <c r="V908" s="21">
        <f t="shared" si="118"/>
        <v>269.20000000000073</v>
      </c>
      <c r="W908" s="18">
        <f t="shared" si="119"/>
        <v>2.4798512089274711E-2</v>
      </c>
    </row>
    <row r="909" spans="1:23" x14ac:dyDescent="0.3">
      <c r="A909" t="s">
        <v>635</v>
      </c>
      <c r="B909" t="s">
        <v>636</v>
      </c>
      <c r="C909" t="s">
        <v>50</v>
      </c>
      <c r="D909" t="s">
        <v>26</v>
      </c>
      <c r="E909">
        <v>1470</v>
      </c>
      <c r="F909">
        <v>83.63</v>
      </c>
      <c r="G909">
        <v>70.569999999999993</v>
      </c>
      <c r="H909">
        <v>83.63</v>
      </c>
      <c r="I909">
        <v>3745</v>
      </c>
      <c r="J909">
        <v>35</v>
      </c>
      <c r="K909" s="17">
        <f t="shared" si="113"/>
        <v>4369.1666666666661</v>
      </c>
      <c r="L909" t="str">
        <f t="shared" si="114"/>
        <v>High Risk</v>
      </c>
      <c r="P909" s="19">
        <f t="shared" si="115"/>
        <v>2900</v>
      </c>
      <c r="R909" s="19">
        <f t="shared" si="112"/>
        <v>242527</v>
      </c>
      <c r="T909" s="19">
        <f t="shared" si="116"/>
        <v>264284.64999999997</v>
      </c>
      <c r="U909" s="19">
        <f t="shared" si="117"/>
        <v>313194.34999999998</v>
      </c>
      <c r="V909" s="21">
        <f t="shared" si="118"/>
        <v>48909.700000000012</v>
      </c>
      <c r="W909" s="18">
        <f t="shared" si="119"/>
        <v>0.18506447498937231</v>
      </c>
    </row>
    <row r="910" spans="1:23" x14ac:dyDescent="0.3">
      <c r="A910" t="s">
        <v>67</v>
      </c>
      <c r="B910" t="s">
        <v>2743</v>
      </c>
      <c r="C910" t="s">
        <v>12</v>
      </c>
      <c r="D910" t="s">
        <v>20</v>
      </c>
      <c r="E910">
        <v>1473</v>
      </c>
      <c r="F910">
        <v>100.08</v>
      </c>
      <c r="G910">
        <v>109.82</v>
      </c>
      <c r="H910">
        <v>100.08</v>
      </c>
      <c r="I910">
        <v>1414</v>
      </c>
      <c r="J910">
        <v>10</v>
      </c>
      <c r="K910" s="17">
        <f t="shared" si="113"/>
        <v>471.33333333333331</v>
      </c>
      <c r="L910" t="str">
        <f t="shared" si="114"/>
        <v>Sufficuent Stock</v>
      </c>
      <c r="P910" s="19">
        <f t="shared" si="115"/>
        <v>0</v>
      </c>
      <c r="R910" s="19">
        <f t="shared" si="112"/>
        <v>0</v>
      </c>
      <c r="T910" s="19">
        <f t="shared" si="116"/>
        <v>155285.47999999998</v>
      </c>
      <c r="U910" s="19">
        <f t="shared" si="117"/>
        <v>141513.12</v>
      </c>
      <c r="V910" s="21">
        <f t="shared" si="118"/>
        <v>-13772.359999999986</v>
      </c>
      <c r="W910" s="18">
        <f t="shared" si="119"/>
        <v>-8.8690584592970231E-2</v>
      </c>
    </row>
    <row r="911" spans="1:23" x14ac:dyDescent="0.3">
      <c r="A911" t="s">
        <v>462</v>
      </c>
      <c r="B911" t="s">
        <v>1736</v>
      </c>
      <c r="C911" t="s">
        <v>37</v>
      </c>
      <c r="D911" t="s">
        <v>20</v>
      </c>
      <c r="E911">
        <v>1477</v>
      </c>
      <c r="F911">
        <v>229.35</v>
      </c>
      <c r="G911">
        <v>238.8</v>
      </c>
      <c r="H911">
        <v>229.35</v>
      </c>
      <c r="I911">
        <v>3911</v>
      </c>
      <c r="J911">
        <v>49</v>
      </c>
      <c r="K911" s="17">
        <f t="shared" si="113"/>
        <v>6387.9666666666672</v>
      </c>
      <c r="L911" t="str">
        <f t="shared" si="114"/>
        <v>High Risk</v>
      </c>
      <c r="P911" s="19">
        <f t="shared" si="115"/>
        <v>4911</v>
      </c>
      <c r="R911" s="19">
        <f t="shared" si="112"/>
        <v>1126337.8499999999</v>
      </c>
      <c r="T911" s="19">
        <f t="shared" si="116"/>
        <v>933946.8</v>
      </c>
      <c r="U911" s="19">
        <f t="shared" si="117"/>
        <v>896987.85</v>
      </c>
      <c r="V911" s="21">
        <f t="shared" si="118"/>
        <v>-36958.95000000007</v>
      </c>
      <c r="W911" s="18">
        <f t="shared" si="119"/>
        <v>-3.9572864321608114E-2</v>
      </c>
    </row>
    <row r="912" spans="1:23" x14ac:dyDescent="0.3">
      <c r="A912" t="s">
        <v>368</v>
      </c>
      <c r="B912" t="s">
        <v>818</v>
      </c>
      <c r="C912" t="s">
        <v>37</v>
      </c>
      <c r="D912" t="s">
        <v>13</v>
      </c>
      <c r="E912">
        <v>1481</v>
      </c>
      <c r="F912">
        <v>337.41</v>
      </c>
      <c r="G912">
        <v>314.8</v>
      </c>
      <c r="H912">
        <v>337.41</v>
      </c>
      <c r="I912">
        <v>2849</v>
      </c>
      <c r="J912">
        <v>45</v>
      </c>
      <c r="K912" s="17">
        <f t="shared" si="113"/>
        <v>4273.5</v>
      </c>
      <c r="L912" t="str">
        <f t="shared" si="114"/>
        <v>High Risk</v>
      </c>
      <c r="P912" s="19">
        <f t="shared" si="115"/>
        <v>2793</v>
      </c>
      <c r="R912" s="19">
        <f t="shared" si="112"/>
        <v>942386.13000000012</v>
      </c>
      <c r="T912" s="19">
        <f t="shared" si="116"/>
        <v>896865.20000000007</v>
      </c>
      <c r="U912" s="19">
        <f t="shared" si="117"/>
        <v>961281.09000000008</v>
      </c>
      <c r="V912" s="21">
        <f t="shared" si="118"/>
        <v>64415.890000000014</v>
      </c>
      <c r="W912" s="18">
        <f t="shared" si="119"/>
        <v>7.182337992376113E-2</v>
      </c>
    </row>
    <row r="913" spans="1:23" x14ac:dyDescent="0.3">
      <c r="A913" t="s">
        <v>171</v>
      </c>
      <c r="B913" t="s">
        <v>2160</v>
      </c>
      <c r="C913" t="s">
        <v>37</v>
      </c>
      <c r="D913" t="s">
        <v>17</v>
      </c>
      <c r="E913">
        <v>1487</v>
      </c>
      <c r="F913">
        <v>309.87</v>
      </c>
      <c r="G913">
        <v>317.33999999999997</v>
      </c>
      <c r="H913">
        <v>309.87</v>
      </c>
      <c r="I913">
        <v>1311</v>
      </c>
      <c r="J913">
        <v>57</v>
      </c>
      <c r="K913" s="17">
        <f t="shared" si="113"/>
        <v>2490.9</v>
      </c>
      <c r="L913" t="str">
        <f t="shared" si="114"/>
        <v>High Risk</v>
      </c>
      <c r="P913" s="19">
        <f t="shared" si="115"/>
        <v>1004</v>
      </c>
      <c r="R913" s="19">
        <f t="shared" si="112"/>
        <v>311109.48</v>
      </c>
      <c r="T913" s="19">
        <f t="shared" si="116"/>
        <v>416032.74</v>
      </c>
      <c r="U913" s="19">
        <f t="shared" si="117"/>
        <v>406239.57</v>
      </c>
      <c r="V913" s="21">
        <f t="shared" si="118"/>
        <v>-9793.1699999999837</v>
      </c>
      <c r="W913" s="18">
        <f t="shared" si="119"/>
        <v>-2.3539421440725995E-2</v>
      </c>
    </row>
    <row r="914" spans="1:23" x14ac:dyDescent="0.3">
      <c r="A914" t="s">
        <v>389</v>
      </c>
      <c r="B914" t="s">
        <v>390</v>
      </c>
      <c r="C914" t="s">
        <v>50</v>
      </c>
      <c r="D914" t="s">
        <v>26</v>
      </c>
      <c r="E914">
        <v>1488</v>
      </c>
      <c r="F914">
        <v>243.11</v>
      </c>
      <c r="G914">
        <v>233.32</v>
      </c>
      <c r="H914">
        <v>243.11</v>
      </c>
      <c r="I914">
        <v>3874</v>
      </c>
      <c r="J914">
        <v>60</v>
      </c>
      <c r="K914" s="17">
        <f t="shared" si="113"/>
        <v>7748</v>
      </c>
      <c r="L914" t="str">
        <f t="shared" si="114"/>
        <v>High Risk</v>
      </c>
      <c r="P914" s="19">
        <f t="shared" si="115"/>
        <v>6260</v>
      </c>
      <c r="R914" s="19">
        <f t="shared" si="112"/>
        <v>1521868.6</v>
      </c>
      <c r="T914" s="19">
        <f t="shared" si="116"/>
        <v>903881.67999999993</v>
      </c>
      <c r="U914" s="19">
        <f t="shared" si="117"/>
        <v>941808.14</v>
      </c>
      <c r="V914" s="21">
        <f t="shared" si="118"/>
        <v>37926.460000000079</v>
      </c>
      <c r="W914" s="18">
        <f t="shared" si="119"/>
        <v>4.1959540545174104E-2</v>
      </c>
    </row>
    <row r="915" spans="1:23" x14ac:dyDescent="0.3">
      <c r="A915" t="s">
        <v>171</v>
      </c>
      <c r="B915" t="s">
        <v>2564</v>
      </c>
      <c r="C915" t="s">
        <v>12</v>
      </c>
      <c r="D915" t="s">
        <v>69</v>
      </c>
      <c r="E915">
        <v>1490</v>
      </c>
      <c r="F915">
        <v>437.69</v>
      </c>
      <c r="G915">
        <v>381.87</v>
      </c>
      <c r="H915">
        <v>437.69</v>
      </c>
      <c r="I915">
        <v>109</v>
      </c>
      <c r="J915">
        <v>87</v>
      </c>
      <c r="K915" s="17">
        <f t="shared" si="113"/>
        <v>316.10000000000002</v>
      </c>
      <c r="L915" t="str">
        <f t="shared" si="114"/>
        <v>Sufficuent Stock</v>
      </c>
      <c r="P915" s="19">
        <f t="shared" si="115"/>
        <v>0</v>
      </c>
      <c r="R915" s="19">
        <f t="shared" si="112"/>
        <v>0</v>
      </c>
      <c r="T915" s="19">
        <f t="shared" si="116"/>
        <v>41623.83</v>
      </c>
      <c r="U915" s="19">
        <f t="shared" si="117"/>
        <v>47708.21</v>
      </c>
      <c r="V915" s="21">
        <f t="shared" si="118"/>
        <v>6084.3799999999974</v>
      </c>
      <c r="W915" s="18">
        <f t="shared" si="119"/>
        <v>0.14617540000523732</v>
      </c>
    </row>
    <row r="916" spans="1:23" x14ac:dyDescent="0.3">
      <c r="A916" t="s">
        <v>796</v>
      </c>
      <c r="B916" t="s">
        <v>2170</v>
      </c>
      <c r="C916" t="s">
        <v>23</v>
      </c>
      <c r="D916" t="s">
        <v>17</v>
      </c>
      <c r="E916">
        <v>1491</v>
      </c>
      <c r="F916">
        <v>20.8</v>
      </c>
      <c r="G916">
        <v>17.96</v>
      </c>
      <c r="H916">
        <v>20.8</v>
      </c>
      <c r="I916">
        <v>2166</v>
      </c>
      <c r="J916">
        <v>34</v>
      </c>
      <c r="K916" s="17">
        <f t="shared" si="113"/>
        <v>2454.8000000000002</v>
      </c>
      <c r="L916" t="str">
        <f t="shared" si="114"/>
        <v>High Risk</v>
      </c>
      <c r="P916" s="19">
        <f t="shared" si="115"/>
        <v>964</v>
      </c>
      <c r="R916" s="19">
        <f t="shared" si="112"/>
        <v>20051.2</v>
      </c>
      <c r="T916" s="19">
        <f t="shared" si="116"/>
        <v>38901.360000000001</v>
      </c>
      <c r="U916" s="19">
        <f t="shared" si="117"/>
        <v>45052.800000000003</v>
      </c>
      <c r="V916" s="21">
        <f t="shared" si="118"/>
        <v>6151.4400000000023</v>
      </c>
      <c r="W916" s="18">
        <f t="shared" si="119"/>
        <v>0.15812917594654793</v>
      </c>
    </row>
    <row r="917" spans="1:23" x14ac:dyDescent="0.3">
      <c r="A917" t="s">
        <v>659</v>
      </c>
      <c r="B917" t="s">
        <v>793</v>
      </c>
      <c r="C917" t="s">
        <v>50</v>
      </c>
      <c r="D917" t="s">
        <v>69</v>
      </c>
      <c r="E917">
        <v>1493</v>
      </c>
      <c r="F917">
        <v>213.8</v>
      </c>
      <c r="G917">
        <v>228.27</v>
      </c>
      <c r="H917">
        <v>213.8</v>
      </c>
      <c r="I917">
        <v>3266</v>
      </c>
      <c r="J917">
        <v>70</v>
      </c>
      <c r="K917" s="17">
        <f t="shared" si="113"/>
        <v>7620.6666666666661</v>
      </c>
      <c r="L917" t="str">
        <f t="shared" si="114"/>
        <v>High Risk</v>
      </c>
      <c r="P917" s="19">
        <f t="shared" si="115"/>
        <v>6128</v>
      </c>
      <c r="R917" s="19">
        <f t="shared" si="112"/>
        <v>1310166.4000000001</v>
      </c>
      <c r="T917" s="19">
        <f t="shared" si="116"/>
        <v>745529.82000000007</v>
      </c>
      <c r="U917" s="19">
        <f t="shared" si="117"/>
        <v>698270.8</v>
      </c>
      <c r="V917" s="21">
        <f t="shared" si="118"/>
        <v>-47259.020000000019</v>
      </c>
      <c r="W917" s="18">
        <f t="shared" si="119"/>
        <v>-6.3389845358566635E-2</v>
      </c>
    </row>
    <row r="918" spans="1:23" x14ac:dyDescent="0.3">
      <c r="A918" t="s">
        <v>1240</v>
      </c>
      <c r="B918" t="s">
        <v>1706</v>
      </c>
      <c r="C918" t="s">
        <v>37</v>
      </c>
      <c r="D918" t="s">
        <v>17</v>
      </c>
      <c r="E918">
        <v>1494</v>
      </c>
      <c r="F918">
        <v>212.27</v>
      </c>
      <c r="G918">
        <v>222.93</v>
      </c>
      <c r="H918">
        <v>212.27</v>
      </c>
      <c r="I918">
        <v>2282</v>
      </c>
      <c r="J918">
        <v>71</v>
      </c>
      <c r="K918" s="17">
        <f t="shared" si="113"/>
        <v>5400.7333333333327</v>
      </c>
      <c r="L918" t="str">
        <f t="shared" si="114"/>
        <v>High Risk</v>
      </c>
      <c r="P918" s="19">
        <f t="shared" si="115"/>
        <v>3907</v>
      </c>
      <c r="R918" s="19">
        <f t="shared" si="112"/>
        <v>829338.89</v>
      </c>
      <c r="T918" s="19">
        <f t="shared" si="116"/>
        <v>508726.26</v>
      </c>
      <c r="U918" s="19">
        <f t="shared" si="117"/>
        <v>484400.14</v>
      </c>
      <c r="V918" s="21">
        <f t="shared" si="118"/>
        <v>-24326.119999999995</v>
      </c>
      <c r="W918" s="18">
        <f t="shared" si="119"/>
        <v>-4.7817700623514099E-2</v>
      </c>
    </row>
    <row r="919" spans="1:23" x14ac:dyDescent="0.3">
      <c r="A919" t="s">
        <v>1067</v>
      </c>
      <c r="B919" t="s">
        <v>1640</v>
      </c>
      <c r="C919" t="s">
        <v>50</v>
      </c>
      <c r="D919" t="s">
        <v>20</v>
      </c>
      <c r="E919">
        <v>1495</v>
      </c>
      <c r="F919">
        <v>155.96</v>
      </c>
      <c r="G919">
        <v>169.61</v>
      </c>
      <c r="H919">
        <v>155.96</v>
      </c>
      <c r="I919">
        <v>2300</v>
      </c>
      <c r="J919">
        <v>42</v>
      </c>
      <c r="K919" s="17">
        <f t="shared" si="113"/>
        <v>3220</v>
      </c>
      <c r="L919" t="str">
        <f t="shared" si="114"/>
        <v>High Risk</v>
      </c>
      <c r="P919" s="19">
        <f t="shared" si="115"/>
        <v>1725</v>
      </c>
      <c r="R919" s="19">
        <f t="shared" si="112"/>
        <v>269031</v>
      </c>
      <c r="T919" s="19">
        <f t="shared" si="116"/>
        <v>390103.00000000006</v>
      </c>
      <c r="U919" s="19">
        <f t="shared" si="117"/>
        <v>358708</v>
      </c>
      <c r="V919" s="21">
        <f t="shared" si="118"/>
        <v>-31395.000000000058</v>
      </c>
      <c r="W919" s="18">
        <f t="shared" si="119"/>
        <v>-8.0478745356995604E-2</v>
      </c>
    </row>
    <row r="920" spans="1:23" x14ac:dyDescent="0.3">
      <c r="A920" t="s">
        <v>869</v>
      </c>
      <c r="B920" t="s">
        <v>3012</v>
      </c>
      <c r="C920" t="s">
        <v>12</v>
      </c>
      <c r="D920" t="s">
        <v>26</v>
      </c>
      <c r="E920">
        <v>1495</v>
      </c>
      <c r="F920">
        <v>19.62</v>
      </c>
      <c r="G920">
        <v>17.73</v>
      </c>
      <c r="H920">
        <v>19.62</v>
      </c>
      <c r="I920">
        <v>3565</v>
      </c>
      <c r="J920">
        <v>81</v>
      </c>
      <c r="K920" s="17">
        <f t="shared" si="113"/>
        <v>9625.5</v>
      </c>
      <c r="L920" t="str">
        <f t="shared" si="114"/>
        <v>High Risk</v>
      </c>
      <c r="P920" s="19">
        <f t="shared" si="115"/>
        <v>8131</v>
      </c>
      <c r="R920" s="19">
        <f t="shared" si="112"/>
        <v>159530.22</v>
      </c>
      <c r="T920" s="19">
        <f t="shared" si="116"/>
        <v>63207.450000000004</v>
      </c>
      <c r="U920" s="19">
        <f t="shared" si="117"/>
        <v>69945.3</v>
      </c>
      <c r="V920" s="21">
        <f t="shared" si="118"/>
        <v>6737.8499999999985</v>
      </c>
      <c r="W920" s="18">
        <f t="shared" si="119"/>
        <v>0.10659898477157358</v>
      </c>
    </row>
    <row r="921" spans="1:23" x14ac:dyDescent="0.3">
      <c r="A921" t="s">
        <v>157</v>
      </c>
      <c r="B921" t="s">
        <v>554</v>
      </c>
      <c r="C921" t="s">
        <v>23</v>
      </c>
      <c r="D921" t="s">
        <v>69</v>
      </c>
      <c r="E921">
        <v>1496</v>
      </c>
      <c r="F921">
        <v>423.24</v>
      </c>
      <c r="G921">
        <v>433.91</v>
      </c>
      <c r="H921">
        <v>423.24</v>
      </c>
      <c r="I921">
        <v>2194</v>
      </c>
      <c r="J921">
        <v>14</v>
      </c>
      <c r="K921" s="17">
        <f t="shared" si="113"/>
        <v>1023.8666666666668</v>
      </c>
      <c r="L921" t="str">
        <f t="shared" si="114"/>
        <v>Sufficuent Stock</v>
      </c>
      <c r="P921" s="19">
        <f t="shared" si="115"/>
        <v>0</v>
      </c>
      <c r="R921" s="19">
        <f t="shared" si="112"/>
        <v>0</v>
      </c>
      <c r="T921" s="19">
        <f t="shared" si="116"/>
        <v>951998.54</v>
      </c>
      <c r="U921" s="19">
        <f t="shared" si="117"/>
        <v>928588.56</v>
      </c>
      <c r="V921" s="21">
        <f t="shared" si="118"/>
        <v>-23409.979999999981</v>
      </c>
      <c r="W921" s="18">
        <f t="shared" si="119"/>
        <v>-2.4590352838146139E-2</v>
      </c>
    </row>
    <row r="922" spans="1:23" x14ac:dyDescent="0.3">
      <c r="A922" t="s">
        <v>233</v>
      </c>
      <c r="B922" t="s">
        <v>2598</v>
      </c>
      <c r="C922" t="s">
        <v>37</v>
      </c>
      <c r="D922" t="s">
        <v>26</v>
      </c>
      <c r="E922">
        <v>1497</v>
      </c>
      <c r="F922">
        <v>333.61</v>
      </c>
      <c r="G922">
        <v>335.53</v>
      </c>
      <c r="H922">
        <v>333.61</v>
      </c>
      <c r="I922">
        <v>916</v>
      </c>
      <c r="J922">
        <v>62</v>
      </c>
      <c r="K922" s="17">
        <f t="shared" si="113"/>
        <v>1893.0666666666668</v>
      </c>
      <c r="L922" t="str">
        <f t="shared" si="114"/>
        <v>High Risk</v>
      </c>
      <c r="P922" s="19">
        <f t="shared" si="115"/>
        <v>397</v>
      </c>
      <c r="R922" s="19">
        <f t="shared" si="112"/>
        <v>132443.17000000001</v>
      </c>
      <c r="T922" s="19">
        <f t="shared" si="116"/>
        <v>307345.48</v>
      </c>
      <c r="U922" s="19">
        <f t="shared" si="117"/>
        <v>305586.76</v>
      </c>
      <c r="V922" s="21">
        <f t="shared" si="118"/>
        <v>-1758.7199999999721</v>
      </c>
      <c r="W922" s="18">
        <f t="shared" si="119"/>
        <v>-5.7222901081869565E-3</v>
      </c>
    </row>
    <row r="923" spans="1:23" x14ac:dyDescent="0.3">
      <c r="A923" t="s">
        <v>323</v>
      </c>
      <c r="B923" t="s">
        <v>718</v>
      </c>
      <c r="C923" t="s">
        <v>37</v>
      </c>
      <c r="D923" t="s">
        <v>69</v>
      </c>
      <c r="E923">
        <v>1498</v>
      </c>
      <c r="F923">
        <v>105.83</v>
      </c>
      <c r="G923">
        <v>107.72</v>
      </c>
      <c r="H923">
        <v>105.83</v>
      </c>
      <c r="I923">
        <v>2728</v>
      </c>
      <c r="J923">
        <v>83</v>
      </c>
      <c r="K923" s="17">
        <f t="shared" si="113"/>
        <v>7547.4666666666672</v>
      </c>
      <c r="L923" t="str">
        <f t="shared" si="114"/>
        <v>High Risk</v>
      </c>
      <c r="P923" s="19">
        <f t="shared" si="115"/>
        <v>6050</v>
      </c>
      <c r="R923" s="19">
        <f t="shared" si="112"/>
        <v>640271.5</v>
      </c>
      <c r="T923" s="19">
        <f t="shared" si="116"/>
        <v>293860.15999999997</v>
      </c>
      <c r="U923" s="19">
        <f t="shared" si="117"/>
        <v>288704.24</v>
      </c>
      <c r="V923" s="21">
        <f t="shared" si="118"/>
        <v>-5155.9199999999837</v>
      </c>
      <c r="W923" s="18">
        <f t="shared" si="119"/>
        <v>-1.7545488303007745E-2</v>
      </c>
    </row>
    <row r="924" spans="1:23" x14ac:dyDescent="0.3">
      <c r="A924" t="s">
        <v>21</v>
      </c>
      <c r="B924" t="s">
        <v>22</v>
      </c>
      <c r="C924" t="s">
        <v>23</v>
      </c>
      <c r="D924" t="s">
        <v>20</v>
      </c>
      <c r="E924">
        <v>1498</v>
      </c>
      <c r="F924">
        <v>451.1</v>
      </c>
      <c r="G924">
        <v>412.71</v>
      </c>
      <c r="H924">
        <v>451.1</v>
      </c>
      <c r="I924">
        <v>3285</v>
      </c>
      <c r="J924">
        <v>9</v>
      </c>
      <c r="K924" s="17">
        <f t="shared" si="113"/>
        <v>985.5</v>
      </c>
      <c r="L924" t="str">
        <f t="shared" si="114"/>
        <v>Sufficuent Stock</v>
      </c>
      <c r="P924" s="19">
        <f t="shared" si="115"/>
        <v>0</v>
      </c>
      <c r="R924" s="19">
        <f t="shared" si="112"/>
        <v>0</v>
      </c>
      <c r="T924" s="19">
        <f t="shared" si="116"/>
        <v>1355752.3499999999</v>
      </c>
      <c r="U924" s="19">
        <f t="shared" si="117"/>
        <v>1481863.5</v>
      </c>
      <c r="V924" s="21">
        <f t="shared" si="118"/>
        <v>126111.15000000014</v>
      </c>
      <c r="W924" s="18">
        <f t="shared" si="119"/>
        <v>9.3019311380872882E-2</v>
      </c>
    </row>
    <row r="925" spans="1:23" x14ac:dyDescent="0.3">
      <c r="A925" t="s">
        <v>288</v>
      </c>
      <c r="B925" t="s">
        <v>679</v>
      </c>
      <c r="C925" t="s">
        <v>12</v>
      </c>
      <c r="D925" t="s">
        <v>17</v>
      </c>
      <c r="E925">
        <v>1500</v>
      </c>
      <c r="F925">
        <v>255.39</v>
      </c>
      <c r="G925">
        <v>246.47</v>
      </c>
      <c r="H925">
        <v>255.39</v>
      </c>
      <c r="I925">
        <v>2379</v>
      </c>
      <c r="J925">
        <v>90</v>
      </c>
      <c r="K925" s="17">
        <f t="shared" si="113"/>
        <v>7137</v>
      </c>
      <c r="L925" t="str">
        <f t="shared" si="114"/>
        <v>High Risk</v>
      </c>
      <c r="P925" s="19">
        <f t="shared" si="115"/>
        <v>5637</v>
      </c>
      <c r="R925" s="19">
        <f t="shared" si="112"/>
        <v>1439633.43</v>
      </c>
      <c r="T925" s="19">
        <f t="shared" si="116"/>
        <v>586352.13</v>
      </c>
      <c r="U925" s="19">
        <f t="shared" si="117"/>
        <v>607572.80999999994</v>
      </c>
      <c r="V925" s="21">
        <f t="shared" si="118"/>
        <v>21220.679999999935</v>
      </c>
      <c r="W925" s="18">
        <f t="shared" si="119"/>
        <v>3.6191017162332015E-2</v>
      </c>
    </row>
    <row r="926" spans="1:23" x14ac:dyDescent="0.3">
      <c r="A926" t="s">
        <v>474</v>
      </c>
      <c r="B926" t="s">
        <v>475</v>
      </c>
      <c r="C926" t="s">
        <v>37</v>
      </c>
      <c r="D926" t="s">
        <v>26</v>
      </c>
      <c r="E926">
        <v>1503</v>
      </c>
      <c r="F926">
        <v>60.28</v>
      </c>
      <c r="G926">
        <v>51.23</v>
      </c>
      <c r="H926">
        <v>60.28</v>
      </c>
      <c r="I926">
        <v>2849</v>
      </c>
      <c r="J926">
        <v>8</v>
      </c>
      <c r="K926" s="17">
        <f t="shared" si="113"/>
        <v>759.73333333333335</v>
      </c>
      <c r="L926" t="str">
        <f t="shared" si="114"/>
        <v>Sufficuent Stock</v>
      </c>
      <c r="P926" s="19">
        <f t="shared" si="115"/>
        <v>0</v>
      </c>
      <c r="R926" s="19">
        <f t="shared" si="112"/>
        <v>0</v>
      </c>
      <c r="T926" s="19">
        <f t="shared" si="116"/>
        <v>145954.26999999999</v>
      </c>
      <c r="U926" s="19">
        <f t="shared" si="117"/>
        <v>171737.72</v>
      </c>
      <c r="V926" s="21">
        <f t="shared" si="118"/>
        <v>25783.450000000012</v>
      </c>
      <c r="W926" s="18">
        <f t="shared" si="119"/>
        <v>0.17665430411868055</v>
      </c>
    </row>
    <row r="927" spans="1:23" x14ac:dyDescent="0.3">
      <c r="A927" t="s">
        <v>67</v>
      </c>
      <c r="B927" t="s">
        <v>2839</v>
      </c>
      <c r="C927" t="s">
        <v>23</v>
      </c>
      <c r="D927" t="s">
        <v>17</v>
      </c>
      <c r="E927">
        <v>1504</v>
      </c>
      <c r="F927">
        <v>189.35</v>
      </c>
      <c r="G927">
        <v>204.75</v>
      </c>
      <c r="H927">
        <v>189.35</v>
      </c>
      <c r="I927">
        <v>3279</v>
      </c>
      <c r="J927">
        <v>75</v>
      </c>
      <c r="K927" s="17">
        <f t="shared" si="113"/>
        <v>8197.5</v>
      </c>
      <c r="L927" t="str">
        <f t="shared" si="114"/>
        <v>High Risk</v>
      </c>
      <c r="P927" s="19">
        <f t="shared" si="115"/>
        <v>6694</v>
      </c>
      <c r="R927" s="19">
        <f t="shared" si="112"/>
        <v>1267508.8999999999</v>
      </c>
      <c r="T927" s="19">
        <f t="shared" si="116"/>
        <v>671375.25</v>
      </c>
      <c r="U927" s="19">
        <f t="shared" si="117"/>
        <v>620878.65</v>
      </c>
      <c r="V927" s="21">
        <f t="shared" si="118"/>
        <v>-50496.599999999977</v>
      </c>
      <c r="W927" s="18">
        <f t="shared" si="119"/>
        <v>-7.5213675213675182E-2</v>
      </c>
    </row>
    <row r="928" spans="1:23" x14ac:dyDescent="0.3">
      <c r="A928" t="s">
        <v>155</v>
      </c>
      <c r="B928" t="s">
        <v>814</v>
      </c>
      <c r="C928" t="s">
        <v>37</v>
      </c>
      <c r="D928" t="s">
        <v>26</v>
      </c>
      <c r="E928">
        <v>1506</v>
      </c>
      <c r="F928">
        <v>294.05</v>
      </c>
      <c r="G928">
        <v>301.10000000000002</v>
      </c>
      <c r="H928">
        <v>294.05</v>
      </c>
      <c r="I928">
        <v>3336</v>
      </c>
      <c r="J928">
        <v>72</v>
      </c>
      <c r="K928" s="17">
        <f t="shared" si="113"/>
        <v>8006.4000000000005</v>
      </c>
      <c r="L928" t="str">
        <f t="shared" si="114"/>
        <v>High Risk</v>
      </c>
      <c r="P928" s="19">
        <f t="shared" si="115"/>
        <v>6501</v>
      </c>
      <c r="R928" s="19">
        <f t="shared" si="112"/>
        <v>1911619.05</v>
      </c>
      <c r="T928" s="19">
        <f t="shared" si="116"/>
        <v>1004469.6000000001</v>
      </c>
      <c r="U928" s="19">
        <f t="shared" si="117"/>
        <v>980950.8</v>
      </c>
      <c r="V928" s="21">
        <f t="shared" si="118"/>
        <v>-23518.800000000047</v>
      </c>
      <c r="W928" s="18">
        <f t="shared" si="119"/>
        <v>-2.341414812354704E-2</v>
      </c>
    </row>
    <row r="929" spans="1:23" x14ac:dyDescent="0.3">
      <c r="A929" t="s">
        <v>229</v>
      </c>
      <c r="B929" t="s">
        <v>2558</v>
      </c>
      <c r="C929" t="s">
        <v>37</v>
      </c>
      <c r="D929" t="s">
        <v>20</v>
      </c>
      <c r="E929">
        <v>1509</v>
      </c>
      <c r="F929">
        <v>405.24</v>
      </c>
      <c r="G929">
        <v>406.55</v>
      </c>
      <c r="H929">
        <v>405.24</v>
      </c>
      <c r="I929">
        <v>570</v>
      </c>
      <c r="J929">
        <v>67</v>
      </c>
      <c r="K929" s="17">
        <f t="shared" si="113"/>
        <v>1273</v>
      </c>
      <c r="L929" t="str">
        <f t="shared" si="114"/>
        <v>Sufficuent Stock</v>
      </c>
      <c r="P929" s="19">
        <f t="shared" si="115"/>
        <v>0</v>
      </c>
      <c r="R929" s="19">
        <f t="shared" si="112"/>
        <v>0</v>
      </c>
      <c r="T929" s="19">
        <f t="shared" si="116"/>
        <v>231733.5</v>
      </c>
      <c r="U929" s="19">
        <f t="shared" si="117"/>
        <v>230986.80000000002</v>
      </c>
      <c r="V929" s="21">
        <f t="shared" si="118"/>
        <v>-746.69999999998254</v>
      </c>
      <c r="W929" s="18">
        <f t="shared" si="119"/>
        <v>-3.2222358873446547E-3</v>
      </c>
    </row>
    <row r="930" spans="1:23" x14ac:dyDescent="0.3">
      <c r="A930" t="s">
        <v>398</v>
      </c>
      <c r="B930" t="s">
        <v>3352</v>
      </c>
      <c r="C930" t="s">
        <v>16</v>
      </c>
      <c r="D930" t="s">
        <v>20</v>
      </c>
      <c r="E930">
        <v>1510</v>
      </c>
      <c r="F930">
        <v>438.07</v>
      </c>
      <c r="G930">
        <v>478.4</v>
      </c>
      <c r="H930">
        <v>438.07</v>
      </c>
      <c r="I930">
        <v>3271</v>
      </c>
      <c r="J930">
        <v>70</v>
      </c>
      <c r="K930" s="17">
        <f t="shared" si="113"/>
        <v>7632.333333333333</v>
      </c>
      <c r="L930" t="str">
        <f t="shared" si="114"/>
        <v>High Risk</v>
      </c>
      <c r="P930" s="19">
        <f t="shared" si="115"/>
        <v>6123</v>
      </c>
      <c r="R930" s="19">
        <f t="shared" si="112"/>
        <v>2682302.61</v>
      </c>
      <c r="T930" s="19">
        <f t="shared" si="116"/>
        <v>1564846.4</v>
      </c>
      <c r="U930" s="19">
        <f t="shared" si="117"/>
        <v>1432926.97</v>
      </c>
      <c r="V930" s="21">
        <f t="shared" si="118"/>
        <v>-131919.42999999993</v>
      </c>
      <c r="W930" s="18">
        <f t="shared" si="119"/>
        <v>-8.4301839464882913E-2</v>
      </c>
    </row>
    <row r="931" spans="1:23" x14ac:dyDescent="0.3">
      <c r="A931" t="s">
        <v>833</v>
      </c>
      <c r="B931" t="s">
        <v>2869</v>
      </c>
      <c r="C931" t="s">
        <v>50</v>
      </c>
      <c r="D931" t="s">
        <v>26</v>
      </c>
      <c r="E931">
        <v>1510</v>
      </c>
      <c r="F931">
        <v>441.65</v>
      </c>
      <c r="G931">
        <v>397.82</v>
      </c>
      <c r="H931">
        <v>441.65</v>
      </c>
      <c r="I931">
        <v>2829</v>
      </c>
      <c r="J931">
        <v>77</v>
      </c>
      <c r="K931" s="17">
        <f t="shared" si="113"/>
        <v>7261.0999999999995</v>
      </c>
      <c r="L931" t="str">
        <f t="shared" si="114"/>
        <v>High Risk</v>
      </c>
      <c r="P931" s="19">
        <f t="shared" si="115"/>
        <v>5752</v>
      </c>
      <c r="R931" s="19">
        <f t="shared" si="112"/>
        <v>2540370.7999999998</v>
      </c>
      <c r="T931" s="19">
        <f t="shared" si="116"/>
        <v>1125432.78</v>
      </c>
      <c r="U931" s="19">
        <f t="shared" si="117"/>
        <v>1249427.8499999999</v>
      </c>
      <c r="V931" s="21">
        <f t="shared" si="118"/>
        <v>123995.06999999983</v>
      </c>
      <c r="W931" s="18">
        <f t="shared" si="119"/>
        <v>0.11017545623648871</v>
      </c>
    </row>
    <row r="932" spans="1:23" x14ac:dyDescent="0.3">
      <c r="A932" t="s">
        <v>909</v>
      </c>
      <c r="B932" t="s">
        <v>2493</v>
      </c>
      <c r="C932" t="s">
        <v>12</v>
      </c>
      <c r="D932" t="s">
        <v>26</v>
      </c>
      <c r="E932">
        <v>1511</v>
      </c>
      <c r="F932">
        <v>383.06</v>
      </c>
      <c r="G932">
        <v>334.04</v>
      </c>
      <c r="H932">
        <v>383.06</v>
      </c>
      <c r="I932">
        <v>1739</v>
      </c>
      <c r="J932">
        <v>40</v>
      </c>
      <c r="K932" s="17">
        <f t="shared" si="113"/>
        <v>2318.666666666667</v>
      </c>
      <c r="L932" t="str">
        <f t="shared" si="114"/>
        <v>High Risk</v>
      </c>
      <c r="P932" s="19">
        <f t="shared" si="115"/>
        <v>808</v>
      </c>
      <c r="R932" s="19">
        <f t="shared" si="112"/>
        <v>309512.48</v>
      </c>
      <c r="T932" s="19">
        <f t="shared" si="116"/>
        <v>580895.56000000006</v>
      </c>
      <c r="U932" s="19">
        <f t="shared" si="117"/>
        <v>666141.34</v>
      </c>
      <c r="V932" s="21">
        <f t="shared" si="118"/>
        <v>85245.779999999912</v>
      </c>
      <c r="W932" s="18">
        <f t="shared" si="119"/>
        <v>0.14674889234822161</v>
      </c>
    </row>
    <row r="933" spans="1:23" x14ac:dyDescent="0.3">
      <c r="A933" t="s">
        <v>157</v>
      </c>
      <c r="B933" t="s">
        <v>2707</v>
      </c>
      <c r="C933" t="s">
        <v>37</v>
      </c>
      <c r="D933" t="s">
        <v>69</v>
      </c>
      <c r="E933">
        <v>1514</v>
      </c>
      <c r="F933">
        <v>18.66</v>
      </c>
      <c r="G933">
        <v>15.94</v>
      </c>
      <c r="H933">
        <v>18.66</v>
      </c>
      <c r="I933">
        <v>1742</v>
      </c>
      <c r="J933">
        <v>83</v>
      </c>
      <c r="K933" s="17">
        <f t="shared" si="113"/>
        <v>4819.5333333333338</v>
      </c>
      <c r="L933" t="str">
        <f t="shared" si="114"/>
        <v>High Risk</v>
      </c>
      <c r="P933" s="19">
        <f t="shared" si="115"/>
        <v>3306</v>
      </c>
      <c r="R933" s="19">
        <f t="shared" si="112"/>
        <v>61689.96</v>
      </c>
      <c r="T933" s="19">
        <f t="shared" si="116"/>
        <v>27767.48</v>
      </c>
      <c r="U933" s="19">
        <f t="shared" si="117"/>
        <v>32505.72</v>
      </c>
      <c r="V933" s="21">
        <f t="shared" si="118"/>
        <v>4738.2400000000016</v>
      </c>
      <c r="W933" s="18">
        <f t="shared" si="119"/>
        <v>0.17063989962358853</v>
      </c>
    </row>
    <row r="934" spans="1:23" x14ac:dyDescent="0.3">
      <c r="A934" t="s">
        <v>100</v>
      </c>
      <c r="B934" t="s">
        <v>1499</v>
      </c>
      <c r="C934" t="s">
        <v>16</v>
      </c>
      <c r="D934" t="s">
        <v>69</v>
      </c>
      <c r="E934">
        <v>1514</v>
      </c>
      <c r="F934">
        <v>476.76</v>
      </c>
      <c r="G934">
        <v>427.89</v>
      </c>
      <c r="H934">
        <v>476.76</v>
      </c>
      <c r="I934">
        <v>1093</v>
      </c>
      <c r="J934">
        <v>65</v>
      </c>
      <c r="K934" s="17">
        <f t="shared" si="113"/>
        <v>2368.1666666666665</v>
      </c>
      <c r="L934" t="str">
        <f t="shared" si="114"/>
        <v>High Risk</v>
      </c>
      <c r="P934" s="19">
        <f t="shared" si="115"/>
        <v>855</v>
      </c>
      <c r="R934" s="19">
        <f t="shared" si="112"/>
        <v>407629.8</v>
      </c>
      <c r="T934" s="19">
        <f t="shared" si="116"/>
        <v>467683.76999999996</v>
      </c>
      <c r="U934" s="19">
        <f t="shared" si="117"/>
        <v>521098.68</v>
      </c>
      <c r="V934" s="21">
        <f t="shared" si="118"/>
        <v>53414.910000000033</v>
      </c>
      <c r="W934" s="18">
        <f t="shared" si="119"/>
        <v>0.11421159643833703</v>
      </c>
    </row>
    <row r="935" spans="1:23" x14ac:dyDescent="0.3">
      <c r="A935" t="s">
        <v>165</v>
      </c>
      <c r="B935" t="s">
        <v>2961</v>
      </c>
      <c r="C935" t="s">
        <v>37</v>
      </c>
      <c r="D935" t="s">
        <v>20</v>
      </c>
      <c r="E935">
        <v>1515</v>
      </c>
      <c r="F935">
        <v>133.32</v>
      </c>
      <c r="G935">
        <v>125.89</v>
      </c>
      <c r="H935">
        <v>133.32</v>
      </c>
      <c r="I935">
        <v>2786</v>
      </c>
      <c r="J935">
        <v>22</v>
      </c>
      <c r="K935" s="17">
        <f t="shared" si="113"/>
        <v>2043.0666666666666</v>
      </c>
      <c r="L935" t="str">
        <f t="shared" si="114"/>
        <v>High Risk</v>
      </c>
      <c r="P935" s="19">
        <f t="shared" si="115"/>
        <v>529</v>
      </c>
      <c r="R935" s="19">
        <f t="shared" si="112"/>
        <v>70526.28</v>
      </c>
      <c r="T935" s="19">
        <f t="shared" si="116"/>
        <v>350729.54</v>
      </c>
      <c r="U935" s="19">
        <f t="shared" si="117"/>
        <v>371429.51999999996</v>
      </c>
      <c r="V935" s="21">
        <f t="shared" si="118"/>
        <v>20699.979999999981</v>
      </c>
      <c r="W935" s="18">
        <f t="shared" si="119"/>
        <v>5.9019779172293223E-2</v>
      </c>
    </row>
    <row r="936" spans="1:23" x14ac:dyDescent="0.3">
      <c r="A936" t="s">
        <v>592</v>
      </c>
      <c r="B936" t="s">
        <v>2444</v>
      </c>
      <c r="C936" t="s">
        <v>50</v>
      </c>
      <c r="D936" t="s">
        <v>17</v>
      </c>
      <c r="E936">
        <v>1516</v>
      </c>
      <c r="F936">
        <v>372.47</v>
      </c>
      <c r="G936">
        <v>322.89</v>
      </c>
      <c r="H936">
        <v>372.47</v>
      </c>
      <c r="I936">
        <v>3954</v>
      </c>
      <c r="J936">
        <v>58</v>
      </c>
      <c r="K936" s="17">
        <f t="shared" si="113"/>
        <v>7644.4000000000005</v>
      </c>
      <c r="L936" t="str">
        <f t="shared" si="114"/>
        <v>High Risk</v>
      </c>
      <c r="P936" s="19">
        <f t="shared" si="115"/>
        <v>6129</v>
      </c>
      <c r="R936" s="19">
        <f t="shared" si="112"/>
        <v>2282868.6300000004</v>
      </c>
      <c r="T936" s="19">
        <f t="shared" si="116"/>
        <v>1276707.06</v>
      </c>
      <c r="U936" s="19">
        <f t="shared" si="117"/>
        <v>1472746.3800000001</v>
      </c>
      <c r="V936" s="21">
        <f t="shared" si="118"/>
        <v>196039.32000000007</v>
      </c>
      <c r="W936" s="18">
        <f t="shared" si="119"/>
        <v>0.15355074483570261</v>
      </c>
    </row>
    <row r="937" spans="1:23" x14ac:dyDescent="0.3">
      <c r="A937" t="s">
        <v>979</v>
      </c>
      <c r="B937" t="s">
        <v>2073</v>
      </c>
      <c r="C937" t="s">
        <v>37</v>
      </c>
      <c r="D937" t="s">
        <v>17</v>
      </c>
      <c r="E937">
        <v>1517</v>
      </c>
      <c r="F937">
        <v>242.33</v>
      </c>
      <c r="G937">
        <v>229.89</v>
      </c>
      <c r="H937">
        <v>242.33</v>
      </c>
      <c r="I937">
        <v>385</v>
      </c>
      <c r="J937">
        <v>75</v>
      </c>
      <c r="K937" s="17">
        <f t="shared" si="113"/>
        <v>962.5</v>
      </c>
      <c r="L937" t="str">
        <f t="shared" si="114"/>
        <v>Sufficuent Stock</v>
      </c>
      <c r="P937" s="19">
        <f t="shared" si="115"/>
        <v>0</v>
      </c>
      <c r="R937" s="19">
        <f t="shared" si="112"/>
        <v>0</v>
      </c>
      <c r="T937" s="19">
        <f t="shared" si="116"/>
        <v>88507.65</v>
      </c>
      <c r="U937" s="19">
        <f t="shared" si="117"/>
        <v>93297.05</v>
      </c>
      <c r="V937" s="21">
        <f t="shared" si="118"/>
        <v>4789.4000000000087</v>
      </c>
      <c r="W937" s="18">
        <f t="shared" si="119"/>
        <v>5.4112836574013758E-2</v>
      </c>
    </row>
    <row r="938" spans="1:23" x14ac:dyDescent="0.3">
      <c r="A938" t="s">
        <v>268</v>
      </c>
      <c r="B938" t="s">
        <v>373</v>
      </c>
      <c r="C938" t="s">
        <v>16</v>
      </c>
      <c r="D938" t="s">
        <v>69</v>
      </c>
      <c r="E938">
        <v>1518</v>
      </c>
      <c r="F938">
        <v>134.35</v>
      </c>
      <c r="G938">
        <v>147.06</v>
      </c>
      <c r="H938">
        <v>134.35</v>
      </c>
      <c r="I938">
        <v>3524</v>
      </c>
      <c r="J938">
        <v>25</v>
      </c>
      <c r="K938" s="17">
        <f t="shared" si="113"/>
        <v>2936.6666666666665</v>
      </c>
      <c r="L938" t="str">
        <f t="shared" si="114"/>
        <v>High Risk</v>
      </c>
      <c r="P938" s="19">
        <f t="shared" si="115"/>
        <v>1419</v>
      </c>
      <c r="R938" s="19">
        <f t="shared" si="112"/>
        <v>190642.65</v>
      </c>
      <c r="T938" s="19">
        <f t="shared" si="116"/>
        <v>518239.44</v>
      </c>
      <c r="U938" s="19">
        <f t="shared" si="117"/>
        <v>473449.39999999997</v>
      </c>
      <c r="V938" s="21">
        <f t="shared" si="118"/>
        <v>-44790.040000000037</v>
      </c>
      <c r="W938" s="18">
        <f t="shared" si="119"/>
        <v>-8.6427308581531415E-2</v>
      </c>
    </row>
    <row r="939" spans="1:23" x14ac:dyDescent="0.3">
      <c r="A939" t="s">
        <v>149</v>
      </c>
      <c r="B939" t="s">
        <v>2568</v>
      </c>
      <c r="C939" t="s">
        <v>37</v>
      </c>
      <c r="D939" t="s">
        <v>13</v>
      </c>
      <c r="E939">
        <v>1520</v>
      </c>
      <c r="F939">
        <v>12.39</v>
      </c>
      <c r="G939">
        <v>10.85</v>
      </c>
      <c r="H939">
        <v>12.39</v>
      </c>
      <c r="I939">
        <v>415</v>
      </c>
      <c r="J939">
        <v>87</v>
      </c>
      <c r="K939" s="17">
        <f t="shared" si="113"/>
        <v>1203.5</v>
      </c>
      <c r="L939" t="str">
        <f t="shared" si="114"/>
        <v>Sufficuent Stock</v>
      </c>
      <c r="P939" s="19">
        <f t="shared" si="115"/>
        <v>0</v>
      </c>
      <c r="R939" s="19">
        <f t="shared" si="112"/>
        <v>0</v>
      </c>
      <c r="T939" s="19">
        <f t="shared" si="116"/>
        <v>4502.75</v>
      </c>
      <c r="U939" s="19">
        <f t="shared" si="117"/>
        <v>5141.8500000000004</v>
      </c>
      <c r="V939" s="21">
        <f t="shared" si="118"/>
        <v>639.10000000000036</v>
      </c>
      <c r="W939" s="18">
        <f t="shared" si="119"/>
        <v>0.14193548387096783</v>
      </c>
    </row>
    <row r="940" spans="1:23" x14ac:dyDescent="0.3">
      <c r="A940" t="s">
        <v>798</v>
      </c>
      <c r="B940" t="s">
        <v>2471</v>
      </c>
      <c r="C940" t="s">
        <v>16</v>
      </c>
      <c r="D940" t="s">
        <v>20</v>
      </c>
      <c r="E940">
        <v>1521</v>
      </c>
      <c r="F940">
        <v>425.6</v>
      </c>
      <c r="G940">
        <v>466.09</v>
      </c>
      <c r="H940">
        <v>425.6</v>
      </c>
      <c r="I940">
        <v>3713</v>
      </c>
      <c r="J940">
        <v>46</v>
      </c>
      <c r="K940" s="17">
        <f t="shared" si="113"/>
        <v>5693.2666666666664</v>
      </c>
      <c r="L940" t="str">
        <f t="shared" si="114"/>
        <v>High Risk</v>
      </c>
      <c r="P940" s="19">
        <f t="shared" si="115"/>
        <v>4173</v>
      </c>
      <c r="R940" s="19">
        <f t="shared" si="112"/>
        <v>1776028.8</v>
      </c>
      <c r="T940" s="19">
        <f t="shared" si="116"/>
        <v>1730592.17</v>
      </c>
      <c r="U940" s="19">
        <f t="shared" si="117"/>
        <v>1580252.8</v>
      </c>
      <c r="V940" s="21">
        <f t="shared" si="118"/>
        <v>-150339.36999999988</v>
      </c>
      <c r="W940" s="18">
        <f t="shared" si="119"/>
        <v>-8.6871634233731621E-2</v>
      </c>
    </row>
    <row r="941" spans="1:23" x14ac:dyDescent="0.3">
      <c r="A941" t="s">
        <v>111</v>
      </c>
      <c r="B941" t="s">
        <v>2438</v>
      </c>
      <c r="C941" t="s">
        <v>23</v>
      </c>
      <c r="D941" t="s">
        <v>13</v>
      </c>
      <c r="E941">
        <v>1524</v>
      </c>
      <c r="F941">
        <v>111.6</v>
      </c>
      <c r="G941">
        <v>96.98</v>
      </c>
      <c r="H941">
        <v>111.6</v>
      </c>
      <c r="I941">
        <v>1561</v>
      </c>
      <c r="J941">
        <v>5</v>
      </c>
      <c r="K941" s="17">
        <f t="shared" si="113"/>
        <v>260.16666666666663</v>
      </c>
      <c r="L941" t="str">
        <f t="shared" si="114"/>
        <v>Sufficuent Stock</v>
      </c>
      <c r="P941" s="19">
        <f t="shared" si="115"/>
        <v>0</v>
      </c>
      <c r="R941" s="19">
        <f t="shared" si="112"/>
        <v>0</v>
      </c>
      <c r="T941" s="19">
        <f t="shared" si="116"/>
        <v>151385.78</v>
      </c>
      <c r="U941" s="19">
        <f t="shared" si="117"/>
        <v>174207.59999999998</v>
      </c>
      <c r="V941" s="21">
        <f t="shared" si="118"/>
        <v>22821.819999999978</v>
      </c>
      <c r="W941" s="18">
        <f t="shared" si="119"/>
        <v>0.15075273252216936</v>
      </c>
    </row>
    <row r="942" spans="1:23" x14ac:dyDescent="0.3">
      <c r="A942" t="s">
        <v>21</v>
      </c>
      <c r="B942" t="s">
        <v>717</v>
      </c>
      <c r="C942" t="s">
        <v>37</v>
      </c>
      <c r="D942" t="s">
        <v>17</v>
      </c>
      <c r="E942">
        <v>1526</v>
      </c>
      <c r="F942">
        <v>246.02</v>
      </c>
      <c r="G942">
        <v>259.31</v>
      </c>
      <c r="H942">
        <v>246.02</v>
      </c>
      <c r="I942">
        <v>484</v>
      </c>
      <c r="J942">
        <v>36</v>
      </c>
      <c r="K942" s="17">
        <f t="shared" si="113"/>
        <v>580.79999999999995</v>
      </c>
      <c r="L942" t="str">
        <f t="shared" si="114"/>
        <v>Sufficuent Stock</v>
      </c>
      <c r="P942" s="19">
        <f t="shared" si="115"/>
        <v>0</v>
      </c>
      <c r="R942" s="19">
        <f t="shared" si="112"/>
        <v>0</v>
      </c>
      <c r="T942" s="19">
        <f t="shared" si="116"/>
        <v>125506.04000000001</v>
      </c>
      <c r="U942" s="19">
        <f t="shared" si="117"/>
        <v>119073.68000000001</v>
      </c>
      <c r="V942" s="21">
        <f t="shared" si="118"/>
        <v>-6432.3600000000006</v>
      </c>
      <c r="W942" s="18">
        <f t="shared" si="119"/>
        <v>-5.1251397940688753E-2</v>
      </c>
    </row>
    <row r="943" spans="1:23" x14ac:dyDescent="0.3">
      <c r="A943" t="s">
        <v>1243</v>
      </c>
      <c r="B943" t="s">
        <v>1915</v>
      </c>
      <c r="C943" t="s">
        <v>12</v>
      </c>
      <c r="D943" t="s">
        <v>13</v>
      </c>
      <c r="E943">
        <v>1529</v>
      </c>
      <c r="F943">
        <v>272.20999999999998</v>
      </c>
      <c r="G943">
        <v>233.47</v>
      </c>
      <c r="H943">
        <v>272.20999999999998</v>
      </c>
      <c r="I943">
        <v>2882</v>
      </c>
      <c r="J943">
        <v>45</v>
      </c>
      <c r="K943" s="17">
        <f t="shared" si="113"/>
        <v>4323</v>
      </c>
      <c r="L943" t="str">
        <f t="shared" si="114"/>
        <v>High Risk</v>
      </c>
      <c r="P943" s="19">
        <f t="shared" si="115"/>
        <v>2794</v>
      </c>
      <c r="R943" s="19">
        <f t="shared" si="112"/>
        <v>760554.74</v>
      </c>
      <c r="T943" s="19">
        <f t="shared" si="116"/>
        <v>672860.54</v>
      </c>
      <c r="U943" s="19">
        <f t="shared" si="117"/>
        <v>784509.22</v>
      </c>
      <c r="V943" s="21">
        <f t="shared" si="118"/>
        <v>111648.67999999993</v>
      </c>
      <c r="W943" s="18">
        <f t="shared" si="119"/>
        <v>0.16593138304707233</v>
      </c>
    </row>
    <row r="944" spans="1:23" x14ac:dyDescent="0.3">
      <c r="A944" t="s">
        <v>1148</v>
      </c>
      <c r="B944" t="s">
        <v>2365</v>
      </c>
      <c r="C944" t="s">
        <v>16</v>
      </c>
      <c r="D944" t="s">
        <v>26</v>
      </c>
      <c r="E944">
        <v>1529</v>
      </c>
      <c r="F944">
        <v>533.69000000000005</v>
      </c>
      <c r="G944">
        <v>496.08</v>
      </c>
      <c r="H944">
        <v>533.69000000000005</v>
      </c>
      <c r="I944">
        <v>2921</v>
      </c>
      <c r="J944">
        <v>65</v>
      </c>
      <c r="K944" s="17">
        <f t="shared" si="113"/>
        <v>6328.833333333333</v>
      </c>
      <c r="L944" t="str">
        <f t="shared" si="114"/>
        <v>High Risk</v>
      </c>
      <c r="P944" s="19">
        <f t="shared" si="115"/>
        <v>4800</v>
      </c>
      <c r="R944" s="19">
        <f t="shared" si="112"/>
        <v>2561712.0000000005</v>
      </c>
      <c r="T944" s="19">
        <f t="shared" si="116"/>
        <v>1449049.68</v>
      </c>
      <c r="U944" s="19">
        <f t="shared" si="117"/>
        <v>1558908.4900000002</v>
      </c>
      <c r="V944" s="21">
        <f t="shared" si="118"/>
        <v>109858.81000000029</v>
      </c>
      <c r="W944" s="18">
        <f t="shared" si="119"/>
        <v>7.5814384776649132E-2</v>
      </c>
    </row>
    <row r="945" spans="1:23" x14ac:dyDescent="0.3">
      <c r="A945" t="s">
        <v>145</v>
      </c>
      <c r="B945" t="s">
        <v>330</v>
      </c>
      <c r="C945" t="s">
        <v>16</v>
      </c>
      <c r="D945" t="s">
        <v>17</v>
      </c>
      <c r="E945">
        <v>1529</v>
      </c>
      <c r="F945">
        <v>380.36</v>
      </c>
      <c r="G945">
        <v>413.35</v>
      </c>
      <c r="H945">
        <v>380.36</v>
      </c>
      <c r="I945">
        <v>3450</v>
      </c>
      <c r="J945">
        <v>54</v>
      </c>
      <c r="K945" s="17">
        <f t="shared" si="113"/>
        <v>6210</v>
      </c>
      <c r="L945" t="str">
        <f t="shared" si="114"/>
        <v>High Risk</v>
      </c>
      <c r="P945" s="19">
        <f t="shared" si="115"/>
        <v>4681</v>
      </c>
      <c r="R945" s="19">
        <f t="shared" si="112"/>
        <v>1780465.1600000001</v>
      </c>
      <c r="T945" s="19">
        <f t="shared" si="116"/>
        <v>1426057.5</v>
      </c>
      <c r="U945" s="19">
        <f t="shared" si="117"/>
        <v>1312242</v>
      </c>
      <c r="V945" s="21">
        <f t="shared" si="118"/>
        <v>-113815.5</v>
      </c>
      <c r="W945" s="18">
        <f t="shared" si="119"/>
        <v>-7.9811297931535019E-2</v>
      </c>
    </row>
    <row r="946" spans="1:23" x14ac:dyDescent="0.3">
      <c r="A946" t="s">
        <v>395</v>
      </c>
      <c r="B946" t="s">
        <v>467</v>
      </c>
      <c r="C946" t="s">
        <v>50</v>
      </c>
      <c r="D946" t="s">
        <v>17</v>
      </c>
      <c r="E946">
        <v>1531</v>
      </c>
      <c r="F946">
        <v>420.19</v>
      </c>
      <c r="G946">
        <v>373.08</v>
      </c>
      <c r="H946">
        <v>420.19</v>
      </c>
      <c r="I946">
        <v>2115</v>
      </c>
      <c r="J946">
        <v>28</v>
      </c>
      <c r="K946" s="17">
        <f t="shared" si="113"/>
        <v>1974</v>
      </c>
      <c r="L946" t="str">
        <f t="shared" si="114"/>
        <v>High Risk</v>
      </c>
      <c r="P946" s="19">
        <f t="shared" si="115"/>
        <v>443</v>
      </c>
      <c r="R946" s="19">
        <f t="shared" si="112"/>
        <v>186144.17</v>
      </c>
      <c r="T946" s="19">
        <f t="shared" si="116"/>
        <v>789064.2</v>
      </c>
      <c r="U946" s="19">
        <f t="shared" si="117"/>
        <v>888701.85</v>
      </c>
      <c r="V946" s="21">
        <f t="shared" si="118"/>
        <v>99637.650000000023</v>
      </c>
      <c r="W946" s="18">
        <f t="shared" si="119"/>
        <v>0.12627318537579074</v>
      </c>
    </row>
    <row r="947" spans="1:23" x14ac:dyDescent="0.3">
      <c r="A947" t="s">
        <v>368</v>
      </c>
      <c r="B947" t="s">
        <v>1484</v>
      </c>
      <c r="C947" t="s">
        <v>37</v>
      </c>
      <c r="D947" t="s">
        <v>69</v>
      </c>
      <c r="E947">
        <v>1533</v>
      </c>
      <c r="F947">
        <v>59.07</v>
      </c>
      <c r="G947">
        <v>59.67</v>
      </c>
      <c r="H947">
        <v>59.07</v>
      </c>
      <c r="I947">
        <v>3479</v>
      </c>
      <c r="J947">
        <v>79</v>
      </c>
      <c r="K947" s="17">
        <f t="shared" si="113"/>
        <v>9161.3666666666668</v>
      </c>
      <c r="L947" t="str">
        <f t="shared" si="114"/>
        <v>High Risk</v>
      </c>
      <c r="P947" s="19">
        <f t="shared" si="115"/>
        <v>7629</v>
      </c>
      <c r="R947" s="19">
        <f t="shared" si="112"/>
        <v>450645.03</v>
      </c>
      <c r="T947" s="19">
        <f t="shared" si="116"/>
        <v>207591.93</v>
      </c>
      <c r="U947" s="19">
        <f t="shared" si="117"/>
        <v>205504.53</v>
      </c>
      <c r="V947" s="21">
        <f t="shared" si="118"/>
        <v>-2087.3999999999942</v>
      </c>
      <c r="W947" s="18">
        <f t="shared" si="119"/>
        <v>-1.0055304172951205E-2</v>
      </c>
    </row>
    <row r="948" spans="1:23" x14ac:dyDescent="0.3">
      <c r="A948" t="s">
        <v>686</v>
      </c>
      <c r="B948" t="s">
        <v>2843</v>
      </c>
      <c r="C948" t="s">
        <v>50</v>
      </c>
      <c r="D948" t="s">
        <v>20</v>
      </c>
      <c r="E948">
        <v>1533</v>
      </c>
      <c r="F948">
        <v>325</v>
      </c>
      <c r="G948">
        <v>359.34</v>
      </c>
      <c r="H948">
        <v>325</v>
      </c>
      <c r="I948">
        <v>328</v>
      </c>
      <c r="J948">
        <v>39</v>
      </c>
      <c r="K948" s="17">
        <f t="shared" si="113"/>
        <v>426.40000000000003</v>
      </c>
      <c r="L948" t="str">
        <f t="shared" si="114"/>
        <v>Sufficuent Stock</v>
      </c>
      <c r="P948" s="19">
        <f t="shared" si="115"/>
        <v>0</v>
      </c>
      <c r="R948" s="19">
        <f t="shared" si="112"/>
        <v>0</v>
      </c>
      <c r="T948" s="19">
        <f t="shared" si="116"/>
        <v>117863.51999999999</v>
      </c>
      <c r="U948" s="19">
        <f t="shared" si="117"/>
        <v>106600</v>
      </c>
      <c r="V948" s="21">
        <f t="shared" si="118"/>
        <v>-11263.51999999999</v>
      </c>
      <c r="W948" s="18">
        <f t="shared" si="119"/>
        <v>-9.5564089720042225E-2</v>
      </c>
    </row>
    <row r="949" spans="1:23" x14ac:dyDescent="0.3">
      <c r="A949" t="s">
        <v>1322</v>
      </c>
      <c r="B949" t="s">
        <v>2411</v>
      </c>
      <c r="C949" t="s">
        <v>50</v>
      </c>
      <c r="D949" t="s">
        <v>26</v>
      </c>
      <c r="E949">
        <v>1535</v>
      </c>
      <c r="F949">
        <v>495.98</v>
      </c>
      <c r="G949">
        <v>481.37</v>
      </c>
      <c r="H949">
        <v>495.98</v>
      </c>
      <c r="I949">
        <v>2841</v>
      </c>
      <c r="J949">
        <v>23</v>
      </c>
      <c r="K949" s="17">
        <f t="shared" si="113"/>
        <v>2178.1</v>
      </c>
      <c r="L949" t="str">
        <f t="shared" si="114"/>
        <v>High Risk</v>
      </c>
      <c r="P949" s="19">
        <f t="shared" si="115"/>
        <v>644</v>
      </c>
      <c r="R949" s="19">
        <f t="shared" si="112"/>
        <v>319411.12</v>
      </c>
      <c r="T949" s="19">
        <f t="shared" si="116"/>
        <v>1367572.17</v>
      </c>
      <c r="U949" s="19">
        <f t="shared" si="117"/>
        <v>1409079.1800000002</v>
      </c>
      <c r="V949" s="21">
        <f t="shared" si="118"/>
        <v>41507.010000000242</v>
      </c>
      <c r="W949" s="18">
        <f t="shared" si="119"/>
        <v>3.0350873548414082E-2</v>
      </c>
    </row>
    <row r="950" spans="1:23" x14ac:dyDescent="0.3">
      <c r="A950" t="s">
        <v>354</v>
      </c>
      <c r="B950" t="s">
        <v>1004</v>
      </c>
      <c r="C950" t="s">
        <v>16</v>
      </c>
      <c r="D950" t="s">
        <v>69</v>
      </c>
      <c r="E950">
        <v>1536</v>
      </c>
      <c r="F950">
        <v>164.13</v>
      </c>
      <c r="G950">
        <v>140.63999999999999</v>
      </c>
      <c r="H950">
        <v>164.13</v>
      </c>
      <c r="I950">
        <v>3028</v>
      </c>
      <c r="J950">
        <v>84</v>
      </c>
      <c r="K950" s="17">
        <f t="shared" si="113"/>
        <v>8478.4</v>
      </c>
      <c r="L950" t="str">
        <f t="shared" si="114"/>
        <v>High Risk</v>
      </c>
      <c r="P950" s="19">
        <f t="shared" si="115"/>
        <v>6943</v>
      </c>
      <c r="R950" s="19">
        <f t="shared" si="112"/>
        <v>1139554.5900000001</v>
      </c>
      <c r="T950" s="19">
        <f t="shared" si="116"/>
        <v>425857.92</v>
      </c>
      <c r="U950" s="19">
        <f t="shared" si="117"/>
        <v>496985.64</v>
      </c>
      <c r="V950" s="21">
        <f t="shared" si="118"/>
        <v>71127.72000000003</v>
      </c>
      <c r="W950" s="18">
        <f t="shared" si="119"/>
        <v>0.16702218430034138</v>
      </c>
    </row>
    <row r="951" spans="1:23" x14ac:dyDescent="0.3">
      <c r="A951" t="s">
        <v>673</v>
      </c>
      <c r="B951" t="s">
        <v>2514</v>
      </c>
      <c r="C951" t="s">
        <v>50</v>
      </c>
      <c r="D951" t="s">
        <v>26</v>
      </c>
      <c r="E951">
        <v>1537</v>
      </c>
      <c r="F951">
        <v>58.36</v>
      </c>
      <c r="G951">
        <v>57.79</v>
      </c>
      <c r="H951">
        <v>58.36</v>
      </c>
      <c r="I951">
        <v>2293</v>
      </c>
      <c r="J951">
        <v>86</v>
      </c>
      <c r="K951" s="17">
        <f t="shared" si="113"/>
        <v>6573.2666666666673</v>
      </c>
      <c r="L951" t="str">
        <f t="shared" si="114"/>
        <v>High Risk</v>
      </c>
      <c r="P951" s="19">
        <f t="shared" si="115"/>
        <v>5037</v>
      </c>
      <c r="R951" s="19">
        <f t="shared" si="112"/>
        <v>293959.32</v>
      </c>
      <c r="T951" s="19">
        <f t="shared" si="116"/>
        <v>132512.47</v>
      </c>
      <c r="U951" s="19">
        <f t="shared" si="117"/>
        <v>133819.48000000001</v>
      </c>
      <c r="V951" s="21">
        <f t="shared" si="118"/>
        <v>1307.0100000000093</v>
      </c>
      <c r="W951" s="18">
        <f t="shared" si="119"/>
        <v>9.863298148468664E-3</v>
      </c>
    </row>
    <row r="952" spans="1:23" x14ac:dyDescent="0.3">
      <c r="A952" t="s">
        <v>395</v>
      </c>
      <c r="B952" t="s">
        <v>1228</v>
      </c>
      <c r="C952" t="s">
        <v>16</v>
      </c>
      <c r="D952" t="s">
        <v>13</v>
      </c>
      <c r="E952">
        <v>1540</v>
      </c>
      <c r="F952">
        <v>262.27999999999997</v>
      </c>
      <c r="G952">
        <v>273.35000000000002</v>
      </c>
      <c r="H952">
        <v>262.27999999999997</v>
      </c>
      <c r="I952">
        <v>1019</v>
      </c>
      <c r="J952">
        <v>18</v>
      </c>
      <c r="K952" s="17">
        <f t="shared" si="113"/>
        <v>611.40000000000009</v>
      </c>
      <c r="L952" t="str">
        <f t="shared" si="114"/>
        <v>Sufficuent Stock</v>
      </c>
      <c r="P952" s="19">
        <f t="shared" si="115"/>
        <v>0</v>
      </c>
      <c r="R952" s="19">
        <f t="shared" si="112"/>
        <v>0</v>
      </c>
      <c r="T952" s="19">
        <f t="shared" si="116"/>
        <v>278543.65000000002</v>
      </c>
      <c r="U952" s="19">
        <f t="shared" si="117"/>
        <v>267263.31999999995</v>
      </c>
      <c r="V952" s="21">
        <f t="shared" si="118"/>
        <v>-11280.330000000075</v>
      </c>
      <c r="W952" s="18">
        <f t="shared" si="119"/>
        <v>-4.0497530638375974E-2</v>
      </c>
    </row>
    <row r="953" spans="1:23" x14ac:dyDescent="0.3">
      <c r="A953" t="s">
        <v>48</v>
      </c>
      <c r="B953" t="s">
        <v>140</v>
      </c>
      <c r="C953" t="s">
        <v>23</v>
      </c>
      <c r="D953" t="s">
        <v>17</v>
      </c>
      <c r="E953">
        <v>1540</v>
      </c>
      <c r="F953">
        <v>454.99</v>
      </c>
      <c r="G953">
        <v>459.01</v>
      </c>
      <c r="H953">
        <v>454.99</v>
      </c>
      <c r="I953">
        <v>3755</v>
      </c>
      <c r="J953">
        <v>56</v>
      </c>
      <c r="K953" s="17">
        <f t="shared" si="113"/>
        <v>7009.3333333333339</v>
      </c>
      <c r="L953" t="str">
        <f t="shared" si="114"/>
        <v>High Risk</v>
      </c>
      <c r="P953" s="19">
        <f t="shared" si="115"/>
        <v>5470</v>
      </c>
      <c r="R953" s="19">
        <f t="shared" si="112"/>
        <v>2488795.3000000003</v>
      </c>
      <c r="T953" s="19">
        <f t="shared" si="116"/>
        <v>1723582.55</v>
      </c>
      <c r="U953" s="19">
        <f t="shared" si="117"/>
        <v>1708487.45</v>
      </c>
      <c r="V953" s="21">
        <f t="shared" si="118"/>
        <v>-15095.100000000093</v>
      </c>
      <c r="W953" s="18">
        <f t="shared" si="119"/>
        <v>-8.7579791289950654E-3</v>
      </c>
    </row>
    <row r="954" spans="1:23" x14ac:dyDescent="0.3">
      <c r="A954" t="s">
        <v>1839</v>
      </c>
      <c r="B954" t="s">
        <v>2208</v>
      </c>
      <c r="C954" t="s">
        <v>12</v>
      </c>
      <c r="D954" t="s">
        <v>26</v>
      </c>
      <c r="E954">
        <v>1542</v>
      </c>
      <c r="F954">
        <v>436.27</v>
      </c>
      <c r="G954">
        <v>461.72</v>
      </c>
      <c r="H954">
        <v>436.27</v>
      </c>
      <c r="I954">
        <v>1650</v>
      </c>
      <c r="J954">
        <v>29</v>
      </c>
      <c r="K954" s="17">
        <f t="shared" si="113"/>
        <v>1595</v>
      </c>
      <c r="L954" t="str">
        <f t="shared" si="114"/>
        <v>High Risk</v>
      </c>
      <c r="P954" s="19">
        <f t="shared" si="115"/>
        <v>53</v>
      </c>
      <c r="R954" s="19">
        <f t="shared" si="112"/>
        <v>23122.309999999998</v>
      </c>
      <c r="T954" s="19">
        <f t="shared" si="116"/>
        <v>761838</v>
      </c>
      <c r="U954" s="19">
        <f t="shared" si="117"/>
        <v>719845.5</v>
      </c>
      <c r="V954" s="21">
        <f t="shared" si="118"/>
        <v>-41992.5</v>
      </c>
      <c r="W954" s="18">
        <f t="shared" si="119"/>
        <v>-5.511998613878541E-2</v>
      </c>
    </row>
    <row r="955" spans="1:23" x14ac:dyDescent="0.3">
      <c r="A955" t="s">
        <v>323</v>
      </c>
      <c r="B955" t="s">
        <v>1263</v>
      </c>
      <c r="C955" t="s">
        <v>37</v>
      </c>
      <c r="D955" t="s">
        <v>69</v>
      </c>
      <c r="E955">
        <v>1543</v>
      </c>
      <c r="F955">
        <v>80.66</v>
      </c>
      <c r="G955">
        <v>68.83</v>
      </c>
      <c r="H955">
        <v>80.66</v>
      </c>
      <c r="I955">
        <v>830</v>
      </c>
      <c r="J955">
        <v>16</v>
      </c>
      <c r="K955" s="17">
        <f t="shared" si="113"/>
        <v>442.66666666666669</v>
      </c>
      <c r="L955" t="str">
        <f t="shared" si="114"/>
        <v>Sufficuent Stock</v>
      </c>
      <c r="P955" s="19">
        <f t="shared" si="115"/>
        <v>0</v>
      </c>
      <c r="R955" s="19">
        <f t="shared" si="112"/>
        <v>0</v>
      </c>
      <c r="T955" s="19">
        <f t="shared" si="116"/>
        <v>57128.9</v>
      </c>
      <c r="U955" s="19">
        <f t="shared" si="117"/>
        <v>66947.8</v>
      </c>
      <c r="V955" s="21">
        <f t="shared" si="118"/>
        <v>9818.9000000000015</v>
      </c>
      <c r="W955" s="18">
        <f t="shared" si="119"/>
        <v>0.1718727299142816</v>
      </c>
    </row>
    <row r="956" spans="1:23" x14ac:dyDescent="0.3">
      <c r="A956" t="s">
        <v>1333</v>
      </c>
      <c r="B956" t="s">
        <v>2230</v>
      </c>
      <c r="C956" t="s">
        <v>12</v>
      </c>
      <c r="D956" t="s">
        <v>20</v>
      </c>
      <c r="E956">
        <v>1545</v>
      </c>
      <c r="F956">
        <v>504.98</v>
      </c>
      <c r="G956">
        <v>434.06</v>
      </c>
      <c r="H956">
        <v>504.98</v>
      </c>
      <c r="I956">
        <v>2936</v>
      </c>
      <c r="J956">
        <v>62</v>
      </c>
      <c r="K956" s="17">
        <f t="shared" si="113"/>
        <v>6067.7333333333327</v>
      </c>
      <c r="L956" t="str">
        <f t="shared" si="114"/>
        <v>High Risk</v>
      </c>
      <c r="P956" s="19">
        <f t="shared" si="115"/>
        <v>4523</v>
      </c>
      <c r="R956" s="19">
        <f t="shared" si="112"/>
        <v>2284024.54</v>
      </c>
      <c r="T956" s="19">
        <f t="shared" si="116"/>
        <v>1274400.1599999999</v>
      </c>
      <c r="U956" s="19">
        <f t="shared" si="117"/>
        <v>1482621.28</v>
      </c>
      <c r="V956" s="21">
        <f t="shared" si="118"/>
        <v>208221.12000000011</v>
      </c>
      <c r="W956" s="18">
        <f t="shared" si="119"/>
        <v>0.16338755010828007</v>
      </c>
    </row>
    <row r="957" spans="1:23" x14ac:dyDescent="0.3">
      <c r="A957" t="s">
        <v>523</v>
      </c>
      <c r="B957" t="s">
        <v>3350</v>
      </c>
      <c r="C957" t="s">
        <v>23</v>
      </c>
      <c r="D957" t="s">
        <v>20</v>
      </c>
      <c r="E957">
        <v>1547</v>
      </c>
      <c r="F957">
        <v>522.27</v>
      </c>
      <c r="G957">
        <v>465.72</v>
      </c>
      <c r="H957">
        <v>522.27</v>
      </c>
      <c r="I957">
        <v>1028</v>
      </c>
      <c r="J957">
        <v>42</v>
      </c>
      <c r="K957" s="17">
        <f t="shared" si="113"/>
        <v>1439.2</v>
      </c>
      <c r="L957" t="str">
        <f t="shared" si="114"/>
        <v>Sufficuent Stock</v>
      </c>
      <c r="P957" s="19">
        <f t="shared" si="115"/>
        <v>0</v>
      </c>
      <c r="R957" s="19">
        <f t="shared" si="112"/>
        <v>0</v>
      </c>
      <c r="T957" s="19">
        <f t="shared" si="116"/>
        <v>478760.16000000003</v>
      </c>
      <c r="U957" s="19">
        <f t="shared" si="117"/>
        <v>536893.55999999994</v>
      </c>
      <c r="V957" s="21">
        <f t="shared" si="118"/>
        <v>58133.399999999907</v>
      </c>
      <c r="W957" s="18">
        <f t="shared" si="119"/>
        <v>0.121424890492141</v>
      </c>
    </row>
    <row r="958" spans="1:23" x14ac:dyDescent="0.3">
      <c r="A958" t="s">
        <v>180</v>
      </c>
      <c r="B958" t="s">
        <v>181</v>
      </c>
      <c r="C958" t="s">
        <v>37</v>
      </c>
      <c r="D958" t="s">
        <v>69</v>
      </c>
      <c r="E958">
        <v>1551</v>
      </c>
      <c r="F958">
        <v>498.9</v>
      </c>
      <c r="G958">
        <v>449.2</v>
      </c>
      <c r="H958">
        <v>498.9</v>
      </c>
      <c r="I958">
        <v>3831</v>
      </c>
      <c r="J958">
        <v>5</v>
      </c>
      <c r="K958" s="17">
        <f t="shared" si="113"/>
        <v>638.5</v>
      </c>
      <c r="L958" t="str">
        <f t="shared" si="114"/>
        <v>Sufficuent Stock</v>
      </c>
      <c r="P958" s="19">
        <f t="shared" si="115"/>
        <v>0</v>
      </c>
      <c r="R958" s="19">
        <f t="shared" si="112"/>
        <v>0</v>
      </c>
      <c r="T958" s="19">
        <f t="shared" si="116"/>
        <v>1720885.2</v>
      </c>
      <c r="U958" s="19">
        <f t="shared" si="117"/>
        <v>1911285.9</v>
      </c>
      <c r="V958" s="21">
        <f t="shared" si="118"/>
        <v>190400.69999999995</v>
      </c>
      <c r="W958" s="18">
        <f t="shared" si="119"/>
        <v>0.11064113980409615</v>
      </c>
    </row>
    <row r="959" spans="1:23" x14ac:dyDescent="0.3">
      <c r="A959" t="s">
        <v>349</v>
      </c>
      <c r="B959" t="s">
        <v>3002</v>
      </c>
      <c r="C959" t="s">
        <v>16</v>
      </c>
      <c r="D959" t="s">
        <v>13</v>
      </c>
      <c r="E959">
        <v>1551</v>
      </c>
      <c r="F959">
        <v>443.51</v>
      </c>
      <c r="G959">
        <v>472.31</v>
      </c>
      <c r="H959">
        <v>443.51</v>
      </c>
      <c r="I959">
        <v>364</v>
      </c>
      <c r="J959">
        <v>17</v>
      </c>
      <c r="K959" s="17">
        <f t="shared" si="113"/>
        <v>206.26666666666665</v>
      </c>
      <c r="L959" t="str">
        <f t="shared" si="114"/>
        <v>Sufficuent Stock</v>
      </c>
      <c r="P959" s="19">
        <f t="shared" si="115"/>
        <v>0</v>
      </c>
      <c r="R959" s="19">
        <f t="shared" si="112"/>
        <v>0</v>
      </c>
      <c r="T959" s="19">
        <f t="shared" si="116"/>
        <v>171920.84</v>
      </c>
      <c r="U959" s="19">
        <f t="shared" si="117"/>
        <v>161437.63999999998</v>
      </c>
      <c r="V959" s="21">
        <f t="shared" si="118"/>
        <v>-10483.200000000012</v>
      </c>
      <c r="W959" s="18">
        <f t="shared" si="119"/>
        <v>-6.097690076432858E-2</v>
      </c>
    </row>
    <row r="960" spans="1:23" x14ac:dyDescent="0.3">
      <c r="A960" t="s">
        <v>72</v>
      </c>
      <c r="B960" t="s">
        <v>2083</v>
      </c>
      <c r="C960" t="s">
        <v>12</v>
      </c>
      <c r="D960" t="s">
        <v>17</v>
      </c>
      <c r="E960">
        <v>1553</v>
      </c>
      <c r="F960">
        <v>325.08</v>
      </c>
      <c r="G960">
        <v>325.8</v>
      </c>
      <c r="H960">
        <v>325.08</v>
      </c>
      <c r="I960">
        <v>2248</v>
      </c>
      <c r="J960">
        <v>74</v>
      </c>
      <c r="K960" s="17">
        <f t="shared" si="113"/>
        <v>5545.0666666666666</v>
      </c>
      <c r="L960" t="str">
        <f t="shared" si="114"/>
        <v>High Risk</v>
      </c>
      <c r="P960" s="19">
        <f t="shared" si="115"/>
        <v>3993</v>
      </c>
      <c r="R960" s="19">
        <f t="shared" si="112"/>
        <v>1298044.44</v>
      </c>
      <c r="T960" s="19">
        <f t="shared" si="116"/>
        <v>732398.4</v>
      </c>
      <c r="U960" s="19">
        <f t="shared" si="117"/>
        <v>730779.84</v>
      </c>
      <c r="V960" s="21">
        <f t="shared" si="118"/>
        <v>-1618.5600000000559</v>
      </c>
      <c r="W960" s="18">
        <f t="shared" si="119"/>
        <v>-2.2099447513812915E-3</v>
      </c>
    </row>
    <row r="961" spans="1:23" x14ac:dyDescent="0.3">
      <c r="A961" t="s">
        <v>389</v>
      </c>
      <c r="B961" t="s">
        <v>2440</v>
      </c>
      <c r="C961" t="s">
        <v>50</v>
      </c>
      <c r="D961" t="s">
        <v>69</v>
      </c>
      <c r="E961">
        <v>1554</v>
      </c>
      <c r="F961">
        <v>187.39</v>
      </c>
      <c r="G961">
        <v>162.66999999999999</v>
      </c>
      <c r="H961">
        <v>187.39</v>
      </c>
      <c r="I961">
        <v>3633</v>
      </c>
      <c r="J961">
        <v>68</v>
      </c>
      <c r="K961" s="17">
        <f t="shared" si="113"/>
        <v>8234.7999999999993</v>
      </c>
      <c r="L961" t="str">
        <f t="shared" si="114"/>
        <v>High Risk</v>
      </c>
      <c r="P961" s="19">
        <f t="shared" si="115"/>
        <v>6681</v>
      </c>
      <c r="R961" s="19">
        <f t="shared" si="112"/>
        <v>1251952.5899999999</v>
      </c>
      <c r="T961" s="19">
        <f t="shared" si="116"/>
        <v>590980.11</v>
      </c>
      <c r="U961" s="19">
        <f t="shared" si="117"/>
        <v>680787.87</v>
      </c>
      <c r="V961" s="21">
        <f t="shared" si="118"/>
        <v>89807.760000000009</v>
      </c>
      <c r="W961" s="18">
        <f t="shared" si="119"/>
        <v>0.15196409909633002</v>
      </c>
    </row>
    <row r="962" spans="1:23" x14ac:dyDescent="0.3">
      <c r="A962" t="s">
        <v>184</v>
      </c>
      <c r="B962" t="s">
        <v>874</v>
      </c>
      <c r="C962" t="s">
        <v>50</v>
      </c>
      <c r="D962" t="s">
        <v>13</v>
      </c>
      <c r="E962">
        <v>1555</v>
      </c>
      <c r="F962">
        <v>21.93</v>
      </c>
      <c r="G962">
        <v>24.26</v>
      </c>
      <c r="H962">
        <v>21.93</v>
      </c>
      <c r="I962">
        <v>2462</v>
      </c>
      <c r="J962">
        <v>65</v>
      </c>
      <c r="K962" s="17">
        <f t="shared" si="113"/>
        <v>5334.333333333333</v>
      </c>
      <c r="L962" t="str">
        <f t="shared" si="114"/>
        <v>High Risk</v>
      </c>
      <c r="P962" s="19">
        <f t="shared" si="115"/>
        <v>3780</v>
      </c>
      <c r="R962" s="19">
        <f t="shared" ref="R962:R1025" si="120">P962*H962</f>
        <v>82895.399999999994</v>
      </c>
      <c r="T962" s="19">
        <f t="shared" si="116"/>
        <v>59728.12</v>
      </c>
      <c r="U962" s="19">
        <f t="shared" si="117"/>
        <v>53991.659999999996</v>
      </c>
      <c r="V962" s="21">
        <f t="shared" si="118"/>
        <v>-5736.4600000000064</v>
      </c>
      <c r="W962" s="18">
        <f t="shared" si="119"/>
        <v>-9.6042868920033081E-2</v>
      </c>
    </row>
    <row r="963" spans="1:23" x14ac:dyDescent="0.3">
      <c r="A963" t="s">
        <v>188</v>
      </c>
      <c r="B963" t="s">
        <v>3285</v>
      </c>
      <c r="C963" t="s">
        <v>50</v>
      </c>
      <c r="D963" t="s">
        <v>13</v>
      </c>
      <c r="E963">
        <v>1557</v>
      </c>
      <c r="F963">
        <v>416.16</v>
      </c>
      <c r="G963">
        <v>383.26</v>
      </c>
      <c r="H963">
        <v>416.16</v>
      </c>
      <c r="I963">
        <v>220</v>
      </c>
      <c r="J963">
        <v>31</v>
      </c>
      <c r="K963" s="17">
        <f t="shared" ref="K963:K1026" si="121">(I963/30)*J963</f>
        <v>227.33333333333331</v>
      </c>
      <c r="L963" t="str">
        <f t="shared" ref="L963:L1026" si="122">IF(E963&lt;K963,"High Risk","Sufficuent Stock")</f>
        <v>Sufficuent Stock</v>
      </c>
      <c r="P963" s="19">
        <f t="shared" ref="P963:P1026" si="123">ROUNDUP(MAX(0,K963-E963),0)</f>
        <v>0</v>
      </c>
      <c r="R963" s="19">
        <f t="shared" si="120"/>
        <v>0</v>
      </c>
      <c r="T963" s="19">
        <f t="shared" ref="T963:T1026" si="124">I963*G963</f>
        <v>84317.2</v>
      </c>
      <c r="U963" s="19">
        <f t="shared" ref="U963:U1026" si="125">I963*H963</f>
        <v>91555.200000000012</v>
      </c>
      <c r="V963" s="21">
        <f t="shared" ref="V963:V1026" si="126">U963-T963</f>
        <v>7238.0000000000146</v>
      </c>
      <c r="W963" s="18">
        <f t="shared" ref="W963:W1026" si="127">IFERROR(V963/T963,0)</f>
        <v>8.5842509001722245E-2</v>
      </c>
    </row>
    <row r="964" spans="1:23" x14ac:dyDescent="0.3">
      <c r="A964" t="s">
        <v>233</v>
      </c>
      <c r="B964" t="s">
        <v>2055</v>
      </c>
      <c r="C964" t="s">
        <v>16</v>
      </c>
      <c r="D964" t="s">
        <v>20</v>
      </c>
      <c r="E964">
        <v>1558</v>
      </c>
      <c r="F964">
        <v>348.27</v>
      </c>
      <c r="G964">
        <v>298.87</v>
      </c>
      <c r="H964">
        <v>348.27</v>
      </c>
      <c r="I964">
        <v>2523</v>
      </c>
      <c r="J964">
        <v>61</v>
      </c>
      <c r="K964" s="17">
        <f t="shared" si="121"/>
        <v>5130.0999999999995</v>
      </c>
      <c r="L964" t="str">
        <f t="shared" si="122"/>
        <v>High Risk</v>
      </c>
      <c r="P964" s="19">
        <f t="shared" si="123"/>
        <v>3573</v>
      </c>
      <c r="R964" s="19">
        <f t="shared" si="120"/>
        <v>1244368.71</v>
      </c>
      <c r="T964" s="19">
        <f t="shared" si="124"/>
        <v>754049.01</v>
      </c>
      <c r="U964" s="19">
        <f t="shared" si="125"/>
        <v>878685.21</v>
      </c>
      <c r="V964" s="21">
        <f t="shared" si="126"/>
        <v>124636.19999999995</v>
      </c>
      <c r="W964" s="18">
        <f t="shared" si="127"/>
        <v>0.16528925619834706</v>
      </c>
    </row>
    <row r="965" spans="1:23" x14ac:dyDescent="0.3">
      <c r="A965" t="s">
        <v>533</v>
      </c>
      <c r="B965" t="s">
        <v>665</v>
      </c>
      <c r="C965" t="s">
        <v>23</v>
      </c>
      <c r="D965" t="s">
        <v>17</v>
      </c>
      <c r="E965">
        <v>1559</v>
      </c>
      <c r="F965">
        <v>306.07</v>
      </c>
      <c r="G965">
        <v>304.39999999999998</v>
      </c>
      <c r="H965">
        <v>306.07</v>
      </c>
      <c r="I965">
        <v>1025</v>
      </c>
      <c r="J965">
        <v>37</v>
      </c>
      <c r="K965" s="17">
        <f t="shared" si="121"/>
        <v>1264.1666666666665</v>
      </c>
      <c r="L965" t="str">
        <f t="shared" si="122"/>
        <v>Sufficuent Stock</v>
      </c>
      <c r="P965" s="19">
        <f t="shared" si="123"/>
        <v>0</v>
      </c>
      <c r="R965" s="19">
        <f t="shared" si="120"/>
        <v>0</v>
      </c>
      <c r="T965" s="19">
        <f t="shared" si="124"/>
        <v>312010</v>
      </c>
      <c r="U965" s="19">
        <f t="shared" si="125"/>
        <v>313721.75</v>
      </c>
      <c r="V965" s="21">
        <f t="shared" si="126"/>
        <v>1711.75</v>
      </c>
      <c r="W965" s="18">
        <f t="shared" si="127"/>
        <v>5.486202365308804E-3</v>
      </c>
    </row>
    <row r="966" spans="1:23" x14ac:dyDescent="0.3">
      <c r="A966" t="s">
        <v>308</v>
      </c>
      <c r="B966" t="s">
        <v>770</v>
      </c>
      <c r="C966" t="s">
        <v>50</v>
      </c>
      <c r="D966" t="s">
        <v>17</v>
      </c>
      <c r="E966">
        <v>1565</v>
      </c>
      <c r="F966">
        <v>343.82</v>
      </c>
      <c r="G966">
        <v>370.48</v>
      </c>
      <c r="H966">
        <v>343.82</v>
      </c>
      <c r="I966">
        <v>752</v>
      </c>
      <c r="J966">
        <v>65</v>
      </c>
      <c r="K966" s="17">
        <f t="shared" si="121"/>
        <v>1629.3333333333333</v>
      </c>
      <c r="L966" t="str">
        <f t="shared" si="122"/>
        <v>High Risk</v>
      </c>
      <c r="P966" s="19">
        <f t="shared" si="123"/>
        <v>65</v>
      </c>
      <c r="R966" s="19">
        <f t="shared" si="120"/>
        <v>22348.3</v>
      </c>
      <c r="T966" s="19">
        <f t="shared" si="124"/>
        <v>278600.96000000002</v>
      </c>
      <c r="U966" s="19">
        <f t="shared" si="125"/>
        <v>258552.63999999998</v>
      </c>
      <c r="V966" s="21">
        <f t="shared" si="126"/>
        <v>-20048.320000000036</v>
      </c>
      <c r="W966" s="18">
        <f t="shared" si="127"/>
        <v>-7.1960699632908784E-2</v>
      </c>
    </row>
    <row r="967" spans="1:23" x14ac:dyDescent="0.3">
      <c r="A967" t="s">
        <v>1839</v>
      </c>
      <c r="B967" t="s">
        <v>1840</v>
      </c>
      <c r="C967" t="s">
        <v>23</v>
      </c>
      <c r="D967" t="s">
        <v>69</v>
      </c>
      <c r="E967">
        <v>1566</v>
      </c>
      <c r="F967">
        <v>290.36</v>
      </c>
      <c r="G967">
        <v>309.54000000000002</v>
      </c>
      <c r="H967">
        <v>290.36</v>
      </c>
      <c r="I967">
        <v>746</v>
      </c>
      <c r="J967">
        <v>10</v>
      </c>
      <c r="K967" s="17">
        <f t="shared" si="121"/>
        <v>248.66666666666669</v>
      </c>
      <c r="L967" t="str">
        <f t="shared" si="122"/>
        <v>Sufficuent Stock</v>
      </c>
      <c r="P967" s="19">
        <f t="shared" si="123"/>
        <v>0</v>
      </c>
      <c r="R967" s="19">
        <f t="shared" si="120"/>
        <v>0</v>
      </c>
      <c r="T967" s="19">
        <f t="shared" si="124"/>
        <v>230916.84000000003</v>
      </c>
      <c r="U967" s="19">
        <f t="shared" si="125"/>
        <v>216608.56</v>
      </c>
      <c r="V967" s="21">
        <f t="shared" si="126"/>
        <v>-14308.280000000028</v>
      </c>
      <c r="W967" s="18">
        <f t="shared" si="127"/>
        <v>-6.1962912709181479E-2</v>
      </c>
    </row>
    <row r="968" spans="1:23" x14ac:dyDescent="0.3">
      <c r="A968" t="s">
        <v>581</v>
      </c>
      <c r="B968" t="s">
        <v>2084</v>
      </c>
      <c r="C968" t="s">
        <v>16</v>
      </c>
      <c r="D968" t="s">
        <v>20</v>
      </c>
      <c r="E968">
        <v>1568</v>
      </c>
      <c r="F968">
        <v>218.27</v>
      </c>
      <c r="G968">
        <v>220.68</v>
      </c>
      <c r="H968">
        <v>218.27</v>
      </c>
      <c r="I968">
        <v>2918</v>
      </c>
      <c r="J968">
        <v>90</v>
      </c>
      <c r="K968" s="17">
        <f t="shared" si="121"/>
        <v>8754</v>
      </c>
      <c r="L968" t="str">
        <f t="shared" si="122"/>
        <v>High Risk</v>
      </c>
      <c r="P968" s="19">
        <f t="shared" si="123"/>
        <v>7186</v>
      </c>
      <c r="R968" s="19">
        <f t="shared" si="120"/>
        <v>1568488.22</v>
      </c>
      <c r="T968" s="19">
        <f t="shared" si="124"/>
        <v>643944.24</v>
      </c>
      <c r="U968" s="19">
        <f t="shared" si="125"/>
        <v>636911.86</v>
      </c>
      <c r="V968" s="21">
        <f t="shared" si="126"/>
        <v>-7032.3800000000047</v>
      </c>
      <c r="W968" s="18">
        <f t="shared" si="127"/>
        <v>-1.0920790284574957E-2</v>
      </c>
    </row>
    <row r="969" spans="1:23" x14ac:dyDescent="0.3">
      <c r="A969" t="s">
        <v>395</v>
      </c>
      <c r="B969" t="s">
        <v>3274</v>
      </c>
      <c r="C969" t="s">
        <v>50</v>
      </c>
      <c r="D969" t="s">
        <v>20</v>
      </c>
      <c r="E969">
        <v>1569</v>
      </c>
      <c r="F969">
        <v>447.94</v>
      </c>
      <c r="G969">
        <v>420.23</v>
      </c>
      <c r="H969">
        <v>447.94</v>
      </c>
      <c r="I969">
        <v>3543</v>
      </c>
      <c r="J969">
        <v>68</v>
      </c>
      <c r="K969" s="17">
        <f t="shared" si="121"/>
        <v>8030.7999999999993</v>
      </c>
      <c r="L969" t="str">
        <f t="shared" si="122"/>
        <v>High Risk</v>
      </c>
      <c r="P969" s="19">
        <f t="shared" si="123"/>
        <v>6462</v>
      </c>
      <c r="R969" s="19">
        <f t="shared" si="120"/>
        <v>2894588.28</v>
      </c>
      <c r="T969" s="19">
        <f t="shared" si="124"/>
        <v>1488874.8900000001</v>
      </c>
      <c r="U969" s="19">
        <f t="shared" si="125"/>
        <v>1587051.42</v>
      </c>
      <c r="V969" s="21">
        <f t="shared" si="126"/>
        <v>98176.529999999795</v>
      </c>
      <c r="W969" s="18">
        <f t="shared" si="127"/>
        <v>6.5940080432144152E-2</v>
      </c>
    </row>
    <row r="970" spans="1:23" x14ac:dyDescent="0.3">
      <c r="A970" t="s">
        <v>751</v>
      </c>
      <c r="B970" t="s">
        <v>1101</v>
      </c>
      <c r="C970" t="s">
        <v>12</v>
      </c>
      <c r="D970" t="s">
        <v>13</v>
      </c>
      <c r="E970">
        <v>1572</v>
      </c>
      <c r="F970">
        <v>348.49</v>
      </c>
      <c r="G970">
        <v>355.19</v>
      </c>
      <c r="H970">
        <v>348.49</v>
      </c>
      <c r="I970">
        <v>757</v>
      </c>
      <c r="J970">
        <v>61</v>
      </c>
      <c r="K970" s="17">
        <f t="shared" si="121"/>
        <v>1539.2333333333333</v>
      </c>
      <c r="L970" t="str">
        <f t="shared" si="122"/>
        <v>Sufficuent Stock</v>
      </c>
      <c r="P970" s="19">
        <f t="shared" si="123"/>
        <v>0</v>
      </c>
      <c r="R970" s="19">
        <f t="shared" si="120"/>
        <v>0</v>
      </c>
      <c r="T970" s="19">
        <f t="shared" si="124"/>
        <v>268878.83</v>
      </c>
      <c r="U970" s="19">
        <f t="shared" si="125"/>
        <v>263806.93</v>
      </c>
      <c r="V970" s="21">
        <f t="shared" si="126"/>
        <v>-5071.9000000000233</v>
      </c>
      <c r="W970" s="18">
        <f t="shared" si="127"/>
        <v>-1.8863143669585379E-2</v>
      </c>
    </row>
    <row r="971" spans="1:23" x14ac:dyDescent="0.3">
      <c r="A971" t="s">
        <v>511</v>
      </c>
      <c r="B971" t="s">
        <v>1550</v>
      </c>
      <c r="C971" t="s">
        <v>50</v>
      </c>
      <c r="D971" t="s">
        <v>26</v>
      </c>
      <c r="E971">
        <v>1572</v>
      </c>
      <c r="F971">
        <v>506.67</v>
      </c>
      <c r="G971">
        <v>423.14</v>
      </c>
      <c r="H971">
        <v>506.67</v>
      </c>
      <c r="I971">
        <v>3535</v>
      </c>
      <c r="J971">
        <v>39</v>
      </c>
      <c r="K971" s="17">
        <f t="shared" si="121"/>
        <v>4595.5</v>
      </c>
      <c r="L971" t="str">
        <f t="shared" si="122"/>
        <v>High Risk</v>
      </c>
      <c r="P971" s="19">
        <f t="shared" si="123"/>
        <v>3024</v>
      </c>
      <c r="R971" s="19">
        <f t="shared" si="120"/>
        <v>1532170.08</v>
      </c>
      <c r="T971" s="19">
        <f t="shared" si="124"/>
        <v>1495799.9</v>
      </c>
      <c r="U971" s="19">
        <f t="shared" si="125"/>
        <v>1791078.45</v>
      </c>
      <c r="V971" s="21">
        <f t="shared" si="126"/>
        <v>295278.55000000005</v>
      </c>
      <c r="W971" s="18">
        <f t="shared" si="127"/>
        <v>0.19740511414661818</v>
      </c>
    </row>
    <row r="972" spans="1:23" x14ac:dyDescent="0.3">
      <c r="A972" t="s">
        <v>147</v>
      </c>
      <c r="B972" t="s">
        <v>148</v>
      </c>
      <c r="C972" t="s">
        <v>37</v>
      </c>
      <c r="D972" t="s">
        <v>26</v>
      </c>
      <c r="E972">
        <v>1572</v>
      </c>
      <c r="F972">
        <v>595.91</v>
      </c>
      <c r="G972">
        <v>499.37</v>
      </c>
      <c r="H972">
        <v>595.91</v>
      </c>
      <c r="I972">
        <v>3429</v>
      </c>
      <c r="J972">
        <v>73</v>
      </c>
      <c r="K972" s="17">
        <f t="shared" si="121"/>
        <v>8343.9</v>
      </c>
      <c r="L972" t="str">
        <f t="shared" si="122"/>
        <v>High Risk</v>
      </c>
      <c r="P972" s="19">
        <f t="shared" si="123"/>
        <v>6772</v>
      </c>
      <c r="R972" s="19">
        <f t="shared" si="120"/>
        <v>4035502.5199999996</v>
      </c>
      <c r="T972" s="19">
        <f t="shared" si="124"/>
        <v>1712339.73</v>
      </c>
      <c r="U972" s="19">
        <f t="shared" si="125"/>
        <v>2043375.39</v>
      </c>
      <c r="V972" s="21">
        <f t="shared" si="126"/>
        <v>331035.65999999992</v>
      </c>
      <c r="W972" s="18">
        <f t="shared" si="127"/>
        <v>0.19332358772052782</v>
      </c>
    </row>
    <row r="973" spans="1:23" x14ac:dyDescent="0.3">
      <c r="A973" t="s">
        <v>331</v>
      </c>
      <c r="B973" t="s">
        <v>1895</v>
      </c>
      <c r="C973" t="s">
        <v>50</v>
      </c>
      <c r="D973" t="s">
        <v>26</v>
      </c>
      <c r="E973">
        <v>1577</v>
      </c>
      <c r="F973">
        <v>415.9</v>
      </c>
      <c r="G973">
        <v>351.54</v>
      </c>
      <c r="H973">
        <v>415.9</v>
      </c>
      <c r="I973">
        <v>651</v>
      </c>
      <c r="J973">
        <v>62</v>
      </c>
      <c r="K973" s="17">
        <f t="shared" si="121"/>
        <v>1345.3999999999999</v>
      </c>
      <c r="L973" t="str">
        <f t="shared" si="122"/>
        <v>Sufficuent Stock</v>
      </c>
      <c r="P973" s="19">
        <f t="shared" si="123"/>
        <v>0</v>
      </c>
      <c r="R973" s="19">
        <f t="shared" si="120"/>
        <v>0</v>
      </c>
      <c r="T973" s="19">
        <f t="shared" si="124"/>
        <v>228852.54</v>
      </c>
      <c r="U973" s="19">
        <f t="shared" si="125"/>
        <v>270750.89999999997</v>
      </c>
      <c r="V973" s="21">
        <f t="shared" si="126"/>
        <v>41898.359999999957</v>
      </c>
      <c r="W973" s="18">
        <f t="shared" si="127"/>
        <v>0.18308016157478504</v>
      </c>
    </row>
    <row r="974" spans="1:23" x14ac:dyDescent="0.3">
      <c r="A974" t="s">
        <v>600</v>
      </c>
      <c r="B974" t="s">
        <v>3100</v>
      </c>
      <c r="C974" t="s">
        <v>23</v>
      </c>
      <c r="D974" t="s">
        <v>69</v>
      </c>
      <c r="E974">
        <v>1580</v>
      </c>
      <c r="F974">
        <v>86.66</v>
      </c>
      <c r="G974">
        <v>77.45</v>
      </c>
      <c r="H974">
        <v>86.66</v>
      </c>
      <c r="I974">
        <v>2797</v>
      </c>
      <c r="J974">
        <v>57</v>
      </c>
      <c r="K974" s="17">
        <f t="shared" si="121"/>
        <v>5314.3</v>
      </c>
      <c r="L974" t="str">
        <f t="shared" si="122"/>
        <v>High Risk</v>
      </c>
      <c r="P974" s="19">
        <f t="shared" si="123"/>
        <v>3735</v>
      </c>
      <c r="R974" s="19">
        <f t="shared" si="120"/>
        <v>323675.09999999998</v>
      </c>
      <c r="T974" s="19">
        <f t="shared" si="124"/>
        <v>216627.65</v>
      </c>
      <c r="U974" s="19">
        <f t="shared" si="125"/>
        <v>242388.02</v>
      </c>
      <c r="V974" s="21">
        <f t="shared" si="126"/>
        <v>25760.369999999995</v>
      </c>
      <c r="W974" s="18">
        <f t="shared" si="127"/>
        <v>0.11891542930923174</v>
      </c>
    </row>
    <row r="975" spans="1:23" x14ac:dyDescent="0.3">
      <c r="A975" t="s">
        <v>801</v>
      </c>
      <c r="B975" t="s">
        <v>1823</v>
      </c>
      <c r="C975" t="s">
        <v>50</v>
      </c>
      <c r="D975" t="s">
        <v>13</v>
      </c>
      <c r="E975">
        <v>1583</v>
      </c>
      <c r="F975">
        <v>223.06</v>
      </c>
      <c r="G975">
        <v>199.12</v>
      </c>
      <c r="H975">
        <v>223.06</v>
      </c>
      <c r="I975">
        <v>1569</v>
      </c>
      <c r="J975">
        <v>25</v>
      </c>
      <c r="K975" s="17">
        <f t="shared" si="121"/>
        <v>1307.5</v>
      </c>
      <c r="L975" t="str">
        <f t="shared" si="122"/>
        <v>Sufficuent Stock</v>
      </c>
      <c r="P975" s="19">
        <f t="shared" si="123"/>
        <v>0</v>
      </c>
      <c r="R975" s="19">
        <f t="shared" si="120"/>
        <v>0</v>
      </c>
      <c r="T975" s="19">
        <f t="shared" si="124"/>
        <v>312419.28000000003</v>
      </c>
      <c r="U975" s="19">
        <f t="shared" si="125"/>
        <v>349981.14</v>
      </c>
      <c r="V975" s="21">
        <f t="shared" si="126"/>
        <v>37561.859999999986</v>
      </c>
      <c r="W975" s="18">
        <f t="shared" si="127"/>
        <v>0.12022900763358774</v>
      </c>
    </row>
    <row r="976" spans="1:23" x14ac:dyDescent="0.3">
      <c r="A976" t="s">
        <v>523</v>
      </c>
      <c r="B976" t="s">
        <v>730</v>
      </c>
      <c r="C976" t="s">
        <v>37</v>
      </c>
      <c r="D976" t="s">
        <v>26</v>
      </c>
      <c r="E976">
        <v>1584</v>
      </c>
      <c r="F976">
        <v>302.81</v>
      </c>
      <c r="G976">
        <v>301.33</v>
      </c>
      <c r="H976">
        <v>302.81</v>
      </c>
      <c r="I976">
        <v>2990</v>
      </c>
      <c r="J976">
        <v>13</v>
      </c>
      <c r="K976" s="17">
        <f t="shared" si="121"/>
        <v>1295.6666666666667</v>
      </c>
      <c r="L976" t="str">
        <f t="shared" si="122"/>
        <v>Sufficuent Stock</v>
      </c>
      <c r="P976" s="19">
        <f t="shared" si="123"/>
        <v>0</v>
      </c>
      <c r="R976" s="19">
        <f t="shared" si="120"/>
        <v>0</v>
      </c>
      <c r="T976" s="19">
        <f t="shared" si="124"/>
        <v>900976.7</v>
      </c>
      <c r="U976" s="19">
        <f t="shared" si="125"/>
        <v>905401.9</v>
      </c>
      <c r="V976" s="21">
        <f t="shared" si="126"/>
        <v>4425.2000000000698</v>
      </c>
      <c r="W976" s="18">
        <f t="shared" si="127"/>
        <v>4.9115587561810092E-3</v>
      </c>
    </row>
    <row r="977" spans="1:23" x14ac:dyDescent="0.3">
      <c r="A977" t="s">
        <v>323</v>
      </c>
      <c r="B977" t="s">
        <v>492</v>
      </c>
      <c r="C977" t="s">
        <v>37</v>
      </c>
      <c r="D977" t="s">
        <v>17</v>
      </c>
      <c r="E977">
        <v>1586</v>
      </c>
      <c r="F977">
        <v>390.97</v>
      </c>
      <c r="G977">
        <v>424.01</v>
      </c>
      <c r="H977">
        <v>390.97</v>
      </c>
      <c r="I977">
        <v>1361</v>
      </c>
      <c r="J977">
        <v>65</v>
      </c>
      <c r="K977" s="17">
        <f t="shared" si="121"/>
        <v>2948.8333333333335</v>
      </c>
      <c r="L977" t="str">
        <f t="shared" si="122"/>
        <v>High Risk</v>
      </c>
      <c r="P977" s="19">
        <f t="shared" si="123"/>
        <v>1363</v>
      </c>
      <c r="R977" s="19">
        <f t="shared" si="120"/>
        <v>532892.11</v>
      </c>
      <c r="T977" s="19">
        <f t="shared" si="124"/>
        <v>577077.61</v>
      </c>
      <c r="U977" s="19">
        <f t="shared" si="125"/>
        <v>532110.17000000004</v>
      </c>
      <c r="V977" s="21">
        <f t="shared" si="126"/>
        <v>-44967.439999999944</v>
      </c>
      <c r="W977" s="18">
        <f t="shared" si="127"/>
        <v>-7.7922690502582395E-2</v>
      </c>
    </row>
    <row r="978" spans="1:23" x14ac:dyDescent="0.3">
      <c r="A978" t="s">
        <v>308</v>
      </c>
      <c r="B978" t="s">
        <v>3196</v>
      </c>
      <c r="C978" t="s">
        <v>37</v>
      </c>
      <c r="D978" t="s">
        <v>26</v>
      </c>
      <c r="E978">
        <v>1589</v>
      </c>
      <c r="F978">
        <v>284.45</v>
      </c>
      <c r="G978">
        <v>303.01</v>
      </c>
      <c r="H978">
        <v>284.45</v>
      </c>
      <c r="I978">
        <v>537</v>
      </c>
      <c r="J978">
        <v>86</v>
      </c>
      <c r="K978" s="17">
        <f t="shared" si="121"/>
        <v>1539.3999999999999</v>
      </c>
      <c r="L978" t="str">
        <f t="shared" si="122"/>
        <v>Sufficuent Stock</v>
      </c>
      <c r="P978" s="19">
        <f t="shared" si="123"/>
        <v>0</v>
      </c>
      <c r="R978" s="19">
        <f t="shared" si="120"/>
        <v>0</v>
      </c>
      <c r="T978" s="19">
        <f t="shared" si="124"/>
        <v>162716.37</v>
      </c>
      <c r="U978" s="19">
        <f t="shared" si="125"/>
        <v>152749.65</v>
      </c>
      <c r="V978" s="21">
        <f t="shared" si="126"/>
        <v>-9966.7200000000012</v>
      </c>
      <c r="W978" s="18">
        <f t="shared" si="127"/>
        <v>-6.1252103890960703E-2</v>
      </c>
    </row>
    <row r="979" spans="1:23" x14ac:dyDescent="0.3">
      <c r="A979" t="s">
        <v>1240</v>
      </c>
      <c r="B979" t="s">
        <v>1789</v>
      </c>
      <c r="C979" t="s">
        <v>12</v>
      </c>
      <c r="D979" t="s">
        <v>69</v>
      </c>
      <c r="E979">
        <v>1589</v>
      </c>
      <c r="F979">
        <v>182.34</v>
      </c>
      <c r="G979">
        <v>179.67</v>
      </c>
      <c r="H979">
        <v>182.34</v>
      </c>
      <c r="I979">
        <v>103</v>
      </c>
      <c r="J979">
        <v>12</v>
      </c>
      <c r="K979" s="17">
        <f t="shared" si="121"/>
        <v>41.199999999999996</v>
      </c>
      <c r="L979" t="str">
        <f t="shared" si="122"/>
        <v>Sufficuent Stock</v>
      </c>
      <c r="P979" s="19">
        <f t="shared" si="123"/>
        <v>0</v>
      </c>
      <c r="R979" s="19">
        <f t="shared" si="120"/>
        <v>0</v>
      </c>
      <c r="T979" s="19">
        <f t="shared" si="124"/>
        <v>18506.009999999998</v>
      </c>
      <c r="U979" s="19">
        <f t="shared" si="125"/>
        <v>18781.02</v>
      </c>
      <c r="V979" s="21">
        <f t="shared" si="126"/>
        <v>275.01000000000204</v>
      </c>
      <c r="W979" s="18">
        <f t="shared" si="127"/>
        <v>1.4860577725830802E-2</v>
      </c>
    </row>
    <row r="980" spans="1:23" x14ac:dyDescent="0.3">
      <c r="A980" t="s">
        <v>100</v>
      </c>
      <c r="B980" t="s">
        <v>356</v>
      </c>
      <c r="C980" t="s">
        <v>12</v>
      </c>
      <c r="D980" t="s">
        <v>69</v>
      </c>
      <c r="E980">
        <v>1589</v>
      </c>
      <c r="F980">
        <v>97.55</v>
      </c>
      <c r="G980">
        <v>99.78</v>
      </c>
      <c r="H980">
        <v>97.55</v>
      </c>
      <c r="I980">
        <v>3709</v>
      </c>
      <c r="J980">
        <v>81</v>
      </c>
      <c r="K980" s="17">
        <f t="shared" si="121"/>
        <v>10014.300000000001</v>
      </c>
      <c r="L980" t="str">
        <f t="shared" si="122"/>
        <v>High Risk</v>
      </c>
      <c r="P980" s="19">
        <f t="shared" si="123"/>
        <v>8426</v>
      </c>
      <c r="R980" s="19">
        <f t="shared" si="120"/>
        <v>821956.29999999993</v>
      </c>
      <c r="T980" s="19">
        <f t="shared" si="124"/>
        <v>370084.02</v>
      </c>
      <c r="U980" s="19">
        <f t="shared" si="125"/>
        <v>361812.95</v>
      </c>
      <c r="V980" s="21">
        <f t="shared" si="126"/>
        <v>-8271.070000000007</v>
      </c>
      <c r="W980" s="18">
        <f t="shared" si="127"/>
        <v>-2.2349168169973961E-2</v>
      </c>
    </row>
    <row r="981" spans="1:23" x14ac:dyDescent="0.3">
      <c r="A981" t="s">
        <v>306</v>
      </c>
      <c r="B981" t="s">
        <v>1767</v>
      </c>
      <c r="C981" t="s">
        <v>12</v>
      </c>
      <c r="D981" t="s">
        <v>26</v>
      </c>
      <c r="E981">
        <v>1591</v>
      </c>
      <c r="F981">
        <v>52.1</v>
      </c>
      <c r="G981">
        <v>49.9</v>
      </c>
      <c r="H981">
        <v>52.1</v>
      </c>
      <c r="I981">
        <v>3694</v>
      </c>
      <c r="J981">
        <v>63</v>
      </c>
      <c r="K981" s="17">
        <f t="shared" si="121"/>
        <v>7757.4000000000005</v>
      </c>
      <c r="L981" t="str">
        <f t="shared" si="122"/>
        <v>High Risk</v>
      </c>
      <c r="P981" s="19">
        <f t="shared" si="123"/>
        <v>6167</v>
      </c>
      <c r="R981" s="19">
        <f t="shared" si="120"/>
        <v>321300.7</v>
      </c>
      <c r="T981" s="19">
        <f t="shared" si="124"/>
        <v>184330.6</v>
      </c>
      <c r="U981" s="19">
        <f t="shared" si="125"/>
        <v>192457.4</v>
      </c>
      <c r="V981" s="21">
        <f t="shared" si="126"/>
        <v>8126.7999999999884</v>
      </c>
      <c r="W981" s="18">
        <f t="shared" si="127"/>
        <v>4.4088176352705344E-2</v>
      </c>
    </row>
    <row r="982" spans="1:23" x14ac:dyDescent="0.3">
      <c r="A982" t="s">
        <v>117</v>
      </c>
      <c r="B982" t="s">
        <v>2425</v>
      </c>
      <c r="C982" t="s">
        <v>50</v>
      </c>
      <c r="D982" t="s">
        <v>13</v>
      </c>
      <c r="E982">
        <v>1591</v>
      </c>
      <c r="F982">
        <v>13.04</v>
      </c>
      <c r="G982">
        <v>12.82</v>
      </c>
      <c r="H982">
        <v>13.04</v>
      </c>
      <c r="I982">
        <v>1409</v>
      </c>
      <c r="J982">
        <v>76</v>
      </c>
      <c r="K982" s="17">
        <f t="shared" si="121"/>
        <v>3569.4666666666667</v>
      </c>
      <c r="L982" t="str">
        <f t="shared" si="122"/>
        <v>High Risk</v>
      </c>
      <c r="P982" s="19">
        <f t="shared" si="123"/>
        <v>1979</v>
      </c>
      <c r="R982" s="19">
        <f t="shared" si="120"/>
        <v>25806.16</v>
      </c>
      <c r="T982" s="19">
        <f t="shared" si="124"/>
        <v>18063.38</v>
      </c>
      <c r="U982" s="19">
        <f t="shared" si="125"/>
        <v>18373.36</v>
      </c>
      <c r="V982" s="21">
        <f t="shared" si="126"/>
        <v>309.97999999999956</v>
      </c>
      <c r="W982" s="18">
        <f t="shared" si="127"/>
        <v>1.7160686427457075E-2</v>
      </c>
    </row>
    <row r="983" spans="1:23" x14ac:dyDescent="0.3">
      <c r="A983" t="s">
        <v>482</v>
      </c>
      <c r="B983" t="s">
        <v>483</v>
      </c>
      <c r="C983" t="s">
        <v>12</v>
      </c>
      <c r="D983" t="s">
        <v>17</v>
      </c>
      <c r="E983">
        <v>1592</v>
      </c>
      <c r="F983">
        <v>46.21</v>
      </c>
      <c r="G983">
        <v>44.63</v>
      </c>
      <c r="H983">
        <v>46.21</v>
      </c>
      <c r="I983">
        <v>1423</v>
      </c>
      <c r="J983">
        <v>11</v>
      </c>
      <c r="K983" s="17">
        <f t="shared" si="121"/>
        <v>521.76666666666665</v>
      </c>
      <c r="L983" t="str">
        <f t="shared" si="122"/>
        <v>Sufficuent Stock</v>
      </c>
      <c r="P983" s="19">
        <f t="shared" si="123"/>
        <v>0</v>
      </c>
      <c r="R983" s="19">
        <f t="shared" si="120"/>
        <v>0</v>
      </c>
      <c r="T983" s="19">
        <f t="shared" si="124"/>
        <v>63508.490000000005</v>
      </c>
      <c r="U983" s="19">
        <f t="shared" si="125"/>
        <v>65756.83</v>
      </c>
      <c r="V983" s="21">
        <f t="shared" si="126"/>
        <v>2248.3399999999965</v>
      </c>
      <c r="W983" s="18">
        <f t="shared" si="127"/>
        <v>3.5402195832399674E-2</v>
      </c>
    </row>
    <row r="984" spans="1:23" x14ac:dyDescent="0.3">
      <c r="A984" t="s">
        <v>63</v>
      </c>
      <c r="B984" t="s">
        <v>3234</v>
      </c>
      <c r="C984" t="s">
        <v>23</v>
      </c>
      <c r="D984" t="s">
        <v>13</v>
      </c>
      <c r="E984">
        <v>1597</v>
      </c>
      <c r="F984">
        <v>393.87</v>
      </c>
      <c r="G984">
        <v>342.74</v>
      </c>
      <c r="H984">
        <v>393.87</v>
      </c>
      <c r="I984">
        <v>784</v>
      </c>
      <c r="J984">
        <v>23</v>
      </c>
      <c r="K984" s="17">
        <f t="shared" si="121"/>
        <v>601.06666666666661</v>
      </c>
      <c r="L984" t="str">
        <f t="shared" si="122"/>
        <v>Sufficuent Stock</v>
      </c>
      <c r="P984" s="19">
        <f t="shared" si="123"/>
        <v>0</v>
      </c>
      <c r="R984" s="19">
        <f t="shared" si="120"/>
        <v>0</v>
      </c>
      <c r="T984" s="19">
        <f t="shared" si="124"/>
        <v>268708.16000000003</v>
      </c>
      <c r="U984" s="19">
        <f t="shared" si="125"/>
        <v>308794.08</v>
      </c>
      <c r="V984" s="21">
        <f t="shared" si="126"/>
        <v>40085.919999999984</v>
      </c>
      <c r="W984" s="18">
        <f t="shared" si="127"/>
        <v>0.14918013654665335</v>
      </c>
    </row>
    <row r="985" spans="1:23" x14ac:dyDescent="0.3">
      <c r="A985" t="s">
        <v>581</v>
      </c>
      <c r="B985" t="s">
        <v>1275</v>
      </c>
      <c r="C985" t="s">
        <v>37</v>
      </c>
      <c r="D985" t="s">
        <v>69</v>
      </c>
      <c r="E985">
        <v>1599</v>
      </c>
      <c r="F985">
        <v>505.25</v>
      </c>
      <c r="G985">
        <v>443.21</v>
      </c>
      <c r="H985">
        <v>505.25</v>
      </c>
      <c r="I985">
        <v>2802</v>
      </c>
      <c r="J985">
        <v>38</v>
      </c>
      <c r="K985" s="17">
        <f t="shared" si="121"/>
        <v>3549.2000000000003</v>
      </c>
      <c r="L985" t="str">
        <f t="shared" si="122"/>
        <v>High Risk</v>
      </c>
      <c r="P985" s="19">
        <f t="shared" si="123"/>
        <v>1951</v>
      </c>
      <c r="R985" s="19">
        <f t="shared" si="120"/>
        <v>985742.75</v>
      </c>
      <c r="T985" s="19">
        <f t="shared" si="124"/>
        <v>1241874.42</v>
      </c>
      <c r="U985" s="19">
        <f t="shared" si="125"/>
        <v>1415710.5</v>
      </c>
      <c r="V985" s="21">
        <f t="shared" si="126"/>
        <v>173836.08000000007</v>
      </c>
      <c r="W985" s="18">
        <f t="shared" si="127"/>
        <v>0.13997879109225883</v>
      </c>
    </row>
    <row r="986" spans="1:23" x14ac:dyDescent="0.3">
      <c r="A986" t="s">
        <v>592</v>
      </c>
      <c r="B986" t="s">
        <v>2402</v>
      </c>
      <c r="C986" t="s">
        <v>23</v>
      </c>
      <c r="D986" t="s">
        <v>20</v>
      </c>
      <c r="E986">
        <v>1600</v>
      </c>
      <c r="F986">
        <v>505.13</v>
      </c>
      <c r="G986">
        <v>473.1</v>
      </c>
      <c r="H986">
        <v>505.13</v>
      </c>
      <c r="I986">
        <v>3074</v>
      </c>
      <c r="J986">
        <v>16</v>
      </c>
      <c r="K986" s="17">
        <f t="shared" si="121"/>
        <v>1639.4666666666667</v>
      </c>
      <c r="L986" t="str">
        <f t="shared" si="122"/>
        <v>High Risk</v>
      </c>
      <c r="P986" s="19">
        <f t="shared" si="123"/>
        <v>40</v>
      </c>
      <c r="R986" s="19">
        <f t="shared" si="120"/>
        <v>20205.2</v>
      </c>
      <c r="T986" s="19">
        <f t="shared" si="124"/>
        <v>1454309.4000000001</v>
      </c>
      <c r="U986" s="19">
        <f t="shared" si="125"/>
        <v>1552769.6199999999</v>
      </c>
      <c r="V986" s="21">
        <f t="shared" si="126"/>
        <v>98460.219999999739</v>
      </c>
      <c r="W986" s="18">
        <f t="shared" si="127"/>
        <v>6.7702388501373736E-2</v>
      </c>
    </row>
    <row r="987" spans="1:23" x14ac:dyDescent="0.3">
      <c r="A987" t="s">
        <v>111</v>
      </c>
      <c r="B987" t="s">
        <v>112</v>
      </c>
      <c r="C987" t="s">
        <v>16</v>
      </c>
      <c r="D987" t="s">
        <v>26</v>
      </c>
      <c r="E987">
        <v>1603</v>
      </c>
      <c r="F987">
        <v>140.91999999999999</v>
      </c>
      <c r="G987">
        <v>125.87</v>
      </c>
      <c r="H987">
        <v>140.91999999999999</v>
      </c>
      <c r="I987">
        <v>1615</v>
      </c>
      <c r="J987">
        <v>49</v>
      </c>
      <c r="K987" s="17">
        <f t="shared" si="121"/>
        <v>2637.8333333333335</v>
      </c>
      <c r="L987" t="str">
        <f t="shared" si="122"/>
        <v>High Risk</v>
      </c>
      <c r="P987" s="19">
        <f t="shared" si="123"/>
        <v>1035</v>
      </c>
      <c r="R987" s="19">
        <f t="shared" si="120"/>
        <v>145852.19999999998</v>
      </c>
      <c r="T987" s="19">
        <f t="shared" si="124"/>
        <v>203280.05000000002</v>
      </c>
      <c r="U987" s="19">
        <f t="shared" si="125"/>
        <v>227585.8</v>
      </c>
      <c r="V987" s="21">
        <f t="shared" si="126"/>
        <v>24305.749999999971</v>
      </c>
      <c r="W987" s="18">
        <f t="shared" si="127"/>
        <v>0.11956780805593056</v>
      </c>
    </row>
    <row r="988" spans="1:23" x14ac:dyDescent="0.3">
      <c r="A988" t="s">
        <v>168</v>
      </c>
      <c r="B988" t="s">
        <v>575</v>
      </c>
      <c r="C988" t="s">
        <v>50</v>
      </c>
      <c r="D988" t="s">
        <v>26</v>
      </c>
      <c r="E988">
        <v>1603</v>
      </c>
      <c r="F988">
        <v>24.48</v>
      </c>
      <c r="G988">
        <v>25.23</v>
      </c>
      <c r="H988">
        <v>24.48</v>
      </c>
      <c r="I988">
        <v>1594</v>
      </c>
      <c r="J988">
        <v>32</v>
      </c>
      <c r="K988" s="17">
        <f t="shared" si="121"/>
        <v>1700.2666666666667</v>
      </c>
      <c r="L988" t="str">
        <f t="shared" si="122"/>
        <v>High Risk</v>
      </c>
      <c r="P988" s="19">
        <f t="shared" si="123"/>
        <v>98</v>
      </c>
      <c r="R988" s="19">
        <f t="shared" si="120"/>
        <v>2399.04</v>
      </c>
      <c r="T988" s="19">
        <f t="shared" si="124"/>
        <v>40216.620000000003</v>
      </c>
      <c r="U988" s="19">
        <f t="shared" si="125"/>
        <v>39021.120000000003</v>
      </c>
      <c r="V988" s="21">
        <f t="shared" si="126"/>
        <v>-1195.5</v>
      </c>
      <c r="W988" s="18">
        <f t="shared" si="127"/>
        <v>-2.9726516052318665E-2</v>
      </c>
    </row>
    <row r="989" spans="1:23" x14ac:dyDescent="0.3">
      <c r="A989" t="s">
        <v>109</v>
      </c>
      <c r="B989" t="s">
        <v>736</v>
      </c>
      <c r="C989" t="s">
        <v>37</v>
      </c>
      <c r="D989" t="s">
        <v>20</v>
      </c>
      <c r="E989">
        <v>1606</v>
      </c>
      <c r="F989">
        <v>467.35</v>
      </c>
      <c r="G989">
        <v>472.77</v>
      </c>
      <c r="H989">
        <v>467.35</v>
      </c>
      <c r="I989">
        <v>1894</v>
      </c>
      <c r="J989">
        <v>80</v>
      </c>
      <c r="K989" s="17">
        <f t="shared" si="121"/>
        <v>5050.666666666667</v>
      </c>
      <c r="L989" t="str">
        <f t="shared" si="122"/>
        <v>High Risk</v>
      </c>
      <c r="P989" s="19">
        <f t="shared" si="123"/>
        <v>3445</v>
      </c>
      <c r="R989" s="19">
        <f t="shared" si="120"/>
        <v>1610020.75</v>
      </c>
      <c r="T989" s="19">
        <f t="shared" si="124"/>
        <v>895426.38</v>
      </c>
      <c r="U989" s="19">
        <f t="shared" si="125"/>
        <v>885160.9</v>
      </c>
      <c r="V989" s="21">
        <f t="shared" si="126"/>
        <v>-10265.479999999981</v>
      </c>
      <c r="W989" s="18">
        <f t="shared" si="127"/>
        <v>-1.14643484146625E-2</v>
      </c>
    </row>
    <row r="990" spans="1:23" x14ac:dyDescent="0.3">
      <c r="A990" t="s">
        <v>188</v>
      </c>
      <c r="B990" t="s">
        <v>1664</v>
      </c>
      <c r="C990" t="s">
        <v>12</v>
      </c>
      <c r="D990" t="s">
        <v>13</v>
      </c>
      <c r="E990">
        <v>1612</v>
      </c>
      <c r="F990">
        <v>226.93</v>
      </c>
      <c r="G990">
        <v>249.27</v>
      </c>
      <c r="H990">
        <v>226.93</v>
      </c>
      <c r="I990">
        <v>126</v>
      </c>
      <c r="J990">
        <v>48</v>
      </c>
      <c r="K990" s="17">
        <f t="shared" si="121"/>
        <v>201.60000000000002</v>
      </c>
      <c r="L990" t="str">
        <f t="shared" si="122"/>
        <v>Sufficuent Stock</v>
      </c>
      <c r="P990" s="19">
        <f t="shared" si="123"/>
        <v>0</v>
      </c>
      <c r="R990" s="19">
        <f t="shared" si="120"/>
        <v>0</v>
      </c>
      <c r="T990" s="19">
        <f t="shared" si="124"/>
        <v>31408.02</v>
      </c>
      <c r="U990" s="19">
        <f t="shared" si="125"/>
        <v>28593.18</v>
      </c>
      <c r="V990" s="21">
        <f t="shared" si="126"/>
        <v>-2814.84</v>
      </c>
      <c r="W990" s="18">
        <f t="shared" si="127"/>
        <v>-8.9621695350423233E-2</v>
      </c>
    </row>
    <row r="991" spans="1:23" x14ac:dyDescent="0.3">
      <c r="A991" t="s">
        <v>976</v>
      </c>
      <c r="B991" t="s">
        <v>2381</v>
      </c>
      <c r="C991" t="s">
        <v>12</v>
      </c>
      <c r="D991" t="s">
        <v>17</v>
      </c>
      <c r="E991">
        <v>1613</v>
      </c>
      <c r="F991">
        <v>266.72000000000003</v>
      </c>
      <c r="G991">
        <v>274.14999999999998</v>
      </c>
      <c r="H991">
        <v>266.72000000000003</v>
      </c>
      <c r="I991">
        <v>3292</v>
      </c>
      <c r="J991">
        <v>58</v>
      </c>
      <c r="K991" s="17">
        <f t="shared" si="121"/>
        <v>6364.5333333333338</v>
      </c>
      <c r="L991" t="str">
        <f t="shared" si="122"/>
        <v>High Risk</v>
      </c>
      <c r="P991" s="19">
        <f t="shared" si="123"/>
        <v>4752</v>
      </c>
      <c r="R991" s="19">
        <f t="shared" si="120"/>
        <v>1267453.4400000002</v>
      </c>
      <c r="T991" s="19">
        <f t="shared" si="124"/>
        <v>902501.79999999993</v>
      </c>
      <c r="U991" s="19">
        <f t="shared" si="125"/>
        <v>878042.24000000011</v>
      </c>
      <c r="V991" s="21">
        <f t="shared" si="126"/>
        <v>-24459.559999999823</v>
      </c>
      <c r="W991" s="18">
        <f t="shared" si="127"/>
        <v>-2.7101951486412354E-2</v>
      </c>
    </row>
    <row r="992" spans="1:23" x14ac:dyDescent="0.3">
      <c r="A992" t="s">
        <v>400</v>
      </c>
      <c r="B992" t="s">
        <v>1998</v>
      </c>
      <c r="C992" t="s">
        <v>37</v>
      </c>
      <c r="D992" t="s">
        <v>20</v>
      </c>
      <c r="E992">
        <v>1617</v>
      </c>
      <c r="F992">
        <v>80.33</v>
      </c>
      <c r="G992">
        <v>82.13</v>
      </c>
      <c r="H992">
        <v>80.33</v>
      </c>
      <c r="I992">
        <v>3810</v>
      </c>
      <c r="J992">
        <v>53</v>
      </c>
      <c r="K992" s="17">
        <f t="shared" si="121"/>
        <v>6731</v>
      </c>
      <c r="L992" t="str">
        <f t="shared" si="122"/>
        <v>High Risk</v>
      </c>
      <c r="P992" s="19">
        <f t="shared" si="123"/>
        <v>5114</v>
      </c>
      <c r="R992" s="19">
        <f t="shared" si="120"/>
        <v>410807.62</v>
      </c>
      <c r="T992" s="19">
        <f t="shared" si="124"/>
        <v>312915.3</v>
      </c>
      <c r="U992" s="19">
        <f t="shared" si="125"/>
        <v>306057.3</v>
      </c>
      <c r="V992" s="21">
        <f t="shared" si="126"/>
        <v>-6858</v>
      </c>
      <c r="W992" s="18">
        <f t="shared" si="127"/>
        <v>-2.1916473882868624E-2</v>
      </c>
    </row>
    <row r="993" spans="1:23" x14ac:dyDescent="0.3">
      <c r="A993" t="s">
        <v>306</v>
      </c>
      <c r="B993" t="s">
        <v>3047</v>
      </c>
      <c r="C993" t="s">
        <v>12</v>
      </c>
      <c r="D993" t="s">
        <v>20</v>
      </c>
      <c r="E993">
        <v>1618</v>
      </c>
      <c r="F993">
        <v>169.7</v>
      </c>
      <c r="G993">
        <v>159.76</v>
      </c>
      <c r="H993">
        <v>169.7</v>
      </c>
      <c r="I993">
        <v>356</v>
      </c>
      <c r="J993">
        <v>18</v>
      </c>
      <c r="K993" s="17">
        <f t="shared" si="121"/>
        <v>213.60000000000002</v>
      </c>
      <c r="L993" t="str">
        <f t="shared" si="122"/>
        <v>Sufficuent Stock</v>
      </c>
      <c r="P993" s="19">
        <f t="shared" si="123"/>
        <v>0</v>
      </c>
      <c r="R993" s="19">
        <f t="shared" si="120"/>
        <v>0</v>
      </c>
      <c r="T993" s="19">
        <f t="shared" si="124"/>
        <v>56874.559999999998</v>
      </c>
      <c r="U993" s="19">
        <f t="shared" si="125"/>
        <v>60413.2</v>
      </c>
      <c r="V993" s="21">
        <f t="shared" si="126"/>
        <v>3538.6399999999994</v>
      </c>
      <c r="W993" s="18">
        <f t="shared" si="127"/>
        <v>6.2218327491236847E-2</v>
      </c>
    </row>
    <row r="994" spans="1:23" x14ac:dyDescent="0.3">
      <c r="A994" t="s">
        <v>539</v>
      </c>
      <c r="B994" t="s">
        <v>540</v>
      </c>
      <c r="C994" t="s">
        <v>12</v>
      </c>
      <c r="D994" t="s">
        <v>13</v>
      </c>
      <c r="E994">
        <v>1618</v>
      </c>
      <c r="F994">
        <v>39.97</v>
      </c>
      <c r="G994">
        <v>35.659999999999997</v>
      </c>
      <c r="H994">
        <v>39.97</v>
      </c>
      <c r="I994">
        <v>3264</v>
      </c>
      <c r="J994">
        <v>16</v>
      </c>
      <c r="K994" s="17">
        <f t="shared" si="121"/>
        <v>1740.8</v>
      </c>
      <c r="L994" t="str">
        <f t="shared" si="122"/>
        <v>High Risk</v>
      </c>
      <c r="P994" s="19">
        <f t="shared" si="123"/>
        <v>123</v>
      </c>
      <c r="R994" s="19">
        <f t="shared" si="120"/>
        <v>4916.3099999999995</v>
      </c>
      <c r="T994" s="19">
        <f t="shared" si="124"/>
        <v>116394.23999999999</v>
      </c>
      <c r="U994" s="19">
        <f t="shared" si="125"/>
        <v>130462.08</v>
      </c>
      <c r="V994" s="21">
        <f t="shared" si="126"/>
        <v>14067.840000000011</v>
      </c>
      <c r="W994" s="18">
        <f t="shared" si="127"/>
        <v>0.12086371284352226</v>
      </c>
    </row>
    <row r="995" spans="1:23" x14ac:dyDescent="0.3">
      <c r="A995" t="s">
        <v>1481</v>
      </c>
      <c r="B995" t="s">
        <v>1960</v>
      </c>
      <c r="C995" t="s">
        <v>12</v>
      </c>
      <c r="D995" t="s">
        <v>26</v>
      </c>
      <c r="E995">
        <v>1619</v>
      </c>
      <c r="F995">
        <v>441.78</v>
      </c>
      <c r="G995">
        <v>478.07</v>
      </c>
      <c r="H995">
        <v>441.78</v>
      </c>
      <c r="I995">
        <v>2288</v>
      </c>
      <c r="J995">
        <v>76</v>
      </c>
      <c r="K995" s="17">
        <f t="shared" si="121"/>
        <v>5796.2666666666664</v>
      </c>
      <c r="L995" t="str">
        <f t="shared" si="122"/>
        <v>High Risk</v>
      </c>
      <c r="P995" s="19">
        <f t="shared" si="123"/>
        <v>4178</v>
      </c>
      <c r="R995" s="19">
        <f t="shared" si="120"/>
        <v>1845756.8399999999</v>
      </c>
      <c r="T995" s="19">
        <f t="shared" si="124"/>
        <v>1093824.1599999999</v>
      </c>
      <c r="U995" s="19">
        <f t="shared" si="125"/>
        <v>1010792.6399999999</v>
      </c>
      <c r="V995" s="21">
        <f t="shared" si="126"/>
        <v>-83031.520000000019</v>
      </c>
      <c r="W995" s="18">
        <f t="shared" si="127"/>
        <v>-7.5909385654820444E-2</v>
      </c>
    </row>
    <row r="996" spans="1:23" x14ac:dyDescent="0.3">
      <c r="A996" t="s">
        <v>391</v>
      </c>
      <c r="B996" t="s">
        <v>1479</v>
      </c>
      <c r="C996" t="s">
        <v>37</v>
      </c>
      <c r="D996" t="s">
        <v>17</v>
      </c>
      <c r="E996">
        <v>1622</v>
      </c>
      <c r="F996">
        <v>491.29</v>
      </c>
      <c r="G996">
        <v>428.29</v>
      </c>
      <c r="H996">
        <v>491.29</v>
      </c>
      <c r="I996">
        <v>163</v>
      </c>
      <c r="J996">
        <v>46</v>
      </c>
      <c r="K996" s="17">
        <f t="shared" si="121"/>
        <v>249.93333333333334</v>
      </c>
      <c r="L996" t="str">
        <f t="shared" si="122"/>
        <v>Sufficuent Stock</v>
      </c>
      <c r="P996" s="19">
        <f t="shared" si="123"/>
        <v>0</v>
      </c>
      <c r="R996" s="19">
        <f t="shared" si="120"/>
        <v>0</v>
      </c>
      <c r="T996" s="19">
        <f t="shared" si="124"/>
        <v>69811.27</v>
      </c>
      <c r="U996" s="19">
        <f t="shared" si="125"/>
        <v>80080.27</v>
      </c>
      <c r="V996" s="21">
        <f t="shared" si="126"/>
        <v>10269</v>
      </c>
      <c r="W996" s="18">
        <f t="shared" si="127"/>
        <v>0.14709659342968548</v>
      </c>
    </row>
    <row r="997" spans="1:23" x14ac:dyDescent="0.3">
      <c r="A997" t="s">
        <v>2107</v>
      </c>
      <c r="B997" t="s">
        <v>2954</v>
      </c>
      <c r="C997" t="s">
        <v>23</v>
      </c>
      <c r="D997" t="s">
        <v>69</v>
      </c>
      <c r="E997">
        <v>1623</v>
      </c>
      <c r="F997">
        <v>240.93</v>
      </c>
      <c r="G997">
        <v>219.94</v>
      </c>
      <c r="H997">
        <v>240.93</v>
      </c>
      <c r="I997">
        <v>2201</v>
      </c>
      <c r="J997">
        <v>13</v>
      </c>
      <c r="K997" s="17">
        <f t="shared" si="121"/>
        <v>953.76666666666654</v>
      </c>
      <c r="L997" t="str">
        <f t="shared" si="122"/>
        <v>Sufficuent Stock</v>
      </c>
      <c r="P997" s="19">
        <f t="shared" si="123"/>
        <v>0</v>
      </c>
      <c r="R997" s="19">
        <f t="shared" si="120"/>
        <v>0</v>
      </c>
      <c r="T997" s="19">
        <f t="shared" si="124"/>
        <v>484087.94</v>
      </c>
      <c r="U997" s="19">
        <f t="shared" si="125"/>
        <v>530286.93000000005</v>
      </c>
      <c r="V997" s="21">
        <f t="shared" si="126"/>
        <v>46198.990000000049</v>
      </c>
      <c r="W997" s="18">
        <f t="shared" si="127"/>
        <v>9.5435118668727933E-2</v>
      </c>
    </row>
    <row r="998" spans="1:23" x14ac:dyDescent="0.3">
      <c r="A998" t="s">
        <v>127</v>
      </c>
      <c r="B998" t="s">
        <v>1880</v>
      </c>
      <c r="C998" t="s">
        <v>50</v>
      </c>
      <c r="D998" t="s">
        <v>13</v>
      </c>
      <c r="E998">
        <v>1625</v>
      </c>
      <c r="F998">
        <v>485.62</v>
      </c>
      <c r="G998">
        <v>465.78</v>
      </c>
      <c r="H998">
        <v>485.62</v>
      </c>
      <c r="I998">
        <v>1056</v>
      </c>
      <c r="J998">
        <v>57</v>
      </c>
      <c r="K998" s="17">
        <f t="shared" si="121"/>
        <v>2006.4</v>
      </c>
      <c r="L998" t="str">
        <f t="shared" si="122"/>
        <v>High Risk</v>
      </c>
      <c r="P998" s="19">
        <f t="shared" si="123"/>
        <v>382</v>
      </c>
      <c r="R998" s="19">
        <f t="shared" si="120"/>
        <v>185506.84</v>
      </c>
      <c r="T998" s="19">
        <f t="shared" si="124"/>
        <v>491863.68</v>
      </c>
      <c r="U998" s="19">
        <f t="shared" si="125"/>
        <v>512814.72000000003</v>
      </c>
      <c r="V998" s="21">
        <f t="shared" si="126"/>
        <v>20951.040000000037</v>
      </c>
      <c r="W998" s="18">
        <f t="shared" si="127"/>
        <v>4.2595216625874954E-2</v>
      </c>
    </row>
    <row r="999" spans="1:23" x14ac:dyDescent="0.3">
      <c r="A999" t="s">
        <v>494</v>
      </c>
      <c r="B999" t="s">
        <v>1444</v>
      </c>
      <c r="C999" t="s">
        <v>37</v>
      </c>
      <c r="D999" t="s">
        <v>69</v>
      </c>
      <c r="E999">
        <v>1625</v>
      </c>
      <c r="F999">
        <v>9.9600000000000009</v>
      </c>
      <c r="G999">
        <v>10.220000000000001</v>
      </c>
      <c r="H999">
        <v>9.9600000000000009</v>
      </c>
      <c r="I999">
        <v>831</v>
      </c>
      <c r="J999">
        <v>81</v>
      </c>
      <c r="K999" s="17">
        <f t="shared" si="121"/>
        <v>2243.6999999999998</v>
      </c>
      <c r="L999" t="str">
        <f t="shared" si="122"/>
        <v>High Risk</v>
      </c>
      <c r="P999" s="19">
        <f t="shared" si="123"/>
        <v>619</v>
      </c>
      <c r="R999" s="19">
        <f t="shared" si="120"/>
        <v>6165.2400000000007</v>
      </c>
      <c r="T999" s="19">
        <f t="shared" si="124"/>
        <v>8492.82</v>
      </c>
      <c r="U999" s="19">
        <f t="shared" si="125"/>
        <v>8276.76</v>
      </c>
      <c r="V999" s="21">
        <f t="shared" si="126"/>
        <v>-216.05999999999949</v>
      </c>
      <c r="W999" s="18">
        <f t="shared" si="127"/>
        <v>-2.5440313111545928E-2</v>
      </c>
    </row>
    <row r="1000" spans="1:23" x14ac:dyDescent="0.3">
      <c r="A1000" t="s">
        <v>333</v>
      </c>
      <c r="B1000" t="s">
        <v>2529</v>
      </c>
      <c r="C1000" t="s">
        <v>50</v>
      </c>
      <c r="D1000" t="s">
        <v>17</v>
      </c>
      <c r="E1000">
        <v>1625</v>
      </c>
      <c r="F1000">
        <v>366.81</v>
      </c>
      <c r="G1000">
        <v>398.28</v>
      </c>
      <c r="H1000">
        <v>366.81</v>
      </c>
      <c r="I1000">
        <v>2445</v>
      </c>
      <c r="J1000">
        <v>80</v>
      </c>
      <c r="K1000" s="17">
        <f t="shared" si="121"/>
        <v>6520</v>
      </c>
      <c r="L1000" t="str">
        <f t="shared" si="122"/>
        <v>High Risk</v>
      </c>
      <c r="P1000" s="19">
        <f t="shared" si="123"/>
        <v>4895</v>
      </c>
      <c r="R1000" s="19">
        <f t="shared" si="120"/>
        <v>1795534.95</v>
      </c>
      <c r="T1000" s="19">
        <f t="shared" si="124"/>
        <v>973794.6</v>
      </c>
      <c r="U1000" s="19">
        <f t="shared" si="125"/>
        <v>896850.45</v>
      </c>
      <c r="V1000" s="21">
        <f t="shared" si="126"/>
        <v>-76944.150000000023</v>
      </c>
      <c r="W1000" s="18">
        <f t="shared" si="127"/>
        <v>-7.9014763482976827E-2</v>
      </c>
    </row>
    <row r="1001" spans="1:23" x14ac:dyDescent="0.3">
      <c r="A1001" t="s">
        <v>293</v>
      </c>
      <c r="B1001" t="s">
        <v>1066</v>
      </c>
      <c r="C1001" t="s">
        <v>16</v>
      </c>
      <c r="D1001" t="s">
        <v>26</v>
      </c>
      <c r="E1001">
        <v>1629</v>
      </c>
      <c r="F1001">
        <v>228</v>
      </c>
      <c r="G1001">
        <v>232.1</v>
      </c>
      <c r="H1001">
        <v>228</v>
      </c>
      <c r="I1001">
        <v>3378</v>
      </c>
      <c r="J1001">
        <v>61</v>
      </c>
      <c r="K1001" s="17">
        <f t="shared" si="121"/>
        <v>6868.5999999999995</v>
      </c>
      <c r="L1001" t="str">
        <f t="shared" si="122"/>
        <v>High Risk</v>
      </c>
      <c r="P1001" s="19">
        <f t="shared" si="123"/>
        <v>5240</v>
      </c>
      <c r="R1001" s="19">
        <f t="shared" si="120"/>
        <v>1194720</v>
      </c>
      <c r="T1001" s="19">
        <f t="shared" si="124"/>
        <v>784033.79999999993</v>
      </c>
      <c r="U1001" s="19">
        <f t="shared" si="125"/>
        <v>770184</v>
      </c>
      <c r="V1001" s="21">
        <f t="shared" si="126"/>
        <v>-13849.79999999993</v>
      </c>
      <c r="W1001" s="18">
        <f t="shared" si="127"/>
        <v>-1.7664799655320893E-2</v>
      </c>
    </row>
    <row r="1002" spans="1:23" x14ac:dyDescent="0.3">
      <c r="A1002" t="s">
        <v>1243</v>
      </c>
      <c r="B1002" t="s">
        <v>1525</v>
      </c>
      <c r="C1002" t="s">
        <v>23</v>
      </c>
      <c r="D1002" t="s">
        <v>13</v>
      </c>
      <c r="E1002">
        <v>1629</v>
      </c>
      <c r="F1002">
        <v>18.2</v>
      </c>
      <c r="G1002">
        <v>16.84</v>
      </c>
      <c r="H1002">
        <v>18.2</v>
      </c>
      <c r="I1002">
        <v>2460</v>
      </c>
      <c r="J1002">
        <v>38</v>
      </c>
      <c r="K1002" s="17">
        <f t="shared" si="121"/>
        <v>3116</v>
      </c>
      <c r="L1002" t="str">
        <f t="shared" si="122"/>
        <v>High Risk</v>
      </c>
      <c r="P1002" s="19">
        <f t="shared" si="123"/>
        <v>1487</v>
      </c>
      <c r="R1002" s="19">
        <f t="shared" si="120"/>
        <v>27063.399999999998</v>
      </c>
      <c r="T1002" s="19">
        <f t="shared" si="124"/>
        <v>41426.400000000001</v>
      </c>
      <c r="U1002" s="19">
        <f t="shared" si="125"/>
        <v>44772</v>
      </c>
      <c r="V1002" s="21">
        <f t="shared" si="126"/>
        <v>3345.5999999999985</v>
      </c>
      <c r="W1002" s="18">
        <f t="shared" si="127"/>
        <v>8.0760095011876448E-2</v>
      </c>
    </row>
    <row r="1003" spans="1:23" x14ac:dyDescent="0.3">
      <c r="A1003" t="s">
        <v>14</v>
      </c>
      <c r="B1003" t="s">
        <v>2781</v>
      </c>
      <c r="C1003" t="s">
        <v>50</v>
      </c>
      <c r="D1003" t="s">
        <v>13</v>
      </c>
      <c r="E1003">
        <v>1629</v>
      </c>
      <c r="F1003">
        <v>60.42</v>
      </c>
      <c r="G1003">
        <v>53.6</v>
      </c>
      <c r="H1003">
        <v>60.42</v>
      </c>
      <c r="I1003">
        <v>253</v>
      </c>
      <c r="J1003">
        <v>38</v>
      </c>
      <c r="K1003" s="17">
        <f t="shared" si="121"/>
        <v>320.4666666666667</v>
      </c>
      <c r="L1003" t="str">
        <f t="shared" si="122"/>
        <v>Sufficuent Stock</v>
      </c>
      <c r="P1003" s="19">
        <f t="shared" si="123"/>
        <v>0</v>
      </c>
      <c r="R1003" s="19">
        <f t="shared" si="120"/>
        <v>0</v>
      </c>
      <c r="T1003" s="19">
        <f t="shared" si="124"/>
        <v>13560.800000000001</v>
      </c>
      <c r="U1003" s="19">
        <f t="shared" si="125"/>
        <v>15286.26</v>
      </c>
      <c r="V1003" s="21">
        <f t="shared" si="126"/>
        <v>1725.4599999999991</v>
      </c>
      <c r="W1003" s="18">
        <f t="shared" si="127"/>
        <v>0.12723880597014917</v>
      </c>
    </row>
    <row r="1004" spans="1:23" x14ac:dyDescent="0.3">
      <c r="A1004" t="s">
        <v>498</v>
      </c>
      <c r="B1004" t="s">
        <v>1385</v>
      </c>
      <c r="C1004" t="s">
        <v>50</v>
      </c>
      <c r="D1004" t="s">
        <v>13</v>
      </c>
      <c r="E1004">
        <v>1630</v>
      </c>
      <c r="F1004">
        <v>356.66</v>
      </c>
      <c r="G1004">
        <v>341.93</v>
      </c>
      <c r="H1004">
        <v>356.66</v>
      </c>
      <c r="I1004">
        <v>91</v>
      </c>
      <c r="J1004">
        <v>28</v>
      </c>
      <c r="K1004" s="17">
        <f t="shared" si="121"/>
        <v>84.933333333333337</v>
      </c>
      <c r="L1004" t="str">
        <f t="shared" si="122"/>
        <v>Sufficuent Stock</v>
      </c>
      <c r="P1004" s="19">
        <f t="shared" si="123"/>
        <v>0</v>
      </c>
      <c r="R1004" s="19">
        <f t="shared" si="120"/>
        <v>0</v>
      </c>
      <c r="T1004" s="19">
        <f t="shared" si="124"/>
        <v>31115.63</v>
      </c>
      <c r="U1004" s="19">
        <f t="shared" si="125"/>
        <v>32456.06</v>
      </c>
      <c r="V1004" s="21">
        <f t="shared" si="126"/>
        <v>1340.4300000000003</v>
      </c>
      <c r="W1004" s="18">
        <f t="shared" si="127"/>
        <v>4.3078992776299251E-2</v>
      </c>
    </row>
    <row r="1005" spans="1:23" x14ac:dyDescent="0.3">
      <c r="A1005" t="s">
        <v>31</v>
      </c>
      <c r="B1005" t="s">
        <v>32</v>
      </c>
      <c r="C1005" t="s">
        <v>16</v>
      </c>
      <c r="D1005" t="s">
        <v>20</v>
      </c>
      <c r="E1005">
        <v>1634</v>
      </c>
      <c r="F1005">
        <v>471.43</v>
      </c>
      <c r="G1005">
        <v>416.91</v>
      </c>
      <c r="H1005">
        <v>471.43</v>
      </c>
      <c r="I1005">
        <v>979</v>
      </c>
      <c r="J1005">
        <v>11</v>
      </c>
      <c r="K1005" s="17">
        <f t="shared" si="121"/>
        <v>358.96666666666664</v>
      </c>
      <c r="L1005" t="str">
        <f t="shared" si="122"/>
        <v>Sufficuent Stock</v>
      </c>
      <c r="P1005" s="19">
        <f t="shared" si="123"/>
        <v>0</v>
      </c>
      <c r="R1005" s="19">
        <f t="shared" si="120"/>
        <v>0</v>
      </c>
      <c r="T1005" s="19">
        <f t="shared" si="124"/>
        <v>408154.89</v>
      </c>
      <c r="U1005" s="19">
        <f t="shared" si="125"/>
        <v>461529.97000000003</v>
      </c>
      <c r="V1005" s="21">
        <f t="shared" si="126"/>
        <v>53375.080000000016</v>
      </c>
      <c r="W1005" s="18">
        <f t="shared" si="127"/>
        <v>0.13077162936844886</v>
      </c>
    </row>
    <row r="1006" spans="1:23" x14ac:dyDescent="0.3">
      <c r="A1006" t="s">
        <v>1121</v>
      </c>
      <c r="B1006" t="s">
        <v>2260</v>
      </c>
      <c r="C1006" t="s">
        <v>37</v>
      </c>
      <c r="D1006" t="s">
        <v>20</v>
      </c>
      <c r="E1006">
        <v>1634</v>
      </c>
      <c r="F1006">
        <v>311.67</v>
      </c>
      <c r="G1006">
        <v>310.68</v>
      </c>
      <c r="H1006">
        <v>311.67</v>
      </c>
      <c r="I1006">
        <v>3588</v>
      </c>
      <c r="J1006">
        <v>26</v>
      </c>
      <c r="K1006" s="17">
        <f t="shared" si="121"/>
        <v>3109.6</v>
      </c>
      <c r="L1006" t="str">
        <f t="shared" si="122"/>
        <v>High Risk</v>
      </c>
      <c r="P1006" s="19">
        <f t="shared" si="123"/>
        <v>1476</v>
      </c>
      <c r="R1006" s="19">
        <f t="shared" si="120"/>
        <v>460024.92000000004</v>
      </c>
      <c r="T1006" s="19">
        <f t="shared" si="124"/>
        <v>1114719.8400000001</v>
      </c>
      <c r="U1006" s="19">
        <f t="shared" si="125"/>
        <v>1118271.96</v>
      </c>
      <c r="V1006" s="21">
        <f t="shared" si="126"/>
        <v>3552.1199999998789</v>
      </c>
      <c r="W1006" s="18">
        <f t="shared" si="127"/>
        <v>3.186558516801745E-3</v>
      </c>
    </row>
    <row r="1007" spans="1:23" x14ac:dyDescent="0.3">
      <c r="A1007" t="s">
        <v>88</v>
      </c>
      <c r="B1007" t="s">
        <v>1204</v>
      </c>
      <c r="C1007" t="s">
        <v>50</v>
      </c>
      <c r="D1007" t="s">
        <v>13</v>
      </c>
      <c r="E1007">
        <v>1637</v>
      </c>
      <c r="F1007">
        <v>444.02</v>
      </c>
      <c r="G1007">
        <v>440.91</v>
      </c>
      <c r="H1007">
        <v>444.02</v>
      </c>
      <c r="I1007">
        <v>1455</v>
      </c>
      <c r="J1007">
        <v>46</v>
      </c>
      <c r="K1007" s="17">
        <f t="shared" si="121"/>
        <v>2231</v>
      </c>
      <c r="L1007" t="str">
        <f t="shared" si="122"/>
        <v>High Risk</v>
      </c>
      <c r="P1007" s="19">
        <f t="shared" si="123"/>
        <v>594</v>
      </c>
      <c r="R1007" s="19">
        <f t="shared" si="120"/>
        <v>263747.88</v>
      </c>
      <c r="T1007" s="19">
        <f t="shared" si="124"/>
        <v>641524.05000000005</v>
      </c>
      <c r="U1007" s="19">
        <f t="shared" si="125"/>
        <v>646049.1</v>
      </c>
      <c r="V1007" s="21">
        <f t="shared" si="126"/>
        <v>4525.0499999999302</v>
      </c>
      <c r="W1007" s="18">
        <f t="shared" si="127"/>
        <v>7.0535937039303978E-3</v>
      </c>
    </row>
    <row r="1008" spans="1:23" x14ac:dyDescent="0.3">
      <c r="A1008" t="s">
        <v>949</v>
      </c>
      <c r="B1008" t="s">
        <v>2929</v>
      </c>
      <c r="C1008" t="s">
        <v>37</v>
      </c>
      <c r="D1008" t="s">
        <v>20</v>
      </c>
      <c r="E1008">
        <v>1638</v>
      </c>
      <c r="F1008">
        <v>190.84</v>
      </c>
      <c r="G1008">
        <v>159.58000000000001</v>
      </c>
      <c r="H1008">
        <v>190.84</v>
      </c>
      <c r="I1008">
        <v>3520</v>
      </c>
      <c r="J1008">
        <v>47</v>
      </c>
      <c r="K1008" s="17">
        <f t="shared" si="121"/>
        <v>5514.6666666666661</v>
      </c>
      <c r="L1008" t="str">
        <f t="shared" si="122"/>
        <v>High Risk</v>
      </c>
      <c r="P1008" s="19">
        <f t="shared" si="123"/>
        <v>3877</v>
      </c>
      <c r="R1008" s="19">
        <f t="shared" si="120"/>
        <v>739886.68</v>
      </c>
      <c r="T1008" s="19">
        <f t="shared" si="124"/>
        <v>561721.60000000009</v>
      </c>
      <c r="U1008" s="19">
        <f t="shared" si="125"/>
        <v>671756.80000000005</v>
      </c>
      <c r="V1008" s="21">
        <f t="shared" si="126"/>
        <v>110035.19999999995</v>
      </c>
      <c r="W1008" s="18">
        <f t="shared" si="127"/>
        <v>0.19588920917408184</v>
      </c>
    </row>
    <row r="1009" spans="1:23" x14ac:dyDescent="0.3">
      <c r="A1009" t="s">
        <v>243</v>
      </c>
      <c r="B1009" t="s">
        <v>1696</v>
      </c>
      <c r="C1009" t="s">
        <v>12</v>
      </c>
      <c r="D1009" t="s">
        <v>69</v>
      </c>
      <c r="E1009">
        <v>1639</v>
      </c>
      <c r="F1009">
        <v>275.39</v>
      </c>
      <c r="G1009">
        <v>244.68</v>
      </c>
      <c r="H1009">
        <v>275.39</v>
      </c>
      <c r="I1009">
        <v>2951</v>
      </c>
      <c r="J1009">
        <v>40</v>
      </c>
      <c r="K1009" s="17">
        <f t="shared" si="121"/>
        <v>3934.6666666666665</v>
      </c>
      <c r="L1009" t="str">
        <f t="shared" si="122"/>
        <v>High Risk</v>
      </c>
      <c r="P1009" s="19">
        <f t="shared" si="123"/>
        <v>2296</v>
      </c>
      <c r="R1009" s="19">
        <f t="shared" si="120"/>
        <v>632295.43999999994</v>
      </c>
      <c r="T1009" s="19">
        <f t="shared" si="124"/>
        <v>722050.68</v>
      </c>
      <c r="U1009" s="19">
        <f t="shared" si="125"/>
        <v>812675.89</v>
      </c>
      <c r="V1009" s="21">
        <f t="shared" si="126"/>
        <v>90625.209999999963</v>
      </c>
      <c r="W1009" s="18">
        <f t="shared" si="127"/>
        <v>0.12551087134216113</v>
      </c>
    </row>
    <row r="1010" spans="1:23" x14ac:dyDescent="0.3">
      <c r="A1010" t="s">
        <v>270</v>
      </c>
      <c r="B1010" t="s">
        <v>3207</v>
      </c>
      <c r="C1010" t="s">
        <v>12</v>
      </c>
      <c r="D1010" t="s">
        <v>13</v>
      </c>
      <c r="E1010">
        <v>1641</v>
      </c>
      <c r="F1010">
        <v>516.23</v>
      </c>
      <c r="G1010">
        <v>455.7</v>
      </c>
      <c r="H1010">
        <v>516.23</v>
      </c>
      <c r="I1010">
        <v>3310</v>
      </c>
      <c r="J1010">
        <v>81</v>
      </c>
      <c r="K1010" s="17">
        <f t="shared" si="121"/>
        <v>8937</v>
      </c>
      <c r="L1010" t="str">
        <f t="shared" si="122"/>
        <v>High Risk</v>
      </c>
      <c r="P1010" s="19">
        <f t="shared" si="123"/>
        <v>7296</v>
      </c>
      <c r="R1010" s="19">
        <f t="shared" si="120"/>
        <v>3766414.08</v>
      </c>
      <c r="T1010" s="19">
        <f t="shared" si="124"/>
        <v>1508367</v>
      </c>
      <c r="U1010" s="19">
        <f t="shared" si="125"/>
        <v>1708721.3</v>
      </c>
      <c r="V1010" s="21">
        <f t="shared" si="126"/>
        <v>200354.30000000005</v>
      </c>
      <c r="W1010" s="18">
        <f t="shared" si="127"/>
        <v>0.13282861531709461</v>
      </c>
    </row>
    <row r="1011" spans="1:23" x14ac:dyDescent="0.3">
      <c r="A1011" t="s">
        <v>688</v>
      </c>
      <c r="B1011" t="s">
        <v>2754</v>
      </c>
      <c r="C1011" t="s">
        <v>16</v>
      </c>
      <c r="D1011" t="s">
        <v>26</v>
      </c>
      <c r="E1011">
        <v>1641</v>
      </c>
      <c r="F1011">
        <v>124.27</v>
      </c>
      <c r="G1011">
        <v>121.19</v>
      </c>
      <c r="H1011">
        <v>124.27</v>
      </c>
      <c r="I1011">
        <v>3141</v>
      </c>
      <c r="J1011">
        <v>48</v>
      </c>
      <c r="K1011" s="17">
        <f t="shared" si="121"/>
        <v>5025.6000000000004</v>
      </c>
      <c r="L1011" t="str">
        <f t="shared" si="122"/>
        <v>High Risk</v>
      </c>
      <c r="P1011" s="19">
        <f t="shared" si="123"/>
        <v>3385</v>
      </c>
      <c r="R1011" s="19">
        <f t="shared" si="120"/>
        <v>420653.95</v>
      </c>
      <c r="T1011" s="19">
        <f t="shared" si="124"/>
        <v>380657.79</v>
      </c>
      <c r="U1011" s="19">
        <f t="shared" si="125"/>
        <v>390332.07</v>
      </c>
      <c r="V1011" s="21">
        <f t="shared" si="126"/>
        <v>9674.2800000000279</v>
      </c>
      <c r="W1011" s="18">
        <f t="shared" si="127"/>
        <v>2.5414638171466369E-2</v>
      </c>
    </row>
    <row r="1012" spans="1:23" x14ac:dyDescent="0.3">
      <c r="A1012" t="s">
        <v>654</v>
      </c>
      <c r="B1012" t="s">
        <v>3018</v>
      </c>
      <c r="C1012" t="s">
        <v>16</v>
      </c>
      <c r="D1012" t="s">
        <v>69</v>
      </c>
      <c r="E1012">
        <v>1643</v>
      </c>
      <c r="F1012">
        <v>134.41</v>
      </c>
      <c r="G1012">
        <v>122.75</v>
      </c>
      <c r="H1012">
        <v>134.41</v>
      </c>
      <c r="I1012">
        <v>998</v>
      </c>
      <c r="J1012">
        <v>10</v>
      </c>
      <c r="K1012" s="17">
        <f t="shared" si="121"/>
        <v>332.66666666666663</v>
      </c>
      <c r="L1012" t="str">
        <f t="shared" si="122"/>
        <v>Sufficuent Stock</v>
      </c>
      <c r="P1012" s="19">
        <f t="shared" si="123"/>
        <v>0</v>
      </c>
      <c r="R1012" s="19">
        <f t="shared" si="120"/>
        <v>0</v>
      </c>
      <c r="T1012" s="19">
        <f t="shared" si="124"/>
        <v>122504.5</v>
      </c>
      <c r="U1012" s="19">
        <f t="shared" si="125"/>
        <v>134141.18</v>
      </c>
      <c r="V1012" s="21">
        <f t="shared" si="126"/>
        <v>11636.679999999993</v>
      </c>
      <c r="W1012" s="18">
        <f t="shared" si="127"/>
        <v>9.4989816700610935E-2</v>
      </c>
    </row>
    <row r="1013" spans="1:23" x14ac:dyDescent="0.3">
      <c r="A1013" t="s">
        <v>1253</v>
      </c>
      <c r="B1013" t="s">
        <v>3340</v>
      </c>
      <c r="C1013" t="s">
        <v>37</v>
      </c>
      <c r="D1013" t="s">
        <v>17</v>
      </c>
      <c r="E1013">
        <v>1648</v>
      </c>
      <c r="F1013">
        <v>39.090000000000003</v>
      </c>
      <c r="G1013">
        <v>38.56</v>
      </c>
      <c r="H1013">
        <v>39.090000000000003</v>
      </c>
      <c r="I1013">
        <v>2130</v>
      </c>
      <c r="J1013">
        <v>63</v>
      </c>
      <c r="K1013" s="17">
        <f t="shared" si="121"/>
        <v>4473</v>
      </c>
      <c r="L1013" t="str">
        <f t="shared" si="122"/>
        <v>High Risk</v>
      </c>
      <c r="P1013" s="19">
        <f t="shared" si="123"/>
        <v>2825</v>
      </c>
      <c r="R1013" s="19">
        <f t="shared" si="120"/>
        <v>110429.25000000001</v>
      </c>
      <c r="T1013" s="19">
        <f t="shared" si="124"/>
        <v>82132.800000000003</v>
      </c>
      <c r="U1013" s="19">
        <f t="shared" si="125"/>
        <v>83261.700000000012</v>
      </c>
      <c r="V1013" s="21">
        <f t="shared" si="126"/>
        <v>1128.9000000000087</v>
      </c>
      <c r="W1013" s="18">
        <f t="shared" si="127"/>
        <v>1.3744813278008404E-2</v>
      </c>
    </row>
    <row r="1014" spans="1:23" x14ac:dyDescent="0.3">
      <c r="A1014" t="s">
        <v>1014</v>
      </c>
      <c r="B1014" t="s">
        <v>2032</v>
      </c>
      <c r="C1014" t="s">
        <v>50</v>
      </c>
      <c r="D1014" t="s">
        <v>20</v>
      </c>
      <c r="E1014">
        <v>1648</v>
      </c>
      <c r="F1014">
        <v>248.65</v>
      </c>
      <c r="G1014">
        <v>212.85</v>
      </c>
      <c r="H1014">
        <v>248.65</v>
      </c>
      <c r="I1014">
        <v>1196</v>
      </c>
      <c r="J1014">
        <v>65</v>
      </c>
      <c r="K1014" s="17">
        <f t="shared" si="121"/>
        <v>2591.3333333333335</v>
      </c>
      <c r="L1014" t="str">
        <f t="shared" si="122"/>
        <v>High Risk</v>
      </c>
      <c r="P1014" s="19">
        <f t="shared" si="123"/>
        <v>944</v>
      </c>
      <c r="R1014" s="19">
        <f t="shared" si="120"/>
        <v>234725.6</v>
      </c>
      <c r="T1014" s="19">
        <f t="shared" si="124"/>
        <v>254568.6</v>
      </c>
      <c r="U1014" s="19">
        <f t="shared" si="125"/>
        <v>297385.40000000002</v>
      </c>
      <c r="V1014" s="21">
        <f t="shared" si="126"/>
        <v>42816.800000000017</v>
      </c>
      <c r="W1014" s="18">
        <f t="shared" si="127"/>
        <v>0.16819356354240081</v>
      </c>
    </row>
    <row r="1015" spans="1:23" x14ac:dyDescent="0.3">
      <c r="A1015" t="s">
        <v>688</v>
      </c>
      <c r="B1015" t="s">
        <v>2274</v>
      </c>
      <c r="C1015" t="s">
        <v>23</v>
      </c>
      <c r="D1015" t="s">
        <v>69</v>
      </c>
      <c r="E1015">
        <v>1649</v>
      </c>
      <c r="F1015">
        <v>122.46</v>
      </c>
      <c r="G1015">
        <v>135.47999999999999</v>
      </c>
      <c r="H1015">
        <v>122.46</v>
      </c>
      <c r="I1015">
        <v>761</v>
      </c>
      <c r="J1015">
        <v>44</v>
      </c>
      <c r="K1015" s="17">
        <f t="shared" si="121"/>
        <v>1116.1333333333334</v>
      </c>
      <c r="L1015" t="str">
        <f t="shared" si="122"/>
        <v>Sufficuent Stock</v>
      </c>
      <c r="P1015" s="19">
        <f t="shared" si="123"/>
        <v>0</v>
      </c>
      <c r="R1015" s="19">
        <f t="shared" si="120"/>
        <v>0</v>
      </c>
      <c r="T1015" s="19">
        <f t="shared" si="124"/>
        <v>103100.28</v>
      </c>
      <c r="U1015" s="19">
        <f t="shared" si="125"/>
        <v>93192.06</v>
      </c>
      <c r="V1015" s="21">
        <f t="shared" si="126"/>
        <v>-9908.2200000000012</v>
      </c>
      <c r="W1015" s="18">
        <f t="shared" si="127"/>
        <v>-9.6102745792736949E-2</v>
      </c>
    </row>
    <row r="1016" spans="1:23" x14ac:dyDescent="0.3">
      <c r="A1016" t="s">
        <v>1531</v>
      </c>
      <c r="B1016" t="s">
        <v>1902</v>
      </c>
      <c r="C1016" t="s">
        <v>37</v>
      </c>
      <c r="D1016" t="s">
        <v>69</v>
      </c>
      <c r="E1016">
        <v>1650</v>
      </c>
      <c r="F1016">
        <v>354.64</v>
      </c>
      <c r="G1016">
        <v>331.43</v>
      </c>
      <c r="H1016">
        <v>354.64</v>
      </c>
      <c r="I1016">
        <v>1958</v>
      </c>
      <c r="J1016">
        <v>42</v>
      </c>
      <c r="K1016" s="17">
        <f t="shared" si="121"/>
        <v>2741.2</v>
      </c>
      <c r="L1016" t="str">
        <f t="shared" si="122"/>
        <v>High Risk</v>
      </c>
      <c r="P1016" s="19">
        <f t="shared" si="123"/>
        <v>1092</v>
      </c>
      <c r="R1016" s="19">
        <f t="shared" si="120"/>
        <v>387266.88</v>
      </c>
      <c r="T1016" s="19">
        <f t="shared" si="124"/>
        <v>648939.94000000006</v>
      </c>
      <c r="U1016" s="19">
        <f t="shared" si="125"/>
        <v>694385.12</v>
      </c>
      <c r="V1016" s="21">
        <f t="shared" si="126"/>
        <v>45445.179999999935</v>
      </c>
      <c r="W1016" s="18">
        <f t="shared" si="127"/>
        <v>7.0029870560902652E-2</v>
      </c>
    </row>
    <row r="1017" spans="1:23" x14ac:dyDescent="0.3">
      <c r="A1017" t="s">
        <v>988</v>
      </c>
      <c r="B1017" t="s">
        <v>1039</v>
      </c>
      <c r="C1017" t="s">
        <v>23</v>
      </c>
      <c r="D1017" t="s">
        <v>69</v>
      </c>
      <c r="E1017">
        <v>1650</v>
      </c>
      <c r="F1017">
        <v>30.62</v>
      </c>
      <c r="G1017">
        <v>26.97</v>
      </c>
      <c r="H1017">
        <v>30.62</v>
      </c>
      <c r="I1017">
        <v>178</v>
      </c>
      <c r="J1017">
        <v>32</v>
      </c>
      <c r="K1017" s="17">
        <f t="shared" si="121"/>
        <v>189.86666666666667</v>
      </c>
      <c r="L1017" t="str">
        <f t="shared" si="122"/>
        <v>Sufficuent Stock</v>
      </c>
      <c r="P1017" s="19">
        <f t="shared" si="123"/>
        <v>0</v>
      </c>
      <c r="R1017" s="19">
        <f t="shared" si="120"/>
        <v>0</v>
      </c>
      <c r="T1017" s="19">
        <f t="shared" si="124"/>
        <v>4800.66</v>
      </c>
      <c r="U1017" s="19">
        <f t="shared" si="125"/>
        <v>5450.3600000000006</v>
      </c>
      <c r="V1017" s="21">
        <f t="shared" si="126"/>
        <v>649.70000000000073</v>
      </c>
      <c r="W1017" s="18">
        <f t="shared" si="127"/>
        <v>0.13533555802743805</v>
      </c>
    </row>
    <row r="1018" spans="1:23" x14ac:dyDescent="0.3">
      <c r="A1018" t="s">
        <v>235</v>
      </c>
      <c r="B1018" t="s">
        <v>731</v>
      </c>
      <c r="C1018" t="s">
        <v>16</v>
      </c>
      <c r="D1018" t="s">
        <v>69</v>
      </c>
      <c r="E1018">
        <v>1651</v>
      </c>
      <c r="F1018">
        <v>137.34</v>
      </c>
      <c r="G1018">
        <v>142.11000000000001</v>
      </c>
      <c r="H1018">
        <v>137.34</v>
      </c>
      <c r="I1018">
        <v>555</v>
      </c>
      <c r="J1018">
        <v>87</v>
      </c>
      <c r="K1018" s="17">
        <f t="shared" si="121"/>
        <v>1609.5</v>
      </c>
      <c r="L1018" t="str">
        <f t="shared" si="122"/>
        <v>Sufficuent Stock</v>
      </c>
      <c r="P1018" s="19">
        <f t="shared" si="123"/>
        <v>0</v>
      </c>
      <c r="R1018" s="19">
        <f t="shared" si="120"/>
        <v>0</v>
      </c>
      <c r="T1018" s="19">
        <f t="shared" si="124"/>
        <v>78871.05</v>
      </c>
      <c r="U1018" s="19">
        <f t="shared" si="125"/>
        <v>76223.7</v>
      </c>
      <c r="V1018" s="21">
        <f t="shared" si="126"/>
        <v>-2647.3500000000058</v>
      </c>
      <c r="W1018" s="18">
        <f t="shared" si="127"/>
        <v>-3.3565547815072906E-2</v>
      </c>
    </row>
    <row r="1019" spans="1:23" x14ac:dyDescent="0.3">
      <c r="A1019" t="s">
        <v>562</v>
      </c>
      <c r="B1019" t="s">
        <v>2398</v>
      </c>
      <c r="C1019" t="s">
        <v>16</v>
      </c>
      <c r="D1019" t="s">
        <v>69</v>
      </c>
      <c r="E1019">
        <v>1656</v>
      </c>
      <c r="F1019">
        <v>555.85</v>
      </c>
      <c r="G1019">
        <v>484.83</v>
      </c>
      <c r="H1019">
        <v>555.85</v>
      </c>
      <c r="I1019">
        <v>1293</v>
      </c>
      <c r="J1019">
        <v>82</v>
      </c>
      <c r="K1019" s="17">
        <f t="shared" si="121"/>
        <v>3534.2000000000003</v>
      </c>
      <c r="L1019" t="str">
        <f t="shared" si="122"/>
        <v>High Risk</v>
      </c>
      <c r="P1019" s="19">
        <f t="shared" si="123"/>
        <v>1879</v>
      </c>
      <c r="R1019" s="19">
        <f t="shared" si="120"/>
        <v>1044442.15</v>
      </c>
      <c r="T1019" s="19">
        <f t="shared" si="124"/>
        <v>626885.18999999994</v>
      </c>
      <c r="U1019" s="19">
        <f t="shared" si="125"/>
        <v>718714.05</v>
      </c>
      <c r="V1019" s="21">
        <f t="shared" si="126"/>
        <v>91828.860000000102</v>
      </c>
      <c r="W1019" s="18">
        <f t="shared" si="127"/>
        <v>0.14648433471526121</v>
      </c>
    </row>
    <row r="1020" spans="1:23" x14ac:dyDescent="0.3">
      <c r="A1020" t="s">
        <v>615</v>
      </c>
      <c r="B1020" t="s">
        <v>2532</v>
      </c>
      <c r="C1020" t="s">
        <v>37</v>
      </c>
      <c r="D1020" t="s">
        <v>13</v>
      </c>
      <c r="E1020">
        <v>1656</v>
      </c>
      <c r="F1020">
        <v>213.86</v>
      </c>
      <c r="G1020">
        <v>226.11</v>
      </c>
      <c r="H1020">
        <v>213.86</v>
      </c>
      <c r="I1020">
        <v>3235</v>
      </c>
      <c r="J1020">
        <v>70</v>
      </c>
      <c r="K1020" s="17">
        <f t="shared" si="121"/>
        <v>7548.333333333333</v>
      </c>
      <c r="L1020" t="str">
        <f t="shared" si="122"/>
        <v>High Risk</v>
      </c>
      <c r="P1020" s="19">
        <f t="shared" si="123"/>
        <v>5893</v>
      </c>
      <c r="R1020" s="19">
        <f t="shared" si="120"/>
        <v>1260276.98</v>
      </c>
      <c r="T1020" s="19">
        <f t="shared" si="124"/>
        <v>731465.85000000009</v>
      </c>
      <c r="U1020" s="19">
        <f t="shared" si="125"/>
        <v>691837.10000000009</v>
      </c>
      <c r="V1020" s="21">
        <f t="shared" si="126"/>
        <v>-39628.75</v>
      </c>
      <c r="W1020" s="18">
        <f t="shared" si="127"/>
        <v>-5.4177170403785758E-2</v>
      </c>
    </row>
    <row r="1021" spans="1:23" x14ac:dyDescent="0.3">
      <c r="A1021" t="s">
        <v>349</v>
      </c>
      <c r="B1021" t="s">
        <v>1000</v>
      </c>
      <c r="C1021" t="s">
        <v>16</v>
      </c>
      <c r="D1021" t="s">
        <v>26</v>
      </c>
      <c r="E1021">
        <v>1657</v>
      </c>
      <c r="F1021">
        <v>405.43</v>
      </c>
      <c r="G1021">
        <v>380.89</v>
      </c>
      <c r="H1021">
        <v>405.43</v>
      </c>
      <c r="I1021">
        <v>3611</v>
      </c>
      <c r="J1021">
        <v>84</v>
      </c>
      <c r="K1021" s="17">
        <f t="shared" si="121"/>
        <v>10110.799999999999</v>
      </c>
      <c r="L1021" t="str">
        <f t="shared" si="122"/>
        <v>High Risk</v>
      </c>
      <c r="P1021" s="19">
        <f t="shared" si="123"/>
        <v>8454</v>
      </c>
      <c r="R1021" s="19">
        <f t="shared" si="120"/>
        <v>3427505.22</v>
      </c>
      <c r="T1021" s="19">
        <f t="shared" si="124"/>
        <v>1375393.79</v>
      </c>
      <c r="U1021" s="19">
        <f t="shared" si="125"/>
        <v>1464007.73</v>
      </c>
      <c r="V1021" s="21">
        <f t="shared" si="126"/>
        <v>88613.939999999944</v>
      </c>
      <c r="W1021" s="18">
        <f t="shared" si="127"/>
        <v>6.4428050093202724E-2</v>
      </c>
    </row>
    <row r="1022" spans="1:23" x14ac:dyDescent="0.3">
      <c r="A1022" t="s">
        <v>295</v>
      </c>
      <c r="B1022" t="s">
        <v>296</v>
      </c>
      <c r="C1022" t="s">
        <v>37</v>
      </c>
      <c r="D1022" t="s">
        <v>13</v>
      </c>
      <c r="E1022">
        <v>1658</v>
      </c>
      <c r="F1022">
        <v>165.29</v>
      </c>
      <c r="G1022">
        <v>169.64</v>
      </c>
      <c r="H1022">
        <v>165.29</v>
      </c>
      <c r="I1022">
        <v>1874</v>
      </c>
      <c r="J1022">
        <v>12</v>
      </c>
      <c r="K1022" s="17">
        <f t="shared" si="121"/>
        <v>749.6</v>
      </c>
      <c r="L1022" t="str">
        <f t="shared" si="122"/>
        <v>Sufficuent Stock</v>
      </c>
      <c r="P1022" s="19">
        <f t="shared" si="123"/>
        <v>0</v>
      </c>
      <c r="R1022" s="19">
        <f t="shared" si="120"/>
        <v>0</v>
      </c>
      <c r="T1022" s="19">
        <f t="shared" si="124"/>
        <v>317905.36</v>
      </c>
      <c r="U1022" s="19">
        <f t="shared" si="125"/>
        <v>309753.45999999996</v>
      </c>
      <c r="V1022" s="21">
        <f t="shared" si="126"/>
        <v>-8151.9000000000233</v>
      </c>
      <c r="W1022" s="18">
        <f t="shared" si="127"/>
        <v>-2.5642537137467652E-2</v>
      </c>
    </row>
    <row r="1023" spans="1:23" x14ac:dyDescent="0.3">
      <c r="A1023" t="s">
        <v>831</v>
      </c>
      <c r="B1023" t="s">
        <v>2176</v>
      </c>
      <c r="C1023" t="s">
        <v>50</v>
      </c>
      <c r="D1023" t="s">
        <v>13</v>
      </c>
      <c r="E1023">
        <v>1660</v>
      </c>
      <c r="F1023">
        <v>387.72</v>
      </c>
      <c r="G1023">
        <v>382.29</v>
      </c>
      <c r="H1023">
        <v>387.72</v>
      </c>
      <c r="I1023">
        <v>2360</v>
      </c>
      <c r="J1023">
        <v>62</v>
      </c>
      <c r="K1023" s="17">
        <f t="shared" si="121"/>
        <v>4877.3333333333339</v>
      </c>
      <c r="L1023" t="str">
        <f t="shared" si="122"/>
        <v>High Risk</v>
      </c>
      <c r="P1023" s="19">
        <f t="shared" si="123"/>
        <v>3218</v>
      </c>
      <c r="R1023" s="19">
        <f t="shared" si="120"/>
        <v>1247682.9600000002</v>
      </c>
      <c r="T1023" s="19">
        <f t="shared" si="124"/>
        <v>902204.4</v>
      </c>
      <c r="U1023" s="19">
        <f t="shared" si="125"/>
        <v>915019.20000000007</v>
      </c>
      <c r="V1023" s="21">
        <f t="shared" si="126"/>
        <v>12814.800000000047</v>
      </c>
      <c r="W1023" s="18">
        <f t="shared" si="127"/>
        <v>1.4203876638154332E-2</v>
      </c>
    </row>
    <row r="1024" spans="1:23" x14ac:dyDescent="0.3">
      <c r="A1024" t="s">
        <v>235</v>
      </c>
      <c r="B1024" t="s">
        <v>822</v>
      </c>
      <c r="C1024" t="s">
        <v>50</v>
      </c>
      <c r="D1024" t="s">
        <v>26</v>
      </c>
      <c r="E1024">
        <v>1661</v>
      </c>
      <c r="F1024">
        <v>353.52</v>
      </c>
      <c r="G1024">
        <v>300.33</v>
      </c>
      <c r="H1024">
        <v>353.52</v>
      </c>
      <c r="I1024">
        <v>1958</v>
      </c>
      <c r="J1024">
        <v>61</v>
      </c>
      <c r="K1024" s="17">
        <f t="shared" si="121"/>
        <v>3981.2666666666664</v>
      </c>
      <c r="L1024" t="str">
        <f t="shared" si="122"/>
        <v>High Risk</v>
      </c>
      <c r="P1024" s="19">
        <f t="shared" si="123"/>
        <v>2321</v>
      </c>
      <c r="R1024" s="19">
        <f t="shared" si="120"/>
        <v>820519.91999999993</v>
      </c>
      <c r="T1024" s="19">
        <f t="shared" si="124"/>
        <v>588046.14</v>
      </c>
      <c r="U1024" s="19">
        <f t="shared" si="125"/>
        <v>692192.15999999992</v>
      </c>
      <c r="V1024" s="21">
        <f t="shared" si="126"/>
        <v>104146.0199999999</v>
      </c>
      <c r="W1024" s="18">
        <f t="shared" si="127"/>
        <v>0.17710518429727282</v>
      </c>
    </row>
    <row r="1025" spans="1:23" x14ac:dyDescent="0.3">
      <c r="A1025" t="s">
        <v>917</v>
      </c>
      <c r="B1025" t="s">
        <v>2229</v>
      </c>
      <c r="C1025" t="s">
        <v>16</v>
      </c>
      <c r="D1025" t="s">
        <v>69</v>
      </c>
      <c r="E1025">
        <v>1661</v>
      </c>
      <c r="F1025">
        <v>93.5</v>
      </c>
      <c r="G1025">
        <v>103.5</v>
      </c>
      <c r="H1025">
        <v>93.5</v>
      </c>
      <c r="I1025">
        <v>1467</v>
      </c>
      <c r="J1025">
        <v>7</v>
      </c>
      <c r="K1025" s="17">
        <f t="shared" si="121"/>
        <v>342.3</v>
      </c>
      <c r="L1025" t="str">
        <f t="shared" si="122"/>
        <v>Sufficuent Stock</v>
      </c>
      <c r="P1025" s="19">
        <f t="shared" si="123"/>
        <v>0</v>
      </c>
      <c r="R1025" s="19">
        <f t="shared" si="120"/>
        <v>0</v>
      </c>
      <c r="T1025" s="19">
        <f t="shared" si="124"/>
        <v>151834.5</v>
      </c>
      <c r="U1025" s="19">
        <f t="shared" si="125"/>
        <v>137164.5</v>
      </c>
      <c r="V1025" s="21">
        <f t="shared" si="126"/>
        <v>-14670</v>
      </c>
      <c r="W1025" s="18">
        <f t="shared" si="127"/>
        <v>-9.6618357487922704E-2</v>
      </c>
    </row>
    <row r="1026" spans="1:23" x14ac:dyDescent="0.3">
      <c r="A1026" t="s">
        <v>430</v>
      </c>
      <c r="B1026" t="s">
        <v>1675</v>
      </c>
      <c r="C1026" t="s">
        <v>12</v>
      </c>
      <c r="D1026" t="s">
        <v>20</v>
      </c>
      <c r="E1026">
        <v>1662</v>
      </c>
      <c r="F1026">
        <v>126.74</v>
      </c>
      <c r="G1026">
        <v>116.64</v>
      </c>
      <c r="H1026">
        <v>126.74</v>
      </c>
      <c r="I1026">
        <v>2837</v>
      </c>
      <c r="J1026">
        <v>13</v>
      </c>
      <c r="K1026" s="17">
        <f t="shared" si="121"/>
        <v>1229.3666666666666</v>
      </c>
      <c r="L1026" t="str">
        <f t="shared" si="122"/>
        <v>Sufficuent Stock</v>
      </c>
      <c r="P1026" s="19">
        <f t="shared" si="123"/>
        <v>0</v>
      </c>
      <c r="R1026" s="19">
        <f t="shared" ref="R1026:R1089" si="128">P1026*H1026</f>
        <v>0</v>
      </c>
      <c r="T1026" s="19">
        <f t="shared" si="124"/>
        <v>330907.68</v>
      </c>
      <c r="U1026" s="19">
        <f t="shared" si="125"/>
        <v>359561.38</v>
      </c>
      <c r="V1026" s="21">
        <f t="shared" si="126"/>
        <v>28653.700000000012</v>
      </c>
      <c r="W1026" s="18">
        <f t="shared" si="127"/>
        <v>8.6591220850480141E-2</v>
      </c>
    </row>
    <row r="1027" spans="1:23" x14ac:dyDescent="0.3">
      <c r="A1027" t="s">
        <v>278</v>
      </c>
      <c r="B1027" t="s">
        <v>2776</v>
      </c>
      <c r="C1027" t="s">
        <v>50</v>
      </c>
      <c r="D1027" t="s">
        <v>20</v>
      </c>
      <c r="E1027">
        <v>1663</v>
      </c>
      <c r="F1027">
        <v>358.3</v>
      </c>
      <c r="G1027">
        <v>353.35</v>
      </c>
      <c r="H1027">
        <v>358.3</v>
      </c>
      <c r="I1027">
        <v>2597</v>
      </c>
      <c r="J1027">
        <v>85</v>
      </c>
      <c r="K1027" s="17">
        <f t="shared" ref="K1027:K1090" si="129">(I1027/30)*J1027</f>
        <v>7358.1666666666661</v>
      </c>
      <c r="L1027" t="str">
        <f t="shared" ref="L1027:L1090" si="130">IF(E1027&lt;K1027,"High Risk","Sufficuent Stock")</f>
        <v>High Risk</v>
      </c>
      <c r="P1027" s="19">
        <f t="shared" ref="P1027:P1090" si="131">ROUNDUP(MAX(0,K1027-E1027),0)</f>
        <v>5696</v>
      </c>
      <c r="R1027" s="19">
        <f t="shared" si="128"/>
        <v>2040876.8</v>
      </c>
      <c r="T1027" s="19">
        <f t="shared" ref="T1027:T1090" si="132">I1027*G1027</f>
        <v>917649.95000000007</v>
      </c>
      <c r="U1027" s="19">
        <f t="shared" ref="U1027:U1090" si="133">I1027*H1027</f>
        <v>930505.1</v>
      </c>
      <c r="V1027" s="21">
        <f t="shared" ref="V1027:V1090" si="134">U1027-T1027</f>
        <v>12855.149999999907</v>
      </c>
      <c r="W1027" s="18">
        <f t="shared" ref="W1027:W1090" si="135">IFERROR(V1027/T1027,0)</f>
        <v>1.4008773171076733E-2</v>
      </c>
    </row>
    <row r="1028" spans="1:23" x14ac:dyDescent="0.3">
      <c r="A1028" t="s">
        <v>211</v>
      </c>
      <c r="B1028" t="s">
        <v>1218</v>
      </c>
      <c r="C1028" t="s">
        <v>23</v>
      </c>
      <c r="D1028" t="s">
        <v>26</v>
      </c>
      <c r="E1028">
        <v>1663</v>
      </c>
      <c r="F1028">
        <v>468.02</v>
      </c>
      <c r="G1028">
        <v>459.43</v>
      </c>
      <c r="H1028">
        <v>468.02</v>
      </c>
      <c r="I1028">
        <v>2816</v>
      </c>
      <c r="J1028">
        <v>20</v>
      </c>
      <c r="K1028" s="17">
        <f t="shared" si="129"/>
        <v>1877.3333333333333</v>
      </c>
      <c r="L1028" t="str">
        <f t="shared" si="130"/>
        <v>High Risk</v>
      </c>
      <c r="P1028" s="19">
        <f t="shared" si="131"/>
        <v>215</v>
      </c>
      <c r="R1028" s="19">
        <f t="shared" si="128"/>
        <v>100624.3</v>
      </c>
      <c r="T1028" s="19">
        <f t="shared" si="132"/>
        <v>1293754.8800000001</v>
      </c>
      <c r="U1028" s="19">
        <f t="shared" si="133"/>
        <v>1317944.3199999998</v>
      </c>
      <c r="V1028" s="21">
        <f t="shared" si="134"/>
        <v>24189.439999999711</v>
      </c>
      <c r="W1028" s="18">
        <f t="shared" si="135"/>
        <v>1.8697081165792169E-2</v>
      </c>
    </row>
    <row r="1029" spans="1:23" x14ac:dyDescent="0.3">
      <c r="A1029" t="s">
        <v>382</v>
      </c>
      <c r="B1029" t="s">
        <v>3384</v>
      </c>
      <c r="C1029" t="s">
        <v>50</v>
      </c>
      <c r="D1029" t="s">
        <v>13</v>
      </c>
      <c r="E1029">
        <v>1664</v>
      </c>
      <c r="F1029">
        <v>188.18</v>
      </c>
      <c r="G1029">
        <v>205.91</v>
      </c>
      <c r="H1029">
        <v>188.18</v>
      </c>
      <c r="I1029">
        <v>2656</v>
      </c>
      <c r="J1029">
        <v>85</v>
      </c>
      <c r="K1029" s="17">
        <f t="shared" si="129"/>
        <v>7525.333333333333</v>
      </c>
      <c r="L1029" t="str">
        <f t="shared" si="130"/>
        <v>High Risk</v>
      </c>
      <c r="P1029" s="19">
        <f t="shared" si="131"/>
        <v>5862</v>
      </c>
      <c r="R1029" s="19">
        <f t="shared" si="128"/>
        <v>1103111.1600000001</v>
      </c>
      <c r="T1029" s="19">
        <f t="shared" si="132"/>
        <v>546896.96</v>
      </c>
      <c r="U1029" s="19">
        <f t="shared" si="133"/>
        <v>499806.08</v>
      </c>
      <c r="V1029" s="21">
        <f t="shared" si="134"/>
        <v>-47090.879999999946</v>
      </c>
      <c r="W1029" s="18">
        <f t="shared" si="135"/>
        <v>-8.6105580107813995E-2</v>
      </c>
    </row>
    <row r="1030" spans="1:23" x14ac:dyDescent="0.3">
      <c r="A1030" t="s">
        <v>838</v>
      </c>
      <c r="B1030" t="s">
        <v>1648</v>
      </c>
      <c r="C1030" t="s">
        <v>23</v>
      </c>
      <c r="D1030" t="s">
        <v>26</v>
      </c>
      <c r="E1030">
        <v>1665</v>
      </c>
      <c r="F1030">
        <v>361.47</v>
      </c>
      <c r="G1030">
        <v>379.18</v>
      </c>
      <c r="H1030">
        <v>361.47</v>
      </c>
      <c r="I1030">
        <v>3529</v>
      </c>
      <c r="J1030">
        <v>26</v>
      </c>
      <c r="K1030" s="17">
        <f t="shared" si="129"/>
        <v>3058.4666666666667</v>
      </c>
      <c r="L1030" t="str">
        <f t="shared" si="130"/>
        <v>High Risk</v>
      </c>
      <c r="P1030" s="19">
        <f t="shared" si="131"/>
        <v>1394</v>
      </c>
      <c r="R1030" s="19">
        <f t="shared" si="128"/>
        <v>503889.18000000005</v>
      </c>
      <c r="T1030" s="19">
        <f t="shared" si="132"/>
        <v>1338126.22</v>
      </c>
      <c r="U1030" s="19">
        <f t="shared" si="133"/>
        <v>1275627.6300000001</v>
      </c>
      <c r="V1030" s="21">
        <f t="shared" si="134"/>
        <v>-62498.589999999851</v>
      </c>
      <c r="W1030" s="18">
        <f t="shared" si="135"/>
        <v>-4.6706049897146364E-2</v>
      </c>
    </row>
    <row r="1031" spans="1:23" x14ac:dyDescent="0.3">
      <c r="A1031" t="s">
        <v>1534</v>
      </c>
      <c r="B1031" t="s">
        <v>1934</v>
      </c>
      <c r="C1031" t="s">
        <v>16</v>
      </c>
      <c r="D1031" t="s">
        <v>13</v>
      </c>
      <c r="E1031">
        <v>1665</v>
      </c>
      <c r="F1031">
        <v>525.59</v>
      </c>
      <c r="G1031">
        <v>464.5</v>
      </c>
      <c r="H1031">
        <v>525.59</v>
      </c>
      <c r="I1031">
        <v>1989</v>
      </c>
      <c r="J1031">
        <v>90</v>
      </c>
      <c r="K1031" s="17">
        <f t="shared" si="129"/>
        <v>5967</v>
      </c>
      <c r="L1031" t="str">
        <f t="shared" si="130"/>
        <v>High Risk</v>
      </c>
      <c r="P1031" s="19">
        <f t="shared" si="131"/>
        <v>4302</v>
      </c>
      <c r="R1031" s="19">
        <f t="shared" si="128"/>
        <v>2261088.1800000002</v>
      </c>
      <c r="T1031" s="19">
        <f t="shared" si="132"/>
        <v>923890.5</v>
      </c>
      <c r="U1031" s="19">
        <f t="shared" si="133"/>
        <v>1045398.51</v>
      </c>
      <c r="V1031" s="21">
        <f t="shared" si="134"/>
        <v>121508.01000000001</v>
      </c>
      <c r="W1031" s="18">
        <f t="shared" si="135"/>
        <v>0.13151776103336923</v>
      </c>
    </row>
    <row r="1032" spans="1:23" x14ac:dyDescent="0.3">
      <c r="A1032" t="s">
        <v>1835</v>
      </c>
      <c r="B1032" t="s">
        <v>1918</v>
      </c>
      <c r="C1032" t="s">
        <v>12</v>
      </c>
      <c r="D1032" t="s">
        <v>13</v>
      </c>
      <c r="E1032">
        <v>1665</v>
      </c>
      <c r="F1032">
        <v>299.76</v>
      </c>
      <c r="G1032">
        <v>272.39999999999998</v>
      </c>
      <c r="H1032">
        <v>299.76</v>
      </c>
      <c r="I1032">
        <v>1250</v>
      </c>
      <c r="J1032">
        <v>10</v>
      </c>
      <c r="K1032" s="17">
        <f t="shared" si="129"/>
        <v>416.66666666666663</v>
      </c>
      <c r="L1032" t="str">
        <f t="shared" si="130"/>
        <v>Sufficuent Stock</v>
      </c>
      <c r="P1032" s="19">
        <f t="shared" si="131"/>
        <v>0</v>
      </c>
      <c r="R1032" s="19">
        <f t="shared" si="128"/>
        <v>0</v>
      </c>
      <c r="T1032" s="19">
        <f t="shared" si="132"/>
        <v>340500</v>
      </c>
      <c r="U1032" s="19">
        <f t="shared" si="133"/>
        <v>374700</v>
      </c>
      <c r="V1032" s="21">
        <f t="shared" si="134"/>
        <v>34200</v>
      </c>
      <c r="W1032" s="18">
        <f t="shared" si="135"/>
        <v>0.10044052863436123</v>
      </c>
    </row>
    <row r="1033" spans="1:23" x14ac:dyDescent="0.3">
      <c r="A1033" t="s">
        <v>416</v>
      </c>
      <c r="B1033" t="s">
        <v>1517</v>
      </c>
      <c r="C1033" t="s">
        <v>12</v>
      </c>
      <c r="D1033" t="s">
        <v>69</v>
      </c>
      <c r="E1033">
        <v>1665</v>
      </c>
      <c r="F1033">
        <v>204.62</v>
      </c>
      <c r="G1033">
        <v>223.75</v>
      </c>
      <c r="H1033">
        <v>204.62</v>
      </c>
      <c r="I1033">
        <v>828</v>
      </c>
      <c r="J1033">
        <v>76</v>
      </c>
      <c r="K1033" s="17">
        <f t="shared" si="129"/>
        <v>2097.6</v>
      </c>
      <c r="L1033" t="str">
        <f t="shared" si="130"/>
        <v>High Risk</v>
      </c>
      <c r="P1033" s="19">
        <f t="shared" si="131"/>
        <v>433</v>
      </c>
      <c r="R1033" s="19">
        <f t="shared" si="128"/>
        <v>88600.46</v>
      </c>
      <c r="T1033" s="19">
        <f t="shared" si="132"/>
        <v>185265</v>
      </c>
      <c r="U1033" s="19">
        <f t="shared" si="133"/>
        <v>169425.36000000002</v>
      </c>
      <c r="V1033" s="21">
        <f t="shared" si="134"/>
        <v>-15839.639999999985</v>
      </c>
      <c r="W1033" s="18">
        <f t="shared" si="135"/>
        <v>-8.5497206703910533E-2</v>
      </c>
    </row>
    <row r="1034" spans="1:23" x14ac:dyDescent="0.3">
      <c r="A1034" t="s">
        <v>233</v>
      </c>
      <c r="B1034" t="s">
        <v>2700</v>
      </c>
      <c r="C1034" t="s">
        <v>23</v>
      </c>
      <c r="D1034" t="s">
        <v>13</v>
      </c>
      <c r="E1034">
        <v>1668</v>
      </c>
      <c r="F1034">
        <v>461.22</v>
      </c>
      <c r="G1034">
        <v>389.74</v>
      </c>
      <c r="H1034">
        <v>461.22</v>
      </c>
      <c r="I1034">
        <v>546</v>
      </c>
      <c r="J1034">
        <v>57</v>
      </c>
      <c r="K1034" s="17">
        <f t="shared" si="129"/>
        <v>1037.3999999999999</v>
      </c>
      <c r="L1034" t="str">
        <f t="shared" si="130"/>
        <v>Sufficuent Stock</v>
      </c>
      <c r="P1034" s="19">
        <f t="shared" si="131"/>
        <v>0</v>
      </c>
      <c r="R1034" s="19">
        <f t="shared" si="128"/>
        <v>0</v>
      </c>
      <c r="T1034" s="19">
        <f t="shared" si="132"/>
        <v>212798.04</v>
      </c>
      <c r="U1034" s="19">
        <f t="shared" si="133"/>
        <v>251826.12000000002</v>
      </c>
      <c r="V1034" s="21">
        <f t="shared" si="134"/>
        <v>39028.080000000016</v>
      </c>
      <c r="W1034" s="18">
        <f t="shared" si="135"/>
        <v>0.18340432082927086</v>
      </c>
    </row>
    <row r="1035" spans="1:23" x14ac:dyDescent="0.3">
      <c r="A1035" t="s">
        <v>686</v>
      </c>
      <c r="B1035" t="s">
        <v>687</v>
      </c>
      <c r="C1035" t="s">
        <v>16</v>
      </c>
      <c r="D1035" t="s">
        <v>17</v>
      </c>
      <c r="E1035">
        <v>1670</v>
      </c>
      <c r="F1035">
        <v>211.01</v>
      </c>
      <c r="G1035">
        <v>219.55</v>
      </c>
      <c r="H1035">
        <v>211.01</v>
      </c>
      <c r="I1035">
        <v>3913</v>
      </c>
      <c r="J1035">
        <v>54</v>
      </c>
      <c r="K1035" s="17">
        <f t="shared" si="129"/>
        <v>7043.4000000000005</v>
      </c>
      <c r="L1035" t="str">
        <f t="shared" si="130"/>
        <v>High Risk</v>
      </c>
      <c r="P1035" s="19">
        <f t="shared" si="131"/>
        <v>5374</v>
      </c>
      <c r="R1035" s="19">
        <f t="shared" si="128"/>
        <v>1133967.74</v>
      </c>
      <c r="T1035" s="19">
        <f t="shared" si="132"/>
        <v>859099.15</v>
      </c>
      <c r="U1035" s="19">
        <f t="shared" si="133"/>
        <v>825682.13</v>
      </c>
      <c r="V1035" s="21">
        <f t="shared" si="134"/>
        <v>-33417.020000000019</v>
      </c>
      <c r="W1035" s="18">
        <f t="shared" si="135"/>
        <v>-3.8897745388294262E-2</v>
      </c>
    </row>
    <row r="1036" spans="1:23" x14ac:dyDescent="0.3">
      <c r="A1036" t="s">
        <v>436</v>
      </c>
      <c r="B1036" t="s">
        <v>2035</v>
      </c>
      <c r="C1036" t="s">
        <v>12</v>
      </c>
      <c r="D1036" t="s">
        <v>13</v>
      </c>
      <c r="E1036">
        <v>1672</v>
      </c>
      <c r="F1036">
        <v>244.29</v>
      </c>
      <c r="G1036">
        <v>205.12</v>
      </c>
      <c r="H1036">
        <v>244.29</v>
      </c>
      <c r="I1036">
        <v>2080</v>
      </c>
      <c r="J1036">
        <v>82</v>
      </c>
      <c r="K1036" s="17">
        <f t="shared" si="129"/>
        <v>5685.333333333333</v>
      </c>
      <c r="L1036" t="str">
        <f t="shared" si="130"/>
        <v>High Risk</v>
      </c>
      <c r="P1036" s="19">
        <f t="shared" si="131"/>
        <v>4014</v>
      </c>
      <c r="R1036" s="19">
        <f t="shared" si="128"/>
        <v>980580.05999999994</v>
      </c>
      <c r="T1036" s="19">
        <f t="shared" si="132"/>
        <v>426649.60000000003</v>
      </c>
      <c r="U1036" s="19">
        <f t="shared" si="133"/>
        <v>508123.2</v>
      </c>
      <c r="V1036" s="21">
        <f t="shared" si="134"/>
        <v>81473.599999999977</v>
      </c>
      <c r="W1036" s="18">
        <f t="shared" si="135"/>
        <v>0.19096138845553814</v>
      </c>
    </row>
    <row r="1037" spans="1:23" x14ac:dyDescent="0.3">
      <c r="A1037" t="s">
        <v>444</v>
      </c>
      <c r="B1037" t="s">
        <v>2988</v>
      </c>
      <c r="C1037" t="s">
        <v>23</v>
      </c>
      <c r="D1037" t="s">
        <v>17</v>
      </c>
      <c r="E1037">
        <v>1672</v>
      </c>
      <c r="F1037">
        <v>390.96</v>
      </c>
      <c r="G1037">
        <v>352.36</v>
      </c>
      <c r="H1037">
        <v>390.96</v>
      </c>
      <c r="I1037">
        <v>2769</v>
      </c>
      <c r="J1037">
        <v>84</v>
      </c>
      <c r="K1037" s="17">
        <f t="shared" si="129"/>
        <v>7753.2</v>
      </c>
      <c r="L1037" t="str">
        <f t="shared" si="130"/>
        <v>High Risk</v>
      </c>
      <c r="P1037" s="19">
        <f t="shared" si="131"/>
        <v>6082</v>
      </c>
      <c r="R1037" s="19">
        <f t="shared" si="128"/>
        <v>2377818.7199999997</v>
      </c>
      <c r="T1037" s="19">
        <f t="shared" si="132"/>
        <v>975684.84000000008</v>
      </c>
      <c r="U1037" s="19">
        <f t="shared" si="133"/>
        <v>1082568.24</v>
      </c>
      <c r="V1037" s="21">
        <f t="shared" si="134"/>
        <v>106883.39999999991</v>
      </c>
      <c r="W1037" s="18">
        <f t="shared" si="135"/>
        <v>0.10954705414916552</v>
      </c>
    </row>
    <row r="1038" spans="1:23" x14ac:dyDescent="0.3">
      <c r="A1038" t="s">
        <v>72</v>
      </c>
      <c r="B1038" t="s">
        <v>1697</v>
      </c>
      <c r="C1038" t="s">
        <v>12</v>
      </c>
      <c r="D1038" t="s">
        <v>20</v>
      </c>
      <c r="E1038">
        <v>1674</v>
      </c>
      <c r="F1038">
        <v>177.15</v>
      </c>
      <c r="G1038">
        <v>156.81</v>
      </c>
      <c r="H1038">
        <v>177.15</v>
      </c>
      <c r="I1038">
        <v>3418</v>
      </c>
      <c r="J1038">
        <v>17</v>
      </c>
      <c r="K1038" s="17">
        <f t="shared" si="129"/>
        <v>1936.8666666666668</v>
      </c>
      <c r="L1038" t="str">
        <f t="shared" si="130"/>
        <v>High Risk</v>
      </c>
      <c r="P1038" s="19">
        <f t="shared" si="131"/>
        <v>263</v>
      </c>
      <c r="R1038" s="19">
        <f t="shared" si="128"/>
        <v>46590.450000000004</v>
      </c>
      <c r="T1038" s="19">
        <f t="shared" si="132"/>
        <v>535976.57999999996</v>
      </c>
      <c r="U1038" s="19">
        <f t="shared" si="133"/>
        <v>605498.70000000007</v>
      </c>
      <c r="V1038" s="21">
        <f t="shared" si="134"/>
        <v>69522.120000000112</v>
      </c>
      <c r="W1038" s="18">
        <f t="shared" si="135"/>
        <v>0.12971111536254087</v>
      </c>
    </row>
    <row r="1039" spans="1:23" x14ac:dyDescent="0.3">
      <c r="A1039" t="s">
        <v>2107</v>
      </c>
      <c r="B1039" t="s">
        <v>2108</v>
      </c>
      <c r="C1039" t="s">
        <v>12</v>
      </c>
      <c r="D1039" t="s">
        <v>20</v>
      </c>
      <c r="E1039">
        <v>1677</v>
      </c>
      <c r="F1039">
        <v>488.49</v>
      </c>
      <c r="G1039">
        <v>418.47</v>
      </c>
      <c r="H1039">
        <v>488.49</v>
      </c>
      <c r="I1039">
        <v>2020</v>
      </c>
      <c r="J1039">
        <v>28</v>
      </c>
      <c r="K1039" s="17">
        <f t="shared" si="129"/>
        <v>1885.3333333333333</v>
      </c>
      <c r="L1039" t="str">
        <f t="shared" si="130"/>
        <v>High Risk</v>
      </c>
      <c r="P1039" s="19">
        <f t="shared" si="131"/>
        <v>209</v>
      </c>
      <c r="R1039" s="19">
        <f t="shared" si="128"/>
        <v>102094.41</v>
      </c>
      <c r="T1039" s="19">
        <f t="shared" si="132"/>
        <v>845309.4</v>
      </c>
      <c r="U1039" s="19">
        <f t="shared" si="133"/>
        <v>986749.8</v>
      </c>
      <c r="V1039" s="21">
        <f t="shared" si="134"/>
        <v>141440.40000000002</v>
      </c>
      <c r="W1039" s="18">
        <f t="shared" si="135"/>
        <v>0.16732382249623631</v>
      </c>
    </row>
    <row r="1040" spans="1:23" x14ac:dyDescent="0.3">
      <c r="A1040" t="s">
        <v>464</v>
      </c>
      <c r="B1040" t="s">
        <v>2560</v>
      </c>
      <c r="C1040" t="s">
        <v>12</v>
      </c>
      <c r="D1040" t="s">
        <v>26</v>
      </c>
      <c r="E1040">
        <v>1678</v>
      </c>
      <c r="F1040">
        <v>70.61</v>
      </c>
      <c r="G1040">
        <v>63.45</v>
      </c>
      <c r="H1040">
        <v>70.61</v>
      </c>
      <c r="I1040">
        <v>3978</v>
      </c>
      <c r="J1040">
        <v>43</v>
      </c>
      <c r="K1040" s="17">
        <f t="shared" si="129"/>
        <v>5701.8</v>
      </c>
      <c r="L1040" t="str">
        <f t="shared" si="130"/>
        <v>High Risk</v>
      </c>
      <c r="P1040" s="19">
        <f t="shared" si="131"/>
        <v>4024</v>
      </c>
      <c r="R1040" s="19">
        <f t="shared" si="128"/>
        <v>284134.64</v>
      </c>
      <c r="T1040" s="19">
        <f t="shared" si="132"/>
        <v>252404.1</v>
      </c>
      <c r="U1040" s="19">
        <f t="shared" si="133"/>
        <v>280886.58</v>
      </c>
      <c r="V1040" s="21">
        <f t="shared" si="134"/>
        <v>28482.48000000001</v>
      </c>
      <c r="W1040" s="18">
        <f t="shared" si="135"/>
        <v>0.11284475965327033</v>
      </c>
    </row>
    <row r="1041" spans="1:23" x14ac:dyDescent="0.3">
      <c r="A1041" t="s">
        <v>76</v>
      </c>
      <c r="B1041" t="s">
        <v>77</v>
      </c>
      <c r="C1041" t="s">
        <v>23</v>
      </c>
      <c r="D1041" t="s">
        <v>26</v>
      </c>
      <c r="E1041">
        <v>1680</v>
      </c>
      <c r="F1041">
        <v>61.58</v>
      </c>
      <c r="G1041">
        <v>59.19</v>
      </c>
      <c r="H1041">
        <v>61.58</v>
      </c>
      <c r="I1041">
        <v>1175</v>
      </c>
      <c r="J1041">
        <v>11</v>
      </c>
      <c r="K1041" s="17">
        <f t="shared" si="129"/>
        <v>430.83333333333331</v>
      </c>
      <c r="L1041" t="str">
        <f t="shared" si="130"/>
        <v>Sufficuent Stock</v>
      </c>
      <c r="P1041" s="19">
        <f t="shared" si="131"/>
        <v>0</v>
      </c>
      <c r="R1041" s="19">
        <f t="shared" si="128"/>
        <v>0</v>
      </c>
      <c r="T1041" s="19">
        <f t="shared" si="132"/>
        <v>69548.25</v>
      </c>
      <c r="U1041" s="19">
        <f t="shared" si="133"/>
        <v>72356.5</v>
      </c>
      <c r="V1041" s="21">
        <f t="shared" si="134"/>
        <v>2808.25</v>
      </c>
      <c r="W1041" s="18">
        <f t="shared" si="135"/>
        <v>4.0378442304443318E-2</v>
      </c>
    </row>
    <row r="1042" spans="1:23" x14ac:dyDescent="0.3">
      <c r="A1042" t="s">
        <v>65</v>
      </c>
      <c r="B1042" t="s">
        <v>2693</v>
      </c>
      <c r="C1042" t="s">
        <v>12</v>
      </c>
      <c r="D1042" t="s">
        <v>17</v>
      </c>
      <c r="E1042">
        <v>1680</v>
      </c>
      <c r="F1042">
        <v>26.83</v>
      </c>
      <c r="G1042">
        <v>29.04</v>
      </c>
      <c r="H1042">
        <v>26.83</v>
      </c>
      <c r="I1042">
        <v>3709</v>
      </c>
      <c r="J1042">
        <v>39</v>
      </c>
      <c r="K1042" s="17">
        <f t="shared" si="129"/>
        <v>4821.7</v>
      </c>
      <c r="L1042" t="str">
        <f t="shared" si="130"/>
        <v>High Risk</v>
      </c>
      <c r="P1042" s="19">
        <f t="shared" si="131"/>
        <v>3142</v>
      </c>
      <c r="R1042" s="19">
        <f t="shared" si="128"/>
        <v>84299.86</v>
      </c>
      <c r="T1042" s="19">
        <f t="shared" si="132"/>
        <v>107709.36</v>
      </c>
      <c r="U1042" s="19">
        <f t="shared" si="133"/>
        <v>99512.469999999987</v>
      </c>
      <c r="V1042" s="21">
        <f t="shared" si="134"/>
        <v>-8196.890000000014</v>
      </c>
      <c r="W1042" s="18">
        <f t="shared" si="135"/>
        <v>-7.6101928374655778E-2</v>
      </c>
    </row>
    <row r="1043" spans="1:23" x14ac:dyDescent="0.3">
      <c r="A1043" t="s">
        <v>256</v>
      </c>
      <c r="B1043" t="s">
        <v>1561</v>
      </c>
      <c r="C1043" t="s">
        <v>50</v>
      </c>
      <c r="D1043" t="s">
        <v>13</v>
      </c>
      <c r="E1043">
        <v>1681</v>
      </c>
      <c r="F1043">
        <v>105.87</v>
      </c>
      <c r="G1043">
        <v>111.12</v>
      </c>
      <c r="H1043">
        <v>105.87</v>
      </c>
      <c r="I1043">
        <v>3592</v>
      </c>
      <c r="J1043">
        <v>20</v>
      </c>
      <c r="K1043" s="17">
        <f t="shared" si="129"/>
        <v>2394.6666666666665</v>
      </c>
      <c r="L1043" t="str">
        <f t="shared" si="130"/>
        <v>High Risk</v>
      </c>
      <c r="P1043" s="19">
        <f t="shared" si="131"/>
        <v>714</v>
      </c>
      <c r="R1043" s="19">
        <f t="shared" si="128"/>
        <v>75591.180000000008</v>
      </c>
      <c r="T1043" s="19">
        <f t="shared" si="132"/>
        <v>399143.04000000004</v>
      </c>
      <c r="U1043" s="19">
        <f t="shared" si="133"/>
        <v>380285.04000000004</v>
      </c>
      <c r="V1043" s="21">
        <f t="shared" si="134"/>
        <v>-18858</v>
      </c>
      <c r="W1043" s="18">
        <f t="shared" si="135"/>
        <v>-4.7246220302375803E-2</v>
      </c>
    </row>
    <row r="1044" spans="1:23" x14ac:dyDescent="0.3">
      <c r="A1044" t="s">
        <v>88</v>
      </c>
      <c r="B1044" t="s">
        <v>2120</v>
      </c>
      <c r="C1044" t="s">
        <v>23</v>
      </c>
      <c r="D1044" t="s">
        <v>13</v>
      </c>
      <c r="E1044">
        <v>1681</v>
      </c>
      <c r="F1044">
        <v>380.1</v>
      </c>
      <c r="G1044">
        <v>396.51</v>
      </c>
      <c r="H1044">
        <v>380.1</v>
      </c>
      <c r="I1044">
        <v>382</v>
      </c>
      <c r="J1044">
        <v>21</v>
      </c>
      <c r="K1044" s="17">
        <f t="shared" si="129"/>
        <v>267.39999999999998</v>
      </c>
      <c r="L1044" t="str">
        <f t="shared" si="130"/>
        <v>Sufficuent Stock</v>
      </c>
      <c r="P1044" s="19">
        <f t="shared" si="131"/>
        <v>0</v>
      </c>
      <c r="R1044" s="19">
        <f t="shared" si="128"/>
        <v>0</v>
      </c>
      <c r="T1044" s="19">
        <f t="shared" si="132"/>
        <v>151466.82</v>
      </c>
      <c r="U1044" s="19">
        <f t="shared" si="133"/>
        <v>145198.20000000001</v>
      </c>
      <c r="V1044" s="21">
        <f t="shared" si="134"/>
        <v>-6268.6199999999953</v>
      </c>
      <c r="W1044" s="18">
        <f t="shared" si="135"/>
        <v>-4.1386093667246694E-2</v>
      </c>
    </row>
    <row r="1045" spans="1:23" x14ac:dyDescent="0.3">
      <c r="A1045" t="s">
        <v>521</v>
      </c>
      <c r="B1045" t="s">
        <v>596</v>
      </c>
      <c r="C1045" t="s">
        <v>23</v>
      </c>
      <c r="D1045" t="s">
        <v>13</v>
      </c>
      <c r="E1045">
        <v>1682</v>
      </c>
      <c r="F1045">
        <v>277.88</v>
      </c>
      <c r="G1045">
        <v>285.68</v>
      </c>
      <c r="H1045">
        <v>277.88</v>
      </c>
      <c r="I1045">
        <v>1476</v>
      </c>
      <c r="J1045">
        <v>21</v>
      </c>
      <c r="K1045" s="17">
        <f t="shared" si="129"/>
        <v>1033.2</v>
      </c>
      <c r="L1045" t="str">
        <f t="shared" si="130"/>
        <v>Sufficuent Stock</v>
      </c>
      <c r="P1045" s="19">
        <f t="shared" si="131"/>
        <v>0</v>
      </c>
      <c r="R1045" s="19">
        <f t="shared" si="128"/>
        <v>0</v>
      </c>
      <c r="T1045" s="19">
        <f t="shared" si="132"/>
        <v>421663.68</v>
      </c>
      <c r="U1045" s="19">
        <f t="shared" si="133"/>
        <v>410150.88</v>
      </c>
      <c r="V1045" s="21">
        <f t="shared" si="134"/>
        <v>-11512.799999999988</v>
      </c>
      <c r="W1045" s="18">
        <f t="shared" si="135"/>
        <v>-2.7303276393167153E-2</v>
      </c>
    </row>
    <row r="1046" spans="1:23" x14ac:dyDescent="0.3">
      <c r="A1046" t="s">
        <v>759</v>
      </c>
      <c r="B1046" t="s">
        <v>2877</v>
      </c>
      <c r="C1046" t="s">
        <v>37</v>
      </c>
      <c r="D1046" t="s">
        <v>69</v>
      </c>
      <c r="E1046">
        <v>1686</v>
      </c>
      <c r="F1046">
        <v>64.34</v>
      </c>
      <c r="G1046">
        <v>64.72</v>
      </c>
      <c r="H1046">
        <v>64.34</v>
      </c>
      <c r="I1046">
        <v>2168</v>
      </c>
      <c r="J1046">
        <v>77</v>
      </c>
      <c r="K1046" s="17">
        <f t="shared" si="129"/>
        <v>5564.5333333333328</v>
      </c>
      <c r="L1046" t="str">
        <f t="shared" si="130"/>
        <v>High Risk</v>
      </c>
      <c r="P1046" s="19">
        <f t="shared" si="131"/>
        <v>3879</v>
      </c>
      <c r="R1046" s="19">
        <f t="shared" si="128"/>
        <v>249574.86000000002</v>
      </c>
      <c r="T1046" s="19">
        <f t="shared" si="132"/>
        <v>140312.95999999999</v>
      </c>
      <c r="U1046" s="19">
        <f t="shared" si="133"/>
        <v>139489.12</v>
      </c>
      <c r="V1046" s="21">
        <f t="shared" si="134"/>
        <v>-823.83999999999651</v>
      </c>
      <c r="W1046" s="18">
        <f t="shared" si="135"/>
        <v>-5.8714462299134492E-3</v>
      </c>
    </row>
    <row r="1047" spans="1:23" x14ac:dyDescent="0.3">
      <c r="A1047" t="s">
        <v>46</v>
      </c>
      <c r="B1047" t="s">
        <v>771</v>
      </c>
      <c r="C1047" t="s">
        <v>50</v>
      </c>
      <c r="D1047" t="s">
        <v>13</v>
      </c>
      <c r="E1047">
        <v>1689</v>
      </c>
      <c r="F1047">
        <v>251.23</v>
      </c>
      <c r="G1047">
        <v>210.25</v>
      </c>
      <c r="H1047">
        <v>251.23</v>
      </c>
      <c r="I1047">
        <v>3452</v>
      </c>
      <c r="J1047">
        <v>22</v>
      </c>
      <c r="K1047" s="17">
        <f t="shared" si="129"/>
        <v>2531.4666666666667</v>
      </c>
      <c r="L1047" t="str">
        <f t="shared" si="130"/>
        <v>High Risk</v>
      </c>
      <c r="P1047" s="19">
        <f t="shared" si="131"/>
        <v>843</v>
      </c>
      <c r="R1047" s="19">
        <f t="shared" si="128"/>
        <v>211786.88999999998</v>
      </c>
      <c r="T1047" s="19">
        <f t="shared" si="132"/>
        <v>725783</v>
      </c>
      <c r="U1047" s="19">
        <f t="shared" si="133"/>
        <v>867245.96</v>
      </c>
      <c r="V1047" s="21">
        <f t="shared" si="134"/>
        <v>141462.95999999996</v>
      </c>
      <c r="W1047" s="18">
        <f t="shared" si="135"/>
        <v>0.19491082045184299</v>
      </c>
    </row>
    <row r="1048" spans="1:23" x14ac:dyDescent="0.3">
      <c r="A1048" t="s">
        <v>444</v>
      </c>
      <c r="B1048" t="s">
        <v>2031</v>
      </c>
      <c r="C1048" t="s">
        <v>12</v>
      </c>
      <c r="D1048" t="s">
        <v>26</v>
      </c>
      <c r="E1048">
        <v>1692</v>
      </c>
      <c r="F1048">
        <v>362.35</v>
      </c>
      <c r="G1048">
        <v>320.99</v>
      </c>
      <c r="H1048">
        <v>362.35</v>
      </c>
      <c r="I1048">
        <v>1076</v>
      </c>
      <c r="J1048">
        <v>79</v>
      </c>
      <c r="K1048" s="17">
        <f t="shared" si="129"/>
        <v>2833.4666666666667</v>
      </c>
      <c r="L1048" t="str">
        <f t="shared" si="130"/>
        <v>High Risk</v>
      </c>
      <c r="P1048" s="19">
        <f t="shared" si="131"/>
        <v>1142</v>
      </c>
      <c r="R1048" s="19">
        <f t="shared" si="128"/>
        <v>413803.7</v>
      </c>
      <c r="T1048" s="19">
        <f t="shared" si="132"/>
        <v>345385.24</v>
      </c>
      <c r="U1048" s="19">
        <f t="shared" si="133"/>
        <v>389888.60000000003</v>
      </c>
      <c r="V1048" s="21">
        <f t="shared" si="134"/>
        <v>44503.360000000044</v>
      </c>
      <c r="W1048" s="18">
        <f t="shared" si="135"/>
        <v>0.12885136608617104</v>
      </c>
    </row>
    <row r="1049" spans="1:23" x14ac:dyDescent="0.3">
      <c r="A1049" t="s">
        <v>51</v>
      </c>
      <c r="B1049" t="s">
        <v>2157</v>
      </c>
      <c r="C1049" t="s">
        <v>37</v>
      </c>
      <c r="D1049" t="s">
        <v>13</v>
      </c>
      <c r="E1049">
        <v>1695</v>
      </c>
      <c r="F1049">
        <v>393.73</v>
      </c>
      <c r="G1049">
        <v>367.36</v>
      </c>
      <c r="H1049">
        <v>393.73</v>
      </c>
      <c r="I1049">
        <v>288</v>
      </c>
      <c r="J1049">
        <v>42</v>
      </c>
      <c r="K1049" s="17">
        <f t="shared" si="129"/>
        <v>403.2</v>
      </c>
      <c r="L1049" t="str">
        <f t="shared" si="130"/>
        <v>Sufficuent Stock</v>
      </c>
      <c r="P1049" s="19">
        <f t="shared" si="131"/>
        <v>0</v>
      </c>
      <c r="R1049" s="19">
        <f t="shared" si="128"/>
        <v>0</v>
      </c>
      <c r="T1049" s="19">
        <f t="shared" si="132"/>
        <v>105799.68000000001</v>
      </c>
      <c r="U1049" s="19">
        <f t="shared" si="133"/>
        <v>113394.24000000001</v>
      </c>
      <c r="V1049" s="21">
        <f t="shared" si="134"/>
        <v>7594.5599999999977</v>
      </c>
      <c r="W1049" s="18">
        <f t="shared" si="135"/>
        <v>7.1782447735191615E-2</v>
      </c>
    </row>
    <row r="1050" spans="1:23" x14ac:dyDescent="0.3">
      <c r="A1050" t="s">
        <v>659</v>
      </c>
      <c r="B1050" t="s">
        <v>899</v>
      </c>
      <c r="C1050" t="s">
        <v>16</v>
      </c>
      <c r="D1050" t="s">
        <v>69</v>
      </c>
      <c r="E1050">
        <v>1696</v>
      </c>
      <c r="F1050">
        <v>453.36</v>
      </c>
      <c r="G1050">
        <v>431.87</v>
      </c>
      <c r="H1050">
        <v>453.36</v>
      </c>
      <c r="I1050">
        <v>3210</v>
      </c>
      <c r="J1050">
        <v>83</v>
      </c>
      <c r="K1050" s="17">
        <f t="shared" si="129"/>
        <v>8881</v>
      </c>
      <c r="L1050" t="str">
        <f t="shared" si="130"/>
        <v>High Risk</v>
      </c>
      <c r="P1050" s="19">
        <f t="shared" si="131"/>
        <v>7185</v>
      </c>
      <c r="R1050" s="19">
        <f t="shared" si="128"/>
        <v>3257391.6</v>
      </c>
      <c r="T1050" s="19">
        <f t="shared" si="132"/>
        <v>1386302.7</v>
      </c>
      <c r="U1050" s="19">
        <f t="shared" si="133"/>
        <v>1455285.6</v>
      </c>
      <c r="V1050" s="21">
        <f t="shared" si="134"/>
        <v>68982.90000000014</v>
      </c>
      <c r="W1050" s="18">
        <f t="shared" si="135"/>
        <v>4.9760344548128013E-2</v>
      </c>
    </row>
    <row r="1051" spans="1:23" x14ac:dyDescent="0.3">
      <c r="A1051" t="s">
        <v>127</v>
      </c>
      <c r="B1051" t="s">
        <v>128</v>
      </c>
      <c r="C1051" t="s">
        <v>12</v>
      </c>
      <c r="D1051" t="s">
        <v>13</v>
      </c>
      <c r="E1051">
        <v>1697</v>
      </c>
      <c r="F1051">
        <v>74.05</v>
      </c>
      <c r="G1051">
        <v>81.99</v>
      </c>
      <c r="H1051">
        <v>74.05</v>
      </c>
      <c r="I1051">
        <v>3007</v>
      </c>
      <c r="J1051">
        <v>86</v>
      </c>
      <c r="K1051" s="17">
        <f t="shared" si="129"/>
        <v>8620.0666666666675</v>
      </c>
      <c r="L1051" t="str">
        <f t="shared" si="130"/>
        <v>High Risk</v>
      </c>
      <c r="P1051" s="19">
        <f t="shared" si="131"/>
        <v>6924</v>
      </c>
      <c r="R1051" s="19">
        <f t="shared" si="128"/>
        <v>512722.19999999995</v>
      </c>
      <c r="T1051" s="19">
        <f t="shared" si="132"/>
        <v>246543.93</v>
      </c>
      <c r="U1051" s="19">
        <f t="shared" si="133"/>
        <v>222668.35</v>
      </c>
      <c r="V1051" s="21">
        <f t="shared" si="134"/>
        <v>-23875.579999999987</v>
      </c>
      <c r="W1051" s="18">
        <f t="shared" si="135"/>
        <v>-9.6841078180265841E-2</v>
      </c>
    </row>
    <row r="1052" spans="1:23" x14ac:dyDescent="0.3">
      <c r="A1052" t="s">
        <v>186</v>
      </c>
      <c r="B1052" t="s">
        <v>1279</v>
      </c>
      <c r="C1052" t="s">
        <v>50</v>
      </c>
      <c r="D1052" t="s">
        <v>20</v>
      </c>
      <c r="E1052">
        <v>1697</v>
      </c>
      <c r="F1052">
        <v>227.46</v>
      </c>
      <c r="G1052">
        <v>207.51</v>
      </c>
      <c r="H1052">
        <v>227.46</v>
      </c>
      <c r="I1052">
        <v>1006</v>
      </c>
      <c r="J1052">
        <v>85</v>
      </c>
      <c r="K1052" s="17">
        <f t="shared" si="129"/>
        <v>2850.333333333333</v>
      </c>
      <c r="L1052" t="str">
        <f t="shared" si="130"/>
        <v>High Risk</v>
      </c>
      <c r="P1052" s="19">
        <f t="shared" si="131"/>
        <v>1154</v>
      </c>
      <c r="R1052" s="19">
        <f t="shared" si="128"/>
        <v>262488.84000000003</v>
      </c>
      <c r="T1052" s="19">
        <f t="shared" si="132"/>
        <v>208755.06</v>
      </c>
      <c r="U1052" s="19">
        <f t="shared" si="133"/>
        <v>228824.76</v>
      </c>
      <c r="V1052" s="21">
        <f t="shared" si="134"/>
        <v>20069.700000000012</v>
      </c>
      <c r="W1052" s="18">
        <f t="shared" si="135"/>
        <v>9.6139945062888588E-2</v>
      </c>
    </row>
    <row r="1053" spans="1:23" x14ac:dyDescent="0.3">
      <c r="A1053" t="s">
        <v>976</v>
      </c>
      <c r="B1053" t="s">
        <v>2370</v>
      </c>
      <c r="C1053" t="s">
        <v>12</v>
      </c>
      <c r="D1053" t="s">
        <v>17</v>
      </c>
      <c r="E1053">
        <v>1699</v>
      </c>
      <c r="F1053">
        <v>389.45</v>
      </c>
      <c r="G1053">
        <v>386.39</v>
      </c>
      <c r="H1053">
        <v>389.45</v>
      </c>
      <c r="I1053">
        <v>3979</v>
      </c>
      <c r="J1053">
        <v>50</v>
      </c>
      <c r="K1053" s="17">
        <f t="shared" si="129"/>
        <v>6631.6666666666661</v>
      </c>
      <c r="L1053" t="str">
        <f t="shared" si="130"/>
        <v>High Risk</v>
      </c>
      <c r="P1053" s="19">
        <f t="shared" si="131"/>
        <v>4933</v>
      </c>
      <c r="R1053" s="19">
        <f t="shared" si="128"/>
        <v>1921156.8499999999</v>
      </c>
      <c r="T1053" s="19">
        <f t="shared" si="132"/>
        <v>1537445.81</v>
      </c>
      <c r="U1053" s="19">
        <f t="shared" si="133"/>
        <v>1549621.55</v>
      </c>
      <c r="V1053" s="21">
        <f t="shared" si="134"/>
        <v>12175.739999999991</v>
      </c>
      <c r="W1053" s="18">
        <f t="shared" si="135"/>
        <v>7.9194596133440251E-3</v>
      </c>
    </row>
    <row r="1054" spans="1:23" x14ac:dyDescent="0.3">
      <c r="A1054" t="s">
        <v>184</v>
      </c>
      <c r="B1054" t="s">
        <v>2464</v>
      </c>
      <c r="C1054" t="s">
        <v>12</v>
      </c>
      <c r="D1054" t="s">
        <v>20</v>
      </c>
      <c r="E1054">
        <v>1700</v>
      </c>
      <c r="F1054">
        <v>337.16</v>
      </c>
      <c r="G1054">
        <v>289.86</v>
      </c>
      <c r="H1054">
        <v>337.16</v>
      </c>
      <c r="I1054">
        <v>758</v>
      </c>
      <c r="J1054">
        <v>25</v>
      </c>
      <c r="K1054" s="17">
        <f t="shared" si="129"/>
        <v>631.66666666666663</v>
      </c>
      <c r="L1054" t="str">
        <f t="shared" si="130"/>
        <v>Sufficuent Stock</v>
      </c>
      <c r="P1054" s="19">
        <f t="shared" si="131"/>
        <v>0</v>
      </c>
      <c r="R1054" s="19">
        <f t="shared" si="128"/>
        <v>0</v>
      </c>
      <c r="T1054" s="19">
        <f t="shared" si="132"/>
        <v>219713.88</v>
      </c>
      <c r="U1054" s="19">
        <f t="shared" si="133"/>
        <v>255567.28000000003</v>
      </c>
      <c r="V1054" s="21">
        <f t="shared" si="134"/>
        <v>35853.400000000023</v>
      </c>
      <c r="W1054" s="18">
        <f t="shared" si="135"/>
        <v>0.16318222590215978</v>
      </c>
    </row>
    <row r="1055" spans="1:23" x14ac:dyDescent="0.3">
      <c r="A1055" t="s">
        <v>594</v>
      </c>
      <c r="B1055" t="s">
        <v>2578</v>
      </c>
      <c r="C1055" t="s">
        <v>50</v>
      </c>
      <c r="D1055" t="s">
        <v>17</v>
      </c>
      <c r="E1055">
        <v>1701</v>
      </c>
      <c r="F1055">
        <v>207.96</v>
      </c>
      <c r="G1055">
        <v>208.16</v>
      </c>
      <c r="H1055">
        <v>207.96</v>
      </c>
      <c r="I1055">
        <v>1025</v>
      </c>
      <c r="J1055">
        <v>81</v>
      </c>
      <c r="K1055" s="17">
        <f t="shared" si="129"/>
        <v>2767.5</v>
      </c>
      <c r="L1055" t="str">
        <f t="shared" si="130"/>
        <v>High Risk</v>
      </c>
      <c r="P1055" s="19">
        <f t="shared" si="131"/>
        <v>1067</v>
      </c>
      <c r="R1055" s="19">
        <f t="shared" si="128"/>
        <v>221893.32</v>
      </c>
      <c r="T1055" s="19">
        <f t="shared" si="132"/>
        <v>213364</v>
      </c>
      <c r="U1055" s="19">
        <f t="shared" si="133"/>
        <v>213159</v>
      </c>
      <c r="V1055" s="21">
        <f t="shared" si="134"/>
        <v>-205</v>
      </c>
      <c r="W1055" s="18">
        <f t="shared" si="135"/>
        <v>-9.6079938508839349E-4</v>
      </c>
    </row>
    <row r="1056" spans="1:23" x14ac:dyDescent="0.3">
      <c r="A1056" t="s">
        <v>119</v>
      </c>
      <c r="B1056" t="s">
        <v>120</v>
      </c>
      <c r="C1056" t="s">
        <v>16</v>
      </c>
      <c r="D1056" t="s">
        <v>17</v>
      </c>
      <c r="E1056">
        <v>1704</v>
      </c>
      <c r="F1056">
        <v>15.34</v>
      </c>
      <c r="G1056">
        <v>15.9</v>
      </c>
      <c r="H1056">
        <v>15.34</v>
      </c>
      <c r="I1056">
        <v>2975</v>
      </c>
      <c r="J1056">
        <v>54</v>
      </c>
      <c r="K1056" s="17">
        <f t="shared" si="129"/>
        <v>5355</v>
      </c>
      <c r="L1056" t="str">
        <f t="shared" si="130"/>
        <v>High Risk</v>
      </c>
      <c r="P1056" s="19">
        <f t="shared" si="131"/>
        <v>3651</v>
      </c>
      <c r="R1056" s="19">
        <f t="shared" si="128"/>
        <v>56006.34</v>
      </c>
      <c r="T1056" s="19">
        <f t="shared" si="132"/>
        <v>47302.5</v>
      </c>
      <c r="U1056" s="19">
        <f t="shared" si="133"/>
        <v>45636.5</v>
      </c>
      <c r="V1056" s="21">
        <f t="shared" si="134"/>
        <v>-1666</v>
      </c>
      <c r="W1056" s="18">
        <f t="shared" si="135"/>
        <v>-3.5220125786163521E-2</v>
      </c>
    </row>
    <row r="1057" spans="1:23" x14ac:dyDescent="0.3">
      <c r="A1057" t="s">
        <v>879</v>
      </c>
      <c r="B1057" t="s">
        <v>1602</v>
      </c>
      <c r="C1057" t="s">
        <v>16</v>
      </c>
      <c r="D1057" t="s">
        <v>20</v>
      </c>
      <c r="E1057">
        <v>1704</v>
      </c>
      <c r="F1057">
        <v>45.1</v>
      </c>
      <c r="G1057">
        <v>45.16</v>
      </c>
      <c r="H1057">
        <v>45.1</v>
      </c>
      <c r="I1057">
        <v>2472</v>
      </c>
      <c r="J1057">
        <v>23</v>
      </c>
      <c r="K1057" s="17">
        <f t="shared" si="129"/>
        <v>1895.2</v>
      </c>
      <c r="L1057" t="str">
        <f t="shared" si="130"/>
        <v>High Risk</v>
      </c>
      <c r="P1057" s="19">
        <f t="shared" si="131"/>
        <v>192</v>
      </c>
      <c r="R1057" s="19">
        <f t="shared" si="128"/>
        <v>8659.2000000000007</v>
      </c>
      <c r="T1057" s="19">
        <f t="shared" si="132"/>
        <v>111635.51999999999</v>
      </c>
      <c r="U1057" s="19">
        <f t="shared" si="133"/>
        <v>111487.2</v>
      </c>
      <c r="V1057" s="21">
        <f t="shared" si="134"/>
        <v>-148.31999999999243</v>
      </c>
      <c r="W1057" s="18">
        <f t="shared" si="135"/>
        <v>-1.3286093888396134E-3</v>
      </c>
    </row>
    <row r="1058" spans="1:23" x14ac:dyDescent="0.3">
      <c r="A1058" t="s">
        <v>121</v>
      </c>
      <c r="B1058" t="s">
        <v>1794</v>
      </c>
      <c r="C1058" t="s">
        <v>12</v>
      </c>
      <c r="D1058" t="s">
        <v>69</v>
      </c>
      <c r="E1058">
        <v>1705</v>
      </c>
      <c r="F1058">
        <v>174.79</v>
      </c>
      <c r="G1058">
        <v>151.13999999999999</v>
      </c>
      <c r="H1058">
        <v>174.79</v>
      </c>
      <c r="I1058">
        <v>2119</v>
      </c>
      <c r="J1058">
        <v>19</v>
      </c>
      <c r="K1058" s="17">
        <f t="shared" si="129"/>
        <v>1342.0333333333335</v>
      </c>
      <c r="L1058" t="str">
        <f t="shared" si="130"/>
        <v>Sufficuent Stock</v>
      </c>
      <c r="P1058" s="19">
        <f t="shared" si="131"/>
        <v>0</v>
      </c>
      <c r="R1058" s="19">
        <f t="shared" si="128"/>
        <v>0</v>
      </c>
      <c r="T1058" s="19">
        <f t="shared" si="132"/>
        <v>320265.65999999997</v>
      </c>
      <c r="U1058" s="19">
        <f t="shared" si="133"/>
        <v>370380.01</v>
      </c>
      <c r="V1058" s="21">
        <f t="shared" si="134"/>
        <v>50114.350000000035</v>
      </c>
      <c r="W1058" s="18">
        <f t="shared" si="135"/>
        <v>0.15647743813682691</v>
      </c>
    </row>
    <row r="1059" spans="1:23" x14ac:dyDescent="0.3">
      <c r="A1059" t="s">
        <v>850</v>
      </c>
      <c r="B1059" t="s">
        <v>1812</v>
      </c>
      <c r="C1059" t="s">
        <v>12</v>
      </c>
      <c r="D1059" t="s">
        <v>69</v>
      </c>
      <c r="E1059">
        <v>1707</v>
      </c>
      <c r="F1059">
        <v>259.17</v>
      </c>
      <c r="G1059">
        <v>254.14</v>
      </c>
      <c r="H1059">
        <v>259.17</v>
      </c>
      <c r="I1059">
        <v>2148</v>
      </c>
      <c r="J1059">
        <v>40</v>
      </c>
      <c r="K1059" s="17">
        <f t="shared" si="129"/>
        <v>2864</v>
      </c>
      <c r="L1059" t="str">
        <f t="shared" si="130"/>
        <v>High Risk</v>
      </c>
      <c r="P1059" s="19">
        <f t="shared" si="131"/>
        <v>1157</v>
      </c>
      <c r="R1059" s="19">
        <f t="shared" si="128"/>
        <v>299859.69</v>
      </c>
      <c r="T1059" s="19">
        <f t="shared" si="132"/>
        <v>545892.72</v>
      </c>
      <c r="U1059" s="19">
        <f t="shared" si="133"/>
        <v>556697.16</v>
      </c>
      <c r="V1059" s="21">
        <f t="shared" si="134"/>
        <v>10804.440000000061</v>
      </c>
      <c r="W1059" s="18">
        <f t="shared" si="135"/>
        <v>1.9792240497363771E-2</v>
      </c>
    </row>
    <row r="1060" spans="1:23" x14ac:dyDescent="0.3">
      <c r="A1060" t="s">
        <v>163</v>
      </c>
      <c r="B1060" t="s">
        <v>1198</v>
      </c>
      <c r="C1060" t="s">
        <v>16</v>
      </c>
      <c r="D1060" t="s">
        <v>26</v>
      </c>
      <c r="E1060">
        <v>1708</v>
      </c>
      <c r="F1060">
        <v>340.38</v>
      </c>
      <c r="G1060">
        <v>376.69</v>
      </c>
      <c r="H1060">
        <v>340.38</v>
      </c>
      <c r="I1060">
        <v>3159</v>
      </c>
      <c r="J1060">
        <v>8</v>
      </c>
      <c r="K1060" s="17">
        <f t="shared" si="129"/>
        <v>842.4</v>
      </c>
      <c r="L1060" t="str">
        <f t="shared" si="130"/>
        <v>Sufficuent Stock</v>
      </c>
      <c r="P1060" s="19">
        <f t="shared" si="131"/>
        <v>0</v>
      </c>
      <c r="R1060" s="19">
        <f t="shared" si="128"/>
        <v>0</v>
      </c>
      <c r="T1060" s="19">
        <f t="shared" si="132"/>
        <v>1189963.71</v>
      </c>
      <c r="U1060" s="19">
        <f t="shared" si="133"/>
        <v>1075260.42</v>
      </c>
      <c r="V1060" s="21">
        <f t="shared" si="134"/>
        <v>-114703.29000000004</v>
      </c>
      <c r="W1060" s="18">
        <f t="shared" si="135"/>
        <v>-9.6392258886617677E-2</v>
      </c>
    </row>
    <row r="1061" spans="1:23" x14ac:dyDescent="0.3">
      <c r="A1061" t="s">
        <v>782</v>
      </c>
      <c r="B1061" t="s">
        <v>3320</v>
      </c>
      <c r="C1061" t="s">
        <v>50</v>
      </c>
      <c r="D1061" t="s">
        <v>69</v>
      </c>
      <c r="E1061">
        <v>1709</v>
      </c>
      <c r="F1061">
        <v>163.74</v>
      </c>
      <c r="G1061">
        <v>154.81</v>
      </c>
      <c r="H1061">
        <v>163.74</v>
      </c>
      <c r="I1061">
        <v>2803</v>
      </c>
      <c r="J1061">
        <v>24</v>
      </c>
      <c r="K1061" s="17">
        <f t="shared" si="129"/>
        <v>2242.4</v>
      </c>
      <c r="L1061" t="str">
        <f t="shared" si="130"/>
        <v>High Risk</v>
      </c>
      <c r="P1061" s="19">
        <f t="shared" si="131"/>
        <v>534</v>
      </c>
      <c r="R1061" s="19">
        <f t="shared" si="128"/>
        <v>87437.16</v>
      </c>
      <c r="T1061" s="19">
        <f t="shared" si="132"/>
        <v>433932.43</v>
      </c>
      <c r="U1061" s="19">
        <f t="shared" si="133"/>
        <v>458963.22000000003</v>
      </c>
      <c r="V1061" s="21">
        <f t="shared" si="134"/>
        <v>25030.790000000037</v>
      </c>
      <c r="W1061" s="18">
        <f t="shared" si="135"/>
        <v>5.7683612169756565E-2</v>
      </c>
    </row>
    <row r="1062" spans="1:23" x14ac:dyDescent="0.3">
      <c r="A1062" t="s">
        <v>422</v>
      </c>
      <c r="B1062" t="s">
        <v>1852</v>
      </c>
      <c r="C1062" t="s">
        <v>12</v>
      </c>
      <c r="D1062" t="s">
        <v>20</v>
      </c>
      <c r="E1062">
        <v>1711</v>
      </c>
      <c r="F1062">
        <v>365.13</v>
      </c>
      <c r="G1062">
        <v>390.06</v>
      </c>
      <c r="H1062">
        <v>365.13</v>
      </c>
      <c r="I1062">
        <v>1828</v>
      </c>
      <c r="J1062">
        <v>71</v>
      </c>
      <c r="K1062" s="17">
        <f t="shared" si="129"/>
        <v>4326.2666666666664</v>
      </c>
      <c r="L1062" t="str">
        <f t="shared" si="130"/>
        <v>High Risk</v>
      </c>
      <c r="P1062" s="19">
        <f t="shared" si="131"/>
        <v>2616</v>
      </c>
      <c r="R1062" s="19">
        <f t="shared" si="128"/>
        <v>955180.08</v>
      </c>
      <c r="T1062" s="19">
        <f t="shared" si="132"/>
        <v>713029.68</v>
      </c>
      <c r="U1062" s="19">
        <f t="shared" si="133"/>
        <v>667457.64</v>
      </c>
      <c r="V1062" s="21">
        <f t="shared" si="134"/>
        <v>-45572.040000000037</v>
      </c>
      <c r="W1062" s="18">
        <f t="shared" si="135"/>
        <v>-6.3913244116289847E-2</v>
      </c>
    </row>
    <row r="1063" spans="1:23" x14ac:dyDescent="0.3">
      <c r="A1063" t="s">
        <v>298</v>
      </c>
      <c r="B1063" t="s">
        <v>299</v>
      </c>
      <c r="C1063" t="s">
        <v>50</v>
      </c>
      <c r="D1063" t="s">
        <v>26</v>
      </c>
      <c r="E1063">
        <v>1714</v>
      </c>
      <c r="F1063">
        <v>183.47</v>
      </c>
      <c r="G1063">
        <v>169.44</v>
      </c>
      <c r="H1063">
        <v>183.47</v>
      </c>
      <c r="I1063">
        <v>1329</v>
      </c>
      <c r="J1063">
        <v>50</v>
      </c>
      <c r="K1063" s="17">
        <f t="shared" si="129"/>
        <v>2215</v>
      </c>
      <c r="L1063" t="str">
        <f t="shared" si="130"/>
        <v>High Risk</v>
      </c>
      <c r="P1063" s="19">
        <f t="shared" si="131"/>
        <v>501</v>
      </c>
      <c r="R1063" s="19">
        <f t="shared" si="128"/>
        <v>91918.47</v>
      </c>
      <c r="T1063" s="19">
        <f t="shared" si="132"/>
        <v>225185.76</v>
      </c>
      <c r="U1063" s="19">
        <f t="shared" si="133"/>
        <v>243831.63</v>
      </c>
      <c r="V1063" s="21">
        <f t="shared" si="134"/>
        <v>18645.869999999995</v>
      </c>
      <c r="W1063" s="18">
        <f t="shared" si="135"/>
        <v>8.2802171860245494E-2</v>
      </c>
    </row>
    <row r="1064" spans="1:23" x14ac:dyDescent="0.3">
      <c r="A1064" t="s">
        <v>890</v>
      </c>
      <c r="B1064" t="s">
        <v>1541</v>
      </c>
      <c r="C1064" t="s">
        <v>12</v>
      </c>
      <c r="D1064" t="s">
        <v>17</v>
      </c>
      <c r="E1064">
        <v>1715</v>
      </c>
      <c r="F1064">
        <v>168</v>
      </c>
      <c r="G1064">
        <v>183.75</v>
      </c>
      <c r="H1064">
        <v>168</v>
      </c>
      <c r="I1064">
        <v>1103</v>
      </c>
      <c r="J1064">
        <v>19</v>
      </c>
      <c r="K1064" s="17">
        <f t="shared" si="129"/>
        <v>698.56666666666661</v>
      </c>
      <c r="L1064" t="str">
        <f t="shared" si="130"/>
        <v>Sufficuent Stock</v>
      </c>
      <c r="P1064" s="19">
        <f t="shared" si="131"/>
        <v>0</v>
      </c>
      <c r="R1064" s="19">
        <f t="shared" si="128"/>
        <v>0</v>
      </c>
      <c r="T1064" s="19">
        <f t="shared" si="132"/>
        <v>202676.25</v>
      </c>
      <c r="U1064" s="19">
        <f t="shared" si="133"/>
        <v>185304</v>
      </c>
      <c r="V1064" s="21">
        <f t="shared" si="134"/>
        <v>-17372.25</v>
      </c>
      <c r="W1064" s="18">
        <f t="shared" si="135"/>
        <v>-8.5714285714285715E-2</v>
      </c>
    </row>
    <row r="1065" spans="1:23" x14ac:dyDescent="0.3">
      <c r="A1065" t="s">
        <v>306</v>
      </c>
      <c r="B1065" t="s">
        <v>840</v>
      </c>
      <c r="C1065" t="s">
        <v>37</v>
      </c>
      <c r="D1065" t="s">
        <v>20</v>
      </c>
      <c r="E1065">
        <v>1720</v>
      </c>
      <c r="F1065">
        <v>39.96</v>
      </c>
      <c r="G1065">
        <v>43.04</v>
      </c>
      <c r="H1065">
        <v>39.96</v>
      </c>
      <c r="I1065">
        <v>3490</v>
      </c>
      <c r="J1065">
        <v>58</v>
      </c>
      <c r="K1065" s="17">
        <f t="shared" si="129"/>
        <v>6747.333333333333</v>
      </c>
      <c r="L1065" t="str">
        <f t="shared" si="130"/>
        <v>High Risk</v>
      </c>
      <c r="P1065" s="19">
        <f t="shared" si="131"/>
        <v>5028</v>
      </c>
      <c r="R1065" s="19">
        <f t="shared" si="128"/>
        <v>200918.88</v>
      </c>
      <c r="T1065" s="19">
        <f t="shared" si="132"/>
        <v>150209.60000000001</v>
      </c>
      <c r="U1065" s="19">
        <f t="shared" si="133"/>
        <v>139460.4</v>
      </c>
      <c r="V1065" s="21">
        <f t="shared" si="134"/>
        <v>-10749.200000000012</v>
      </c>
      <c r="W1065" s="18">
        <f t="shared" si="135"/>
        <v>-7.1561338289962903E-2</v>
      </c>
    </row>
    <row r="1066" spans="1:23" x14ac:dyDescent="0.3">
      <c r="A1066" t="s">
        <v>231</v>
      </c>
      <c r="B1066" t="s">
        <v>1681</v>
      </c>
      <c r="C1066" t="s">
        <v>50</v>
      </c>
      <c r="D1066" t="s">
        <v>69</v>
      </c>
      <c r="E1066">
        <v>1720</v>
      </c>
      <c r="F1066">
        <v>364.09</v>
      </c>
      <c r="G1066">
        <v>403.56</v>
      </c>
      <c r="H1066">
        <v>364.09</v>
      </c>
      <c r="I1066">
        <v>3511</v>
      </c>
      <c r="J1066">
        <v>30</v>
      </c>
      <c r="K1066" s="17">
        <f t="shared" si="129"/>
        <v>3511</v>
      </c>
      <c r="L1066" t="str">
        <f t="shared" si="130"/>
        <v>High Risk</v>
      </c>
      <c r="P1066" s="19">
        <f t="shared" si="131"/>
        <v>1791</v>
      </c>
      <c r="R1066" s="19">
        <f t="shared" si="128"/>
        <v>652085.18999999994</v>
      </c>
      <c r="T1066" s="19">
        <f t="shared" si="132"/>
        <v>1416899.16</v>
      </c>
      <c r="U1066" s="19">
        <f t="shared" si="133"/>
        <v>1278319.99</v>
      </c>
      <c r="V1066" s="21">
        <f t="shared" si="134"/>
        <v>-138579.16999999993</v>
      </c>
      <c r="W1066" s="18">
        <f t="shared" si="135"/>
        <v>-9.780453959758148E-2</v>
      </c>
    </row>
    <row r="1067" spans="1:23" x14ac:dyDescent="0.3">
      <c r="A1067" t="s">
        <v>1170</v>
      </c>
      <c r="B1067" t="s">
        <v>3016</v>
      </c>
      <c r="C1067" t="s">
        <v>12</v>
      </c>
      <c r="D1067" t="s">
        <v>69</v>
      </c>
      <c r="E1067">
        <v>1723</v>
      </c>
      <c r="F1067">
        <v>162.09</v>
      </c>
      <c r="G1067">
        <v>161.29</v>
      </c>
      <c r="H1067">
        <v>162.09</v>
      </c>
      <c r="I1067">
        <v>316</v>
      </c>
      <c r="J1067">
        <v>52</v>
      </c>
      <c r="K1067" s="17">
        <f t="shared" si="129"/>
        <v>547.73333333333335</v>
      </c>
      <c r="L1067" t="str">
        <f t="shared" si="130"/>
        <v>Sufficuent Stock</v>
      </c>
      <c r="P1067" s="19">
        <f t="shared" si="131"/>
        <v>0</v>
      </c>
      <c r="R1067" s="19">
        <f t="shared" si="128"/>
        <v>0</v>
      </c>
      <c r="T1067" s="19">
        <f t="shared" si="132"/>
        <v>50967.64</v>
      </c>
      <c r="U1067" s="19">
        <f t="shared" si="133"/>
        <v>51220.44</v>
      </c>
      <c r="V1067" s="21">
        <f t="shared" si="134"/>
        <v>252.80000000000291</v>
      </c>
      <c r="W1067" s="18">
        <f t="shared" si="135"/>
        <v>4.9600099200198975E-3</v>
      </c>
    </row>
    <row r="1068" spans="1:23" x14ac:dyDescent="0.3">
      <c r="A1068" t="s">
        <v>98</v>
      </c>
      <c r="B1068" t="s">
        <v>2154</v>
      </c>
      <c r="C1068" t="s">
        <v>12</v>
      </c>
      <c r="D1068" t="s">
        <v>20</v>
      </c>
      <c r="E1068">
        <v>1727</v>
      </c>
      <c r="F1068">
        <v>257.92</v>
      </c>
      <c r="G1068">
        <v>235.75</v>
      </c>
      <c r="H1068">
        <v>257.92</v>
      </c>
      <c r="I1068">
        <v>353</v>
      </c>
      <c r="J1068">
        <v>5</v>
      </c>
      <c r="K1068" s="17">
        <f t="shared" si="129"/>
        <v>58.833333333333336</v>
      </c>
      <c r="L1068" t="str">
        <f t="shared" si="130"/>
        <v>Sufficuent Stock</v>
      </c>
      <c r="P1068" s="19">
        <f t="shared" si="131"/>
        <v>0</v>
      </c>
      <c r="R1068" s="19">
        <f t="shared" si="128"/>
        <v>0</v>
      </c>
      <c r="T1068" s="19">
        <f t="shared" si="132"/>
        <v>83219.75</v>
      </c>
      <c r="U1068" s="19">
        <f t="shared" si="133"/>
        <v>91045.760000000009</v>
      </c>
      <c r="V1068" s="21">
        <f t="shared" si="134"/>
        <v>7826.0100000000093</v>
      </c>
      <c r="W1068" s="18">
        <f t="shared" si="135"/>
        <v>9.4040296924708486E-2</v>
      </c>
    </row>
    <row r="1069" spans="1:23" x14ac:dyDescent="0.3">
      <c r="A1069" t="s">
        <v>1113</v>
      </c>
      <c r="B1069" t="s">
        <v>3357</v>
      </c>
      <c r="C1069" t="s">
        <v>16</v>
      </c>
      <c r="D1069" t="s">
        <v>13</v>
      </c>
      <c r="E1069">
        <v>1727</v>
      </c>
      <c r="F1069">
        <v>74.709999999999994</v>
      </c>
      <c r="G1069">
        <v>82.07</v>
      </c>
      <c r="H1069">
        <v>74.709999999999994</v>
      </c>
      <c r="I1069">
        <v>327</v>
      </c>
      <c r="J1069">
        <v>66</v>
      </c>
      <c r="K1069" s="17">
        <f t="shared" si="129"/>
        <v>719.4</v>
      </c>
      <c r="L1069" t="str">
        <f t="shared" si="130"/>
        <v>Sufficuent Stock</v>
      </c>
      <c r="P1069" s="19">
        <f t="shared" si="131"/>
        <v>0</v>
      </c>
      <c r="R1069" s="19">
        <f t="shared" si="128"/>
        <v>0</v>
      </c>
      <c r="T1069" s="19">
        <f t="shared" si="132"/>
        <v>26836.89</v>
      </c>
      <c r="U1069" s="19">
        <f t="shared" si="133"/>
        <v>24430.17</v>
      </c>
      <c r="V1069" s="21">
        <f t="shared" si="134"/>
        <v>-2406.7200000000012</v>
      </c>
      <c r="W1069" s="18">
        <f t="shared" si="135"/>
        <v>-8.9679541854514488E-2</v>
      </c>
    </row>
    <row r="1070" spans="1:23" x14ac:dyDescent="0.3">
      <c r="A1070" t="s">
        <v>360</v>
      </c>
      <c r="B1070" t="s">
        <v>2626</v>
      </c>
      <c r="C1070" t="s">
        <v>23</v>
      </c>
      <c r="D1070" t="s">
        <v>69</v>
      </c>
      <c r="E1070">
        <v>1727</v>
      </c>
      <c r="F1070">
        <v>329.94</v>
      </c>
      <c r="G1070">
        <v>280.81</v>
      </c>
      <c r="H1070">
        <v>329.94</v>
      </c>
      <c r="I1070">
        <v>396</v>
      </c>
      <c r="J1070">
        <v>53</v>
      </c>
      <c r="K1070" s="17">
        <f t="shared" si="129"/>
        <v>699.59999999999991</v>
      </c>
      <c r="L1070" t="str">
        <f t="shared" si="130"/>
        <v>Sufficuent Stock</v>
      </c>
      <c r="P1070" s="19">
        <f t="shared" si="131"/>
        <v>0</v>
      </c>
      <c r="R1070" s="19">
        <f t="shared" si="128"/>
        <v>0</v>
      </c>
      <c r="T1070" s="19">
        <f t="shared" si="132"/>
        <v>111200.76</v>
      </c>
      <c r="U1070" s="19">
        <f t="shared" si="133"/>
        <v>130656.24</v>
      </c>
      <c r="V1070" s="21">
        <f t="shared" si="134"/>
        <v>19455.48000000001</v>
      </c>
      <c r="W1070" s="18">
        <f t="shared" si="135"/>
        <v>0.17495815676079923</v>
      </c>
    </row>
    <row r="1071" spans="1:23" x14ac:dyDescent="0.3">
      <c r="A1071" t="s">
        <v>100</v>
      </c>
      <c r="B1071" t="s">
        <v>1090</v>
      </c>
      <c r="C1071" t="s">
        <v>12</v>
      </c>
      <c r="D1071" t="s">
        <v>13</v>
      </c>
      <c r="E1071">
        <v>1728</v>
      </c>
      <c r="F1071">
        <v>138.84</v>
      </c>
      <c r="G1071">
        <v>120.71</v>
      </c>
      <c r="H1071">
        <v>138.84</v>
      </c>
      <c r="I1071">
        <v>2558</v>
      </c>
      <c r="J1071">
        <v>78</v>
      </c>
      <c r="K1071" s="17">
        <f t="shared" si="129"/>
        <v>6650.8</v>
      </c>
      <c r="L1071" t="str">
        <f t="shared" si="130"/>
        <v>High Risk</v>
      </c>
      <c r="P1071" s="19">
        <f t="shared" si="131"/>
        <v>4923</v>
      </c>
      <c r="R1071" s="19">
        <f t="shared" si="128"/>
        <v>683509.32000000007</v>
      </c>
      <c r="T1071" s="19">
        <f t="shared" si="132"/>
        <v>308776.18</v>
      </c>
      <c r="U1071" s="19">
        <f t="shared" si="133"/>
        <v>355152.72000000003</v>
      </c>
      <c r="V1071" s="21">
        <f t="shared" si="134"/>
        <v>46376.540000000037</v>
      </c>
      <c r="W1071" s="18">
        <f t="shared" si="135"/>
        <v>0.15019468146798123</v>
      </c>
    </row>
    <row r="1072" spans="1:23" x14ac:dyDescent="0.3">
      <c r="A1072" t="s">
        <v>1542</v>
      </c>
      <c r="B1072" t="s">
        <v>2137</v>
      </c>
      <c r="C1072" t="s">
        <v>37</v>
      </c>
      <c r="D1072" t="s">
        <v>20</v>
      </c>
      <c r="E1072">
        <v>1729</v>
      </c>
      <c r="F1072">
        <v>372.84</v>
      </c>
      <c r="G1072">
        <v>311.82</v>
      </c>
      <c r="H1072">
        <v>372.84</v>
      </c>
      <c r="I1072">
        <v>2368</v>
      </c>
      <c r="J1072">
        <v>22</v>
      </c>
      <c r="K1072" s="17">
        <f t="shared" si="129"/>
        <v>1736.5333333333333</v>
      </c>
      <c r="L1072" t="str">
        <f t="shared" si="130"/>
        <v>High Risk</v>
      </c>
      <c r="P1072" s="19">
        <f t="shared" si="131"/>
        <v>8</v>
      </c>
      <c r="R1072" s="19">
        <f t="shared" si="128"/>
        <v>2982.72</v>
      </c>
      <c r="T1072" s="19">
        <f t="shared" si="132"/>
        <v>738389.76</v>
      </c>
      <c r="U1072" s="19">
        <f t="shared" si="133"/>
        <v>882885.12</v>
      </c>
      <c r="V1072" s="21">
        <f t="shared" si="134"/>
        <v>144495.35999999999</v>
      </c>
      <c r="W1072" s="18">
        <f t="shared" si="135"/>
        <v>0.19568982105060609</v>
      </c>
    </row>
    <row r="1073" spans="1:23" x14ac:dyDescent="0.3">
      <c r="A1073" t="s">
        <v>38</v>
      </c>
      <c r="B1073" t="s">
        <v>39</v>
      </c>
      <c r="C1073" t="s">
        <v>12</v>
      </c>
      <c r="D1073" t="s">
        <v>17</v>
      </c>
      <c r="E1073">
        <v>1732</v>
      </c>
      <c r="F1073">
        <v>167.16</v>
      </c>
      <c r="G1073">
        <v>147.9</v>
      </c>
      <c r="H1073">
        <v>167.16</v>
      </c>
      <c r="I1073">
        <v>3685</v>
      </c>
      <c r="J1073">
        <v>33</v>
      </c>
      <c r="K1073" s="17">
        <f t="shared" si="129"/>
        <v>4053.5</v>
      </c>
      <c r="L1073" t="str">
        <f t="shared" si="130"/>
        <v>High Risk</v>
      </c>
      <c r="P1073" s="19">
        <f t="shared" si="131"/>
        <v>2322</v>
      </c>
      <c r="R1073" s="19">
        <f t="shared" si="128"/>
        <v>388145.52</v>
      </c>
      <c r="T1073" s="19">
        <f t="shared" si="132"/>
        <v>545011.5</v>
      </c>
      <c r="U1073" s="19">
        <f t="shared" si="133"/>
        <v>615984.6</v>
      </c>
      <c r="V1073" s="21">
        <f t="shared" si="134"/>
        <v>70973.099999999977</v>
      </c>
      <c r="W1073" s="18">
        <f t="shared" si="135"/>
        <v>0.13022312373225148</v>
      </c>
    </row>
    <row r="1074" spans="1:23" x14ac:dyDescent="0.3">
      <c r="A1074" t="s">
        <v>917</v>
      </c>
      <c r="B1074" t="s">
        <v>3093</v>
      </c>
      <c r="C1074" t="s">
        <v>23</v>
      </c>
      <c r="D1074" t="s">
        <v>26</v>
      </c>
      <c r="E1074">
        <v>1733</v>
      </c>
      <c r="F1074">
        <v>61.16</v>
      </c>
      <c r="G1074">
        <v>55.8</v>
      </c>
      <c r="H1074">
        <v>61.16</v>
      </c>
      <c r="I1074">
        <v>3811</v>
      </c>
      <c r="J1074">
        <v>28</v>
      </c>
      <c r="K1074" s="17">
        <f t="shared" si="129"/>
        <v>3556.9333333333334</v>
      </c>
      <c r="L1074" t="str">
        <f t="shared" si="130"/>
        <v>High Risk</v>
      </c>
      <c r="P1074" s="19">
        <f t="shared" si="131"/>
        <v>1824</v>
      </c>
      <c r="R1074" s="19">
        <f t="shared" si="128"/>
        <v>111555.84</v>
      </c>
      <c r="T1074" s="19">
        <f t="shared" si="132"/>
        <v>212653.8</v>
      </c>
      <c r="U1074" s="19">
        <f t="shared" si="133"/>
        <v>233080.75999999998</v>
      </c>
      <c r="V1074" s="21">
        <f t="shared" si="134"/>
        <v>20426.959999999992</v>
      </c>
      <c r="W1074" s="18">
        <f t="shared" si="135"/>
        <v>9.6057347670250856E-2</v>
      </c>
    </row>
    <row r="1075" spans="1:23" x14ac:dyDescent="0.3">
      <c r="A1075" t="s">
        <v>1559</v>
      </c>
      <c r="B1075" t="s">
        <v>1560</v>
      </c>
      <c r="C1075" t="s">
        <v>12</v>
      </c>
      <c r="D1075" t="s">
        <v>20</v>
      </c>
      <c r="E1075">
        <v>1734</v>
      </c>
      <c r="F1075">
        <v>131.25</v>
      </c>
      <c r="G1075">
        <v>120.73</v>
      </c>
      <c r="H1075">
        <v>131.25</v>
      </c>
      <c r="I1075">
        <v>2283</v>
      </c>
      <c r="J1075">
        <v>42</v>
      </c>
      <c r="K1075" s="17">
        <f t="shared" si="129"/>
        <v>3196.2</v>
      </c>
      <c r="L1075" t="str">
        <f t="shared" si="130"/>
        <v>High Risk</v>
      </c>
      <c r="P1075" s="19">
        <f t="shared" si="131"/>
        <v>1463</v>
      </c>
      <c r="R1075" s="19">
        <f t="shared" si="128"/>
        <v>192018.75</v>
      </c>
      <c r="T1075" s="19">
        <f t="shared" si="132"/>
        <v>275626.59000000003</v>
      </c>
      <c r="U1075" s="19">
        <f t="shared" si="133"/>
        <v>299643.75</v>
      </c>
      <c r="V1075" s="21">
        <f t="shared" si="134"/>
        <v>24017.159999999974</v>
      </c>
      <c r="W1075" s="18">
        <f t="shared" si="135"/>
        <v>8.7136585769899674E-2</v>
      </c>
    </row>
    <row r="1076" spans="1:23" x14ac:dyDescent="0.3">
      <c r="A1076" t="s">
        <v>867</v>
      </c>
      <c r="B1076" t="s">
        <v>2668</v>
      </c>
      <c r="C1076" t="s">
        <v>12</v>
      </c>
      <c r="D1076" t="s">
        <v>26</v>
      </c>
      <c r="E1076">
        <v>1735</v>
      </c>
      <c r="F1076">
        <v>97.4</v>
      </c>
      <c r="G1076">
        <v>96.64</v>
      </c>
      <c r="H1076">
        <v>97.4</v>
      </c>
      <c r="I1076">
        <v>813</v>
      </c>
      <c r="J1076">
        <v>16</v>
      </c>
      <c r="K1076" s="17">
        <f t="shared" si="129"/>
        <v>433.6</v>
      </c>
      <c r="L1076" t="str">
        <f t="shared" si="130"/>
        <v>Sufficuent Stock</v>
      </c>
      <c r="P1076" s="19">
        <f t="shared" si="131"/>
        <v>0</v>
      </c>
      <c r="R1076" s="19">
        <f t="shared" si="128"/>
        <v>0</v>
      </c>
      <c r="T1076" s="19">
        <f t="shared" si="132"/>
        <v>78568.320000000007</v>
      </c>
      <c r="U1076" s="19">
        <f t="shared" si="133"/>
        <v>79186.200000000012</v>
      </c>
      <c r="V1076" s="21">
        <f t="shared" si="134"/>
        <v>617.88000000000466</v>
      </c>
      <c r="W1076" s="18">
        <f t="shared" si="135"/>
        <v>7.8642384105960857E-3</v>
      </c>
    </row>
    <row r="1077" spans="1:23" x14ac:dyDescent="0.3">
      <c r="A1077" t="s">
        <v>306</v>
      </c>
      <c r="B1077" t="s">
        <v>1345</v>
      </c>
      <c r="C1077" t="s">
        <v>23</v>
      </c>
      <c r="D1077" t="s">
        <v>13</v>
      </c>
      <c r="E1077">
        <v>1737</v>
      </c>
      <c r="F1077">
        <v>289.01</v>
      </c>
      <c r="G1077">
        <v>250.95</v>
      </c>
      <c r="H1077">
        <v>289.01</v>
      </c>
      <c r="I1077">
        <v>1322</v>
      </c>
      <c r="J1077">
        <v>58</v>
      </c>
      <c r="K1077" s="17">
        <f t="shared" si="129"/>
        <v>2555.8666666666668</v>
      </c>
      <c r="L1077" t="str">
        <f t="shared" si="130"/>
        <v>High Risk</v>
      </c>
      <c r="P1077" s="19">
        <f t="shared" si="131"/>
        <v>819</v>
      </c>
      <c r="R1077" s="19">
        <f t="shared" si="128"/>
        <v>236699.19</v>
      </c>
      <c r="T1077" s="19">
        <f t="shared" si="132"/>
        <v>331755.89999999997</v>
      </c>
      <c r="U1077" s="19">
        <f t="shared" si="133"/>
        <v>382071.22</v>
      </c>
      <c r="V1077" s="21">
        <f t="shared" si="134"/>
        <v>50315.320000000007</v>
      </c>
      <c r="W1077" s="18">
        <f t="shared" si="135"/>
        <v>0.15166367802351069</v>
      </c>
    </row>
    <row r="1078" spans="1:23" x14ac:dyDescent="0.3">
      <c r="A1078" t="s">
        <v>2201</v>
      </c>
      <c r="B1078" t="s">
        <v>2796</v>
      </c>
      <c r="C1078" t="s">
        <v>37</v>
      </c>
      <c r="D1078" t="s">
        <v>26</v>
      </c>
      <c r="E1078">
        <v>1737</v>
      </c>
      <c r="F1078">
        <v>212.76</v>
      </c>
      <c r="G1078">
        <v>177.49</v>
      </c>
      <c r="H1078">
        <v>212.76</v>
      </c>
      <c r="I1078">
        <v>2629</v>
      </c>
      <c r="J1078">
        <v>53</v>
      </c>
      <c r="K1078" s="17">
        <f t="shared" si="129"/>
        <v>4644.5666666666666</v>
      </c>
      <c r="L1078" t="str">
        <f t="shared" si="130"/>
        <v>High Risk</v>
      </c>
      <c r="P1078" s="19">
        <f t="shared" si="131"/>
        <v>2908</v>
      </c>
      <c r="R1078" s="19">
        <f t="shared" si="128"/>
        <v>618706.07999999996</v>
      </c>
      <c r="T1078" s="19">
        <f t="shared" si="132"/>
        <v>466621.21</v>
      </c>
      <c r="U1078" s="19">
        <f t="shared" si="133"/>
        <v>559346.03999999992</v>
      </c>
      <c r="V1078" s="21">
        <f t="shared" si="134"/>
        <v>92724.8299999999</v>
      </c>
      <c r="W1078" s="18">
        <f t="shared" si="135"/>
        <v>0.19871542058707511</v>
      </c>
    </row>
    <row r="1079" spans="1:23" x14ac:dyDescent="0.3">
      <c r="A1079" t="s">
        <v>121</v>
      </c>
      <c r="B1079" t="s">
        <v>3174</v>
      </c>
      <c r="C1079" t="s">
        <v>23</v>
      </c>
      <c r="D1079" t="s">
        <v>17</v>
      </c>
      <c r="E1079">
        <v>1737</v>
      </c>
      <c r="F1079">
        <v>199.21</v>
      </c>
      <c r="G1079">
        <v>189.09</v>
      </c>
      <c r="H1079">
        <v>199.21</v>
      </c>
      <c r="I1079">
        <v>1844</v>
      </c>
      <c r="J1079">
        <v>23</v>
      </c>
      <c r="K1079" s="17">
        <f t="shared" si="129"/>
        <v>1413.7333333333333</v>
      </c>
      <c r="L1079" t="str">
        <f t="shared" si="130"/>
        <v>Sufficuent Stock</v>
      </c>
      <c r="P1079" s="19">
        <f t="shared" si="131"/>
        <v>0</v>
      </c>
      <c r="R1079" s="19">
        <f t="shared" si="128"/>
        <v>0</v>
      </c>
      <c r="T1079" s="19">
        <f t="shared" si="132"/>
        <v>348681.96</v>
      </c>
      <c r="U1079" s="19">
        <f t="shared" si="133"/>
        <v>367343.24</v>
      </c>
      <c r="V1079" s="21">
        <f t="shared" si="134"/>
        <v>18661.27999999997</v>
      </c>
      <c r="W1079" s="18">
        <f t="shared" si="135"/>
        <v>5.3519488074461809E-2</v>
      </c>
    </row>
    <row r="1080" spans="1:23" x14ac:dyDescent="0.3">
      <c r="A1080" t="s">
        <v>1751</v>
      </c>
      <c r="B1080" t="s">
        <v>2681</v>
      </c>
      <c r="C1080" t="s">
        <v>23</v>
      </c>
      <c r="D1080" t="s">
        <v>20</v>
      </c>
      <c r="E1080">
        <v>1739</v>
      </c>
      <c r="F1080">
        <v>334.9</v>
      </c>
      <c r="G1080">
        <v>290.48</v>
      </c>
      <c r="H1080">
        <v>334.9</v>
      </c>
      <c r="I1080">
        <v>2433</v>
      </c>
      <c r="J1080">
        <v>64</v>
      </c>
      <c r="K1080" s="17">
        <f t="shared" si="129"/>
        <v>5190.3999999999996</v>
      </c>
      <c r="L1080" t="str">
        <f t="shared" si="130"/>
        <v>High Risk</v>
      </c>
      <c r="P1080" s="19">
        <f t="shared" si="131"/>
        <v>3452</v>
      </c>
      <c r="R1080" s="19">
        <f t="shared" si="128"/>
        <v>1156074.7999999998</v>
      </c>
      <c r="T1080" s="19">
        <f t="shared" si="132"/>
        <v>706737.84000000008</v>
      </c>
      <c r="U1080" s="19">
        <f t="shared" si="133"/>
        <v>814811.7</v>
      </c>
      <c r="V1080" s="21">
        <f t="shared" si="134"/>
        <v>108073.85999999987</v>
      </c>
      <c r="W1080" s="18">
        <f t="shared" si="135"/>
        <v>0.15291930597631487</v>
      </c>
    </row>
    <row r="1081" spans="1:23" x14ac:dyDescent="0.3">
      <c r="A1081" t="s">
        <v>113</v>
      </c>
      <c r="B1081" t="s">
        <v>2827</v>
      </c>
      <c r="C1081" t="s">
        <v>37</v>
      </c>
      <c r="D1081" t="s">
        <v>17</v>
      </c>
      <c r="E1081">
        <v>1741</v>
      </c>
      <c r="F1081">
        <v>224.57</v>
      </c>
      <c r="G1081">
        <v>248.38</v>
      </c>
      <c r="H1081">
        <v>224.57</v>
      </c>
      <c r="I1081">
        <v>1577</v>
      </c>
      <c r="J1081">
        <v>73</v>
      </c>
      <c r="K1081" s="17">
        <f t="shared" si="129"/>
        <v>3837.3666666666668</v>
      </c>
      <c r="L1081" t="str">
        <f t="shared" si="130"/>
        <v>High Risk</v>
      </c>
      <c r="P1081" s="19">
        <f t="shared" si="131"/>
        <v>2097</v>
      </c>
      <c r="R1081" s="19">
        <f t="shared" si="128"/>
        <v>470923.29</v>
      </c>
      <c r="T1081" s="19">
        <f t="shared" si="132"/>
        <v>391695.26</v>
      </c>
      <c r="U1081" s="19">
        <f t="shared" si="133"/>
        <v>354146.89</v>
      </c>
      <c r="V1081" s="21">
        <f t="shared" si="134"/>
        <v>-37548.369999999995</v>
      </c>
      <c r="W1081" s="18">
        <f t="shared" si="135"/>
        <v>-9.5861180449311523E-2</v>
      </c>
    </row>
    <row r="1082" spans="1:23" x14ac:dyDescent="0.3">
      <c r="A1082" t="s">
        <v>1148</v>
      </c>
      <c r="B1082" t="s">
        <v>2479</v>
      </c>
      <c r="C1082" t="s">
        <v>37</v>
      </c>
      <c r="D1082" t="s">
        <v>17</v>
      </c>
      <c r="E1082">
        <v>1743</v>
      </c>
      <c r="F1082">
        <v>111.4</v>
      </c>
      <c r="G1082">
        <v>122.99</v>
      </c>
      <c r="H1082">
        <v>111.4</v>
      </c>
      <c r="I1082">
        <v>3521</v>
      </c>
      <c r="J1082">
        <v>34</v>
      </c>
      <c r="K1082" s="17">
        <f t="shared" si="129"/>
        <v>3990.4666666666662</v>
      </c>
      <c r="L1082" t="str">
        <f t="shared" si="130"/>
        <v>High Risk</v>
      </c>
      <c r="P1082" s="19">
        <f t="shared" si="131"/>
        <v>2248</v>
      </c>
      <c r="R1082" s="19">
        <f t="shared" si="128"/>
        <v>250427.2</v>
      </c>
      <c r="T1082" s="19">
        <f t="shared" si="132"/>
        <v>433047.79</v>
      </c>
      <c r="U1082" s="19">
        <f t="shared" si="133"/>
        <v>392239.4</v>
      </c>
      <c r="V1082" s="21">
        <f t="shared" si="134"/>
        <v>-40808.389999999956</v>
      </c>
      <c r="W1082" s="18">
        <f t="shared" si="135"/>
        <v>-9.4235303683226176E-2</v>
      </c>
    </row>
    <row r="1083" spans="1:23" x14ac:dyDescent="0.3">
      <c r="A1083" t="s">
        <v>24</v>
      </c>
      <c r="B1083" t="s">
        <v>1964</v>
      </c>
      <c r="C1083" t="s">
        <v>37</v>
      </c>
      <c r="D1083" t="s">
        <v>69</v>
      </c>
      <c r="E1083">
        <v>1743</v>
      </c>
      <c r="F1083">
        <v>135.46</v>
      </c>
      <c r="G1083">
        <v>119.74</v>
      </c>
      <c r="H1083">
        <v>135.46</v>
      </c>
      <c r="I1083">
        <v>402</v>
      </c>
      <c r="J1083">
        <v>67</v>
      </c>
      <c r="K1083" s="17">
        <f t="shared" si="129"/>
        <v>897.80000000000007</v>
      </c>
      <c r="L1083" t="str">
        <f t="shared" si="130"/>
        <v>Sufficuent Stock</v>
      </c>
      <c r="P1083" s="19">
        <f t="shared" si="131"/>
        <v>0</v>
      </c>
      <c r="R1083" s="19">
        <f t="shared" si="128"/>
        <v>0</v>
      </c>
      <c r="T1083" s="19">
        <f t="shared" si="132"/>
        <v>48135.479999999996</v>
      </c>
      <c r="U1083" s="19">
        <f t="shared" si="133"/>
        <v>54454.920000000006</v>
      </c>
      <c r="V1083" s="21">
        <f t="shared" si="134"/>
        <v>6319.4400000000096</v>
      </c>
      <c r="W1083" s="18">
        <f t="shared" si="135"/>
        <v>0.13128444964088881</v>
      </c>
    </row>
    <row r="1084" spans="1:23" x14ac:dyDescent="0.3">
      <c r="A1084" t="s">
        <v>453</v>
      </c>
      <c r="B1084" t="s">
        <v>1942</v>
      </c>
      <c r="C1084" t="s">
        <v>50</v>
      </c>
      <c r="D1084" t="s">
        <v>20</v>
      </c>
      <c r="E1084">
        <v>1744</v>
      </c>
      <c r="F1084">
        <v>340.65</v>
      </c>
      <c r="G1084">
        <v>347.67</v>
      </c>
      <c r="H1084">
        <v>340.65</v>
      </c>
      <c r="I1084">
        <v>3243</v>
      </c>
      <c r="J1084">
        <v>15</v>
      </c>
      <c r="K1084" s="17">
        <f t="shared" si="129"/>
        <v>1621.5</v>
      </c>
      <c r="L1084" t="str">
        <f t="shared" si="130"/>
        <v>Sufficuent Stock</v>
      </c>
      <c r="P1084" s="19">
        <f t="shared" si="131"/>
        <v>0</v>
      </c>
      <c r="R1084" s="19">
        <f t="shared" si="128"/>
        <v>0</v>
      </c>
      <c r="T1084" s="19">
        <f t="shared" si="132"/>
        <v>1127493.81</v>
      </c>
      <c r="U1084" s="19">
        <f t="shared" si="133"/>
        <v>1104727.95</v>
      </c>
      <c r="V1084" s="21">
        <f t="shared" si="134"/>
        <v>-22765.860000000102</v>
      </c>
      <c r="W1084" s="18">
        <f t="shared" si="135"/>
        <v>-2.0191560962982229E-2</v>
      </c>
    </row>
    <row r="1085" spans="1:23" x14ac:dyDescent="0.3">
      <c r="A1085" t="s">
        <v>432</v>
      </c>
      <c r="B1085" t="s">
        <v>433</v>
      </c>
      <c r="C1085" t="s">
        <v>12</v>
      </c>
      <c r="D1085" t="s">
        <v>26</v>
      </c>
      <c r="E1085">
        <v>1747</v>
      </c>
      <c r="F1085">
        <v>243.45</v>
      </c>
      <c r="G1085">
        <v>218.75</v>
      </c>
      <c r="H1085">
        <v>243.45</v>
      </c>
      <c r="I1085">
        <v>2171</v>
      </c>
      <c r="J1085">
        <v>59</v>
      </c>
      <c r="K1085" s="17">
        <f t="shared" si="129"/>
        <v>4269.6333333333332</v>
      </c>
      <c r="L1085" t="str">
        <f t="shared" si="130"/>
        <v>High Risk</v>
      </c>
      <c r="P1085" s="19">
        <f t="shared" si="131"/>
        <v>2523</v>
      </c>
      <c r="R1085" s="19">
        <f t="shared" si="128"/>
        <v>614224.35</v>
      </c>
      <c r="T1085" s="19">
        <f t="shared" si="132"/>
        <v>474906.25</v>
      </c>
      <c r="U1085" s="19">
        <f t="shared" si="133"/>
        <v>528529.94999999995</v>
      </c>
      <c r="V1085" s="21">
        <f t="shared" si="134"/>
        <v>53623.699999999953</v>
      </c>
      <c r="W1085" s="18">
        <f t="shared" si="135"/>
        <v>0.11291428571428562</v>
      </c>
    </row>
    <row r="1086" spans="1:23" x14ac:dyDescent="0.3">
      <c r="A1086" t="s">
        <v>612</v>
      </c>
      <c r="B1086" t="s">
        <v>1652</v>
      </c>
      <c r="C1086" t="s">
        <v>12</v>
      </c>
      <c r="D1086" t="s">
        <v>13</v>
      </c>
      <c r="E1086">
        <v>1748</v>
      </c>
      <c r="F1086">
        <v>488.81</v>
      </c>
      <c r="G1086">
        <v>433.14</v>
      </c>
      <c r="H1086">
        <v>488.81</v>
      </c>
      <c r="I1086">
        <v>2619</v>
      </c>
      <c r="J1086">
        <v>55</v>
      </c>
      <c r="K1086" s="17">
        <f t="shared" si="129"/>
        <v>4801.5</v>
      </c>
      <c r="L1086" t="str">
        <f t="shared" si="130"/>
        <v>High Risk</v>
      </c>
      <c r="P1086" s="19">
        <f t="shared" si="131"/>
        <v>3054</v>
      </c>
      <c r="R1086" s="19">
        <f t="shared" si="128"/>
        <v>1492825.74</v>
      </c>
      <c r="T1086" s="19">
        <f t="shared" si="132"/>
        <v>1134393.6599999999</v>
      </c>
      <c r="U1086" s="19">
        <f t="shared" si="133"/>
        <v>1280193.3899999999</v>
      </c>
      <c r="V1086" s="21">
        <f t="shared" si="134"/>
        <v>145799.72999999998</v>
      </c>
      <c r="W1086" s="18">
        <f t="shared" si="135"/>
        <v>0.12852657339428358</v>
      </c>
    </row>
    <row r="1087" spans="1:23" x14ac:dyDescent="0.3">
      <c r="A1087" t="s">
        <v>442</v>
      </c>
      <c r="B1087" t="s">
        <v>1391</v>
      </c>
      <c r="C1087" t="s">
        <v>23</v>
      </c>
      <c r="D1087" t="s">
        <v>13</v>
      </c>
      <c r="E1087">
        <v>1749</v>
      </c>
      <c r="F1087">
        <v>261.24</v>
      </c>
      <c r="G1087">
        <v>228.44</v>
      </c>
      <c r="H1087">
        <v>261.24</v>
      </c>
      <c r="I1087">
        <v>3329</v>
      </c>
      <c r="J1087">
        <v>34</v>
      </c>
      <c r="K1087" s="17">
        <f t="shared" si="129"/>
        <v>3772.8666666666668</v>
      </c>
      <c r="L1087" t="str">
        <f t="shared" si="130"/>
        <v>High Risk</v>
      </c>
      <c r="P1087" s="19">
        <f t="shared" si="131"/>
        <v>2024</v>
      </c>
      <c r="R1087" s="19">
        <f t="shared" si="128"/>
        <v>528749.76</v>
      </c>
      <c r="T1087" s="19">
        <f t="shared" si="132"/>
        <v>760476.76</v>
      </c>
      <c r="U1087" s="19">
        <f t="shared" si="133"/>
        <v>869667.96000000008</v>
      </c>
      <c r="V1087" s="21">
        <f t="shared" si="134"/>
        <v>109191.20000000007</v>
      </c>
      <c r="W1087" s="18">
        <f t="shared" si="135"/>
        <v>0.14358255997198399</v>
      </c>
    </row>
    <row r="1088" spans="1:23" x14ac:dyDescent="0.3">
      <c r="A1088" t="s">
        <v>363</v>
      </c>
      <c r="B1088" t="s">
        <v>2639</v>
      </c>
      <c r="C1088" t="s">
        <v>37</v>
      </c>
      <c r="D1088" t="s">
        <v>26</v>
      </c>
      <c r="E1088">
        <v>1751</v>
      </c>
      <c r="F1088">
        <v>247.37</v>
      </c>
      <c r="G1088">
        <v>264.86</v>
      </c>
      <c r="H1088">
        <v>247.37</v>
      </c>
      <c r="I1088">
        <v>3377</v>
      </c>
      <c r="J1088">
        <v>43</v>
      </c>
      <c r="K1088" s="17">
        <f t="shared" si="129"/>
        <v>4840.3666666666668</v>
      </c>
      <c r="L1088" t="str">
        <f t="shared" si="130"/>
        <v>High Risk</v>
      </c>
      <c r="P1088" s="19">
        <f t="shared" si="131"/>
        <v>3090</v>
      </c>
      <c r="R1088" s="19">
        <f t="shared" si="128"/>
        <v>764373.3</v>
      </c>
      <c r="T1088" s="19">
        <f t="shared" si="132"/>
        <v>894432.22000000009</v>
      </c>
      <c r="U1088" s="19">
        <f t="shared" si="133"/>
        <v>835368.49</v>
      </c>
      <c r="V1088" s="21">
        <f t="shared" si="134"/>
        <v>-59063.730000000098</v>
      </c>
      <c r="W1088" s="18">
        <f t="shared" si="135"/>
        <v>-6.6034886355055597E-2</v>
      </c>
    </row>
    <row r="1089" spans="1:23" x14ac:dyDescent="0.3">
      <c r="A1089" t="s">
        <v>231</v>
      </c>
      <c r="B1089" t="s">
        <v>3377</v>
      </c>
      <c r="C1089" t="s">
        <v>37</v>
      </c>
      <c r="D1089" t="s">
        <v>17</v>
      </c>
      <c r="E1089">
        <v>1753</v>
      </c>
      <c r="F1089">
        <v>504.96</v>
      </c>
      <c r="G1089">
        <v>478.02</v>
      </c>
      <c r="H1089">
        <v>504.96</v>
      </c>
      <c r="I1089">
        <v>3524</v>
      </c>
      <c r="J1089">
        <v>7</v>
      </c>
      <c r="K1089" s="17">
        <f t="shared" si="129"/>
        <v>822.26666666666665</v>
      </c>
      <c r="L1089" t="str">
        <f t="shared" si="130"/>
        <v>Sufficuent Stock</v>
      </c>
      <c r="P1089" s="19">
        <f t="shared" si="131"/>
        <v>0</v>
      </c>
      <c r="R1089" s="19">
        <f t="shared" si="128"/>
        <v>0</v>
      </c>
      <c r="T1089" s="19">
        <f t="shared" si="132"/>
        <v>1684542.48</v>
      </c>
      <c r="U1089" s="19">
        <f t="shared" si="133"/>
        <v>1779479.04</v>
      </c>
      <c r="V1089" s="21">
        <f t="shared" si="134"/>
        <v>94936.560000000056</v>
      </c>
      <c r="W1089" s="18">
        <f t="shared" si="135"/>
        <v>5.6357474582653479E-2</v>
      </c>
    </row>
    <row r="1090" spans="1:23" x14ac:dyDescent="0.3">
      <c r="A1090" t="s">
        <v>539</v>
      </c>
      <c r="B1090" t="s">
        <v>1565</v>
      </c>
      <c r="C1090" t="s">
        <v>50</v>
      </c>
      <c r="D1090" t="s">
        <v>13</v>
      </c>
      <c r="E1090">
        <v>1759</v>
      </c>
      <c r="F1090">
        <v>180.25</v>
      </c>
      <c r="G1090">
        <v>152.21</v>
      </c>
      <c r="H1090">
        <v>180.25</v>
      </c>
      <c r="I1090">
        <v>3764</v>
      </c>
      <c r="J1090">
        <v>11</v>
      </c>
      <c r="K1090" s="17">
        <f t="shared" si="129"/>
        <v>1380.1333333333334</v>
      </c>
      <c r="L1090" t="str">
        <f t="shared" si="130"/>
        <v>Sufficuent Stock</v>
      </c>
      <c r="P1090" s="19">
        <f t="shared" si="131"/>
        <v>0</v>
      </c>
      <c r="R1090" s="19">
        <f t="shared" ref="R1090:R1153" si="136">P1090*H1090</f>
        <v>0</v>
      </c>
      <c r="T1090" s="19">
        <f t="shared" si="132"/>
        <v>572918.44000000006</v>
      </c>
      <c r="U1090" s="19">
        <f t="shared" si="133"/>
        <v>678461</v>
      </c>
      <c r="V1090" s="21">
        <f t="shared" si="134"/>
        <v>105542.55999999994</v>
      </c>
      <c r="W1090" s="18">
        <f t="shared" si="135"/>
        <v>0.1842191708823335</v>
      </c>
    </row>
    <row r="1091" spans="1:23" x14ac:dyDescent="0.3">
      <c r="A1091" t="s">
        <v>867</v>
      </c>
      <c r="B1091" t="s">
        <v>868</v>
      </c>
      <c r="C1091" t="s">
        <v>16</v>
      </c>
      <c r="D1091" t="s">
        <v>17</v>
      </c>
      <c r="E1091">
        <v>1769</v>
      </c>
      <c r="F1091">
        <v>337.39</v>
      </c>
      <c r="G1091">
        <v>291.27999999999997</v>
      </c>
      <c r="H1091">
        <v>337.39</v>
      </c>
      <c r="I1091">
        <v>725</v>
      </c>
      <c r="J1091">
        <v>61</v>
      </c>
      <c r="K1091" s="17">
        <f t="shared" ref="K1091:K1154" si="137">(I1091/30)*J1091</f>
        <v>1474.1666666666667</v>
      </c>
      <c r="L1091" t="str">
        <f t="shared" ref="L1091:L1154" si="138">IF(E1091&lt;K1091,"High Risk","Sufficuent Stock")</f>
        <v>Sufficuent Stock</v>
      </c>
      <c r="P1091" s="19">
        <f t="shared" ref="P1091:P1154" si="139">ROUNDUP(MAX(0,K1091-E1091),0)</f>
        <v>0</v>
      </c>
      <c r="R1091" s="19">
        <f t="shared" si="136"/>
        <v>0</v>
      </c>
      <c r="T1091" s="19">
        <f t="shared" ref="T1091:T1154" si="140">I1091*G1091</f>
        <v>211177.99999999997</v>
      </c>
      <c r="U1091" s="19">
        <f t="shared" ref="U1091:U1154" si="141">I1091*H1091</f>
        <v>244607.75</v>
      </c>
      <c r="V1091" s="21">
        <f t="shared" ref="V1091:V1154" si="142">U1091-T1091</f>
        <v>33429.750000000029</v>
      </c>
      <c r="W1091" s="18">
        <f t="shared" ref="W1091:W1154" si="143">IFERROR(V1091/T1091,0)</f>
        <v>0.15830129085416111</v>
      </c>
    </row>
    <row r="1092" spans="1:23" x14ac:dyDescent="0.3">
      <c r="A1092" t="s">
        <v>253</v>
      </c>
      <c r="B1092" t="s">
        <v>954</v>
      </c>
      <c r="C1092" t="s">
        <v>23</v>
      </c>
      <c r="D1092" t="s">
        <v>20</v>
      </c>
      <c r="E1092">
        <v>1769</v>
      </c>
      <c r="F1092">
        <v>168.16</v>
      </c>
      <c r="G1092">
        <v>160.11000000000001</v>
      </c>
      <c r="H1092">
        <v>168.16</v>
      </c>
      <c r="I1092">
        <v>2302</v>
      </c>
      <c r="J1092">
        <v>36</v>
      </c>
      <c r="K1092" s="17">
        <f t="shared" si="137"/>
        <v>2762.4</v>
      </c>
      <c r="L1092" t="str">
        <f t="shared" si="138"/>
        <v>High Risk</v>
      </c>
      <c r="P1092" s="19">
        <f t="shared" si="139"/>
        <v>994</v>
      </c>
      <c r="R1092" s="19">
        <f t="shared" si="136"/>
        <v>167151.04000000001</v>
      </c>
      <c r="T1092" s="19">
        <f t="shared" si="140"/>
        <v>368573.22000000003</v>
      </c>
      <c r="U1092" s="19">
        <f t="shared" si="141"/>
        <v>387104.32</v>
      </c>
      <c r="V1092" s="21">
        <f t="shared" si="142"/>
        <v>18531.099999999977</v>
      </c>
      <c r="W1092" s="18">
        <f t="shared" si="143"/>
        <v>5.0277933920429639E-2</v>
      </c>
    </row>
    <row r="1093" spans="1:23" x14ac:dyDescent="0.3">
      <c r="A1093" t="s">
        <v>1096</v>
      </c>
      <c r="B1093" t="s">
        <v>3248</v>
      </c>
      <c r="C1093" t="s">
        <v>50</v>
      </c>
      <c r="D1093" t="s">
        <v>13</v>
      </c>
      <c r="E1093">
        <v>1770</v>
      </c>
      <c r="F1093">
        <v>121.62</v>
      </c>
      <c r="G1093">
        <v>106.18</v>
      </c>
      <c r="H1093">
        <v>121.62</v>
      </c>
      <c r="I1093">
        <v>2008</v>
      </c>
      <c r="J1093">
        <v>28</v>
      </c>
      <c r="K1093" s="17">
        <f t="shared" si="137"/>
        <v>1874.1333333333334</v>
      </c>
      <c r="L1093" t="str">
        <f t="shared" si="138"/>
        <v>High Risk</v>
      </c>
      <c r="P1093" s="19">
        <f t="shared" si="139"/>
        <v>105</v>
      </c>
      <c r="R1093" s="19">
        <f t="shared" si="136"/>
        <v>12770.1</v>
      </c>
      <c r="T1093" s="19">
        <f t="shared" si="140"/>
        <v>213209.44</v>
      </c>
      <c r="U1093" s="19">
        <f t="shared" si="141"/>
        <v>244212.96000000002</v>
      </c>
      <c r="V1093" s="21">
        <f t="shared" si="142"/>
        <v>31003.520000000019</v>
      </c>
      <c r="W1093" s="18">
        <f t="shared" si="143"/>
        <v>0.14541344886042579</v>
      </c>
    </row>
    <row r="1094" spans="1:23" x14ac:dyDescent="0.3">
      <c r="A1094" t="s">
        <v>38</v>
      </c>
      <c r="B1094" t="s">
        <v>2424</v>
      </c>
      <c r="C1094" t="s">
        <v>12</v>
      </c>
      <c r="D1094" t="s">
        <v>69</v>
      </c>
      <c r="E1094">
        <v>1770</v>
      </c>
      <c r="F1094">
        <v>30.4</v>
      </c>
      <c r="G1094">
        <v>30.25</v>
      </c>
      <c r="H1094">
        <v>30.4</v>
      </c>
      <c r="I1094">
        <v>3586</v>
      </c>
      <c r="J1094">
        <v>49</v>
      </c>
      <c r="K1094" s="17">
        <f t="shared" si="137"/>
        <v>5857.1333333333332</v>
      </c>
      <c r="L1094" t="str">
        <f t="shared" si="138"/>
        <v>High Risk</v>
      </c>
      <c r="P1094" s="19">
        <f t="shared" si="139"/>
        <v>4088</v>
      </c>
      <c r="R1094" s="19">
        <f t="shared" si="136"/>
        <v>124275.2</v>
      </c>
      <c r="T1094" s="19">
        <f t="shared" si="140"/>
        <v>108476.5</v>
      </c>
      <c r="U1094" s="19">
        <f t="shared" si="141"/>
        <v>109014.39999999999</v>
      </c>
      <c r="V1094" s="21">
        <f t="shared" si="142"/>
        <v>537.89999999999418</v>
      </c>
      <c r="W1094" s="18">
        <f t="shared" si="143"/>
        <v>4.9586776859503598E-3</v>
      </c>
    </row>
    <row r="1095" spans="1:23" x14ac:dyDescent="0.3">
      <c r="A1095" t="s">
        <v>615</v>
      </c>
      <c r="B1095" t="s">
        <v>1134</v>
      </c>
      <c r="C1095" t="s">
        <v>37</v>
      </c>
      <c r="D1095" t="s">
        <v>13</v>
      </c>
      <c r="E1095">
        <v>1771</v>
      </c>
      <c r="F1095">
        <v>482.93</v>
      </c>
      <c r="G1095">
        <v>467.83</v>
      </c>
      <c r="H1095">
        <v>482.93</v>
      </c>
      <c r="I1095">
        <v>2804</v>
      </c>
      <c r="J1095">
        <v>63</v>
      </c>
      <c r="K1095" s="17">
        <f t="shared" si="137"/>
        <v>5888.4000000000005</v>
      </c>
      <c r="L1095" t="str">
        <f t="shared" si="138"/>
        <v>High Risk</v>
      </c>
      <c r="P1095" s="19">
        <f t="shared" si="139"/>
        <v>4118</v>
      </c>
      <c r="R1095" s="19">
        <f t="shared" si="136"/>
        <v>1988705.74</v>
      </c>
      <c r="T1095" s="19">
        <f t="shared" si="140"/>
        <v>1311795.32</v>
      </c>
      <c r="U1095" s="19">
        <f t="shared" si="141"/>
        <v>1354135.72</v>
      </c>
      <c r="V1095" s="21">
        <f t="shared" si="142"/>
        <v>42340.399999999907</v>
      </c>
      <c r="W1095" s="18">
        <f t="shared" si="143"/>
        <v>3.2276681700617676E-2</v>
      </c>
    </row>
    <row r="1096" spans="1:23" x14ac:dyDescent="0.3">
      <c r="A1096" t="s">
        <v>1410</v>
      </c>
      <c r="B1096" t="s">
        <v>1411</v>
      </c>
      <c r="C1096" t="s">
        <v>23</v>
      </c>
      <c r="D1096" t="s">
        <v>26</v>
      </c>
      <c r="E1096">
        <v>1773</v>
      </c>
      <c r="F1096">
        <v>203.83</v>
      </c>
      <c r="G1096">
        <v>213.38</v>
      </c>
      <c r="H1096">
        <v>203.83</v>
      </c>
      <c r="I1096">
        <v>2374</v>
      </c>
      <c r="J1096">
        <v>44</v>
      </c>
      <c r="K1096" s="17">
        <f t="shared" si="137"/>
        <v>3481.8666666666668</v>
      </c>
      <c r="L1096" t="str">
        <f t="shared" si="138"/>
        <v>High Risk</v>
      </c>
      <c r="P1096" s="19">
        <f t="shared" si="139"/>
        <v>1709</v>
      </c>
      <c r="R1096" s="19">
        <f t="shared" si="136"/>
        <v>348345.47000000003</v>
      </c>
      <c r="T1096" s="19">
        <f t="shared" si="140"/>
        <v>506564.12</v>
      </c>
      <c r="U1096" s="19">
        <f t="shared" si="141"/>
        <v>483892.42000000004</v>
      </c>
      <c r="V1096" s="21">
        <f t="shared" si="142"/>
        <v>-22671.699999999953</v>
      </c>
      <c r="W1096" s="18">
        <f t="shared" si="143"/>
        <v>-4.4755834661167775E-2</v>
      </c>
    </row>
    <row r="1097" spans="1:23" x14ac:dyDescent="0.3">
      <c r="A1097" t="s">
        <v>193</v>
      </c>
      <c r="B1097" t="s">
        <v>2470</v>
      </c>
      <c r="C1097" t="s">
        <v>16</v>
      </c>
      <c r="D1097" t="s">
        <v>13</v>
      </c>
      <c r="E1097">
        <v>1775</v>
      </c>
      <c r="F1097">
        <v>321.68</v>
      </c>
      <c r="G1097">
        <v>269.01</v>
      </c>
      <c r="H1097">
        <v>321.68</v>
      </c>
      <c r="I1097">
        <v>1419</v>
      </c>
      <c r="J1097">
        <v>41</v>
      </c>
      <c r="K1097" s="17">
        <f t="shared" si="137"/>
        <v>1939.3</v>
      </c>
      <c r="L1097" t="str">
        <f t="shared" si="138"/>
        <v>High Risk</v>
      </c>
      <c r="P1097" s="19">
        <f t="shared" si="139"/>
        <v>165</v>
      </c>
      <c r="R1097" s="19">
        <f t="shared" si="136"/>
        <v>53077.200000000004</v>
      </c>
      <c r="T1097" s="19">
        <f t="shared" si="140"/>
        <v>381725.19</v>
      </c>
      <c r="U1097" s="19">
        <f t="shared" si="141"/>
        <v>456463.92</v>
      </c>
      <c r="V1097" s="21">
        <f t="shared" si="142"/>
        <v>74738.729999999981</v>
      </c>
      <c r="W1097" s="18">
        <f t="shared" si="143"/>
        <v>0.1957919779933831</v>
      </c>
    </row>
    <row r="1098" spans="1:23" x14ac:dyDescent="0.3">
      <c r="A1098" t="s">
        <v>820</v>
      </c>
      <c r="B1098" t="s">
        <v>997</v>
      </c>
      <c r="C1098" t="s">
        <v>12</v>
      </c>
      <c r="D1098" t="s">
        <v>13</v>
      </c>
      <c r="E1098">
        <v>1780</v>
      </c>
      <c r="F1098">
        <v>319.85000000000002</v>
      </c>
      <c r="G1098">
        <v>285.17</v>
      </c>
      <c r="H1098">
        <v>319.85000000000002</v>
      </c>
      <c r="I1098">
        <v>2658</v>
      </c>
      <c r="J1098">
        <v>71</v>
      </c>
      <c r="K1098" s="17">
        <f t="shared" si="137"/>
        <v>6290.5999999999995</v>
      </c>
      <c r="L1098" t="str">
        <f t="shared" si="138"/>
        <v>High Risk</v>
      </c>
      <c r="P1098" s="19">
        <f t="shared" si="139"/>
        <v>4511</v>
      </c>
      <c r="R1098" s="19">
        <f t="shared" si="136"/>
        <v>1442843.35</v>
      </c>
      <c r="T1098" s="19">
        <f t="shared" si="140"/>
        <v>757981.86</v>
      </c>
      <c r="U1098" s="19">
        <f t="shared" si="141"/>
        <v>850161.3</v>
      </c>
      <c r="V1098" s="21">
        <f t="shared" si="142"/>
        <v>92179.440000000061</v>
      </c>
      <c r="W1098" s="18">
        <f t="shared" si="143"/>
        <v>0.12161167023179165</v>
      </c>
    </row>
    <row r="1099" spans="1:23" x14ac:dyDescent="0.3">
      <c r="A1099" t="s">
        <v>489</v>
      </c>
      <c r="B1099" t="s">
        <v>2527</v>
      </c>
      <c r="C1099" t="s">
        <v>23</v>
      </c>
      <c r="D1099" t="s">
        <v>20</v>
      </c>
      <c r="E1099">
        <v>1780</v>
      </c>
      <c r="F1099">
        <v>482.59</v>
      </c>
      <c r="G1099">
        <v>448.3</v>
      </c>
      <c r="H1099">
        <v>482.59</v>
      </c>
      <c r="I1099">
        <v>2934</v>
      </c>
      <c r="J1099">
        <v>77</v>
      </c>
      <c r="K1099" s="17">
        <f t="shared" si="137"/>
        <v>7530.5999999999995</v>
      </c>
      <c r="L1099" t="str">
        <f t="shared" si="138"/>
        <v>High Risk</v>
      </c>
      <c r="P1099" s="19">
        <f t="shared" si="139"/>
        <v>5751</v>
      </c>
      <c r="R1099" s="19">
        <f t="shared" si="136"/>
        <v>2775375.09</v>
      </c>
      <c r="T1099" s="19">
        <f t="shared" si="140"/>
        <v>1315312.2</v>
      </c>
      <c r="U1099" s="19">
        <f t="shared" si="141"/>
        <v>1415919.0599999998</v>
      </c>
      <c r="V1099" s="21">
        <f t="shared" si="142"/>
        <v>100606.85999999987</v>
      </c>
      <c r="W1099" s="18">
        <f t="shared" si="143"/>
        <v>7.6488958286861378E-2</v>
      </c>
    </row>
    <row r="1100" spans="1:23" x14ac:dyDescent="0.3">
      <c r="A1100" t="s">
        <v>256</v>
      </c>
      <c r="B1100" t="s">
        <v>1232</v>
      </c>
      <c r="C1100" t="s">
        <v>16</v>
      </c>
      <c r="D1100" t="s">
        <v>13</v>
      </c>
      <c r="E1100">
        <v>1785</v>
      </c>
      <c r="F1100">
        <v>443.65</v>
      </c>
      <c r="G1100">
        <v>377.83</v>
      </c>
      <c r="H1100">
        <v>443.65</v>
      </c>
      <c r="I1100">
        <v>3537</v>
      </c>
      <c r="J1100">
        <v>58</v>
      </c>
      <c r="K1100" s="17">
        <f t="shared" si="137"/>
        <v>6838.2000000000007</v>
      </c>
      <c r="L1100" t="str">
        <f t="shared" si="138"/>
        <v>High Risk</v>
      </c>
      <c r="P1100" s="19">
        <f t="shared" si="139"/>
        <v>5054</v>
      </c>
      <c r="R1100" s="19">
        <f t="shared" si="136"/>
        <v>2242207.1</v>
      </c>
      <c r="T1100" s="19">
        <f t="shared" si="140"/>
        <v>1336384.71</v>
      </c>
      <c r="U1100" s="19">
        <f t="shared" si="141"/>
        <v>1569190.0499999998</v>
      </c>
      <c r="V1100" s="21">
        <f t="shared" si="142"/>
        <v>232805.33999999985</v>
      </c>
      <c r="W1100" s="18">
        <f t="shared" si="143"/>
        <v>0.17420533043961559</v>
      </c>
    </row>
    <row r="1101" spans="1:23" x14ac:dyDescent="0.3">
      <c r="A1101" t="s">
        <v>657</v>
      </c>
      <c r="B1101" t="s">
        <v>1784</v>
      </c>
      <c r="C1101" t="s">
        <v>16</v>
      </c>
      <c r="D1101" t="s">
        <v>17</v>
      </c>
      <c r="E1101">
        <v>1787</v>
      </c>
      <c r="F1101">
        <v>105.41</v>
      </c>
      <c r="G1101">
        <v>114.3</v>
      </c>
      <c r="H1101">
        <v>105.41</v>
      </c>
      <c r="I1101">
        <v>181</v>
      </c>
      <c r="J1101">
        <v>49</v>
      </c>
      <c r="K1101" s="17">
        <f t="shared" si="137"/>
        <v>295.63333333333333</v>
      </c>
      <c r="L1101" t="str">
        <f t="shared" si="138"/>
        <v>Sufficuent Stock</v>
      </c>
      <c r="P1101" s="19">
        <f t="shared" si="139"/>
        <v>0</v>
      </c>
      <c r="R1101" s="19">
        <f t="shared" si="136"/>
        <v>0</v>
      </c>
      <c r="T1101" s="19">
        <f t="shared" si="140"/>
        <v>20688.3</v>
      </c>
      <c r="U1101" s="19">
        <f t="shared" si="141"/>
        <v>19079.21</v>
      </c>
      <c r="V1101" s="21">
        <f t="shared" si="142"/>
        <v>-1609.0900000000001</v>
      </c>
      <c r="W1101" s="18">
        <f t="shared" si="143"/>
        <v>-7.7777777777777793E-2</v>
      </c>
    </row>
    <row r="1102" spans="1:23" x14ac:dyDescent="0.3">
      <c r="A1102" t="s">
        <v>1002</v>
      </c>
      <c r="B1102" t="s">
        <v>3065</v>
      </c>
      <c r="C1102" t="s">
        <v>50</v>
      </c>
      <c r="D1102" t="s">
        <v>13</v>
      </c>
      <c r="E1102">
        <v>1789</v>
      </c>
      <c r="F1102">
        <v>323.13</v>
      </c>
      <c r="G1102">
        <v>346.55</v>
      </c>
      <c r="H1102">
        <v>323.13</v>
      </c>
      <c r="I1102">
        <v>2750</v>
      </c>
      <c r="J1102">
        <v>76</v>
      </c>
      <c r="K1102" s="17">
        <f t="shared" si="137"/>
        <v>6966.666666666667</v>
      </c>
      <c r="L1102" t="str">
        <f t="shared" si="138"/>
        <v>High Risk</v>
      </c>
      <c r="P1102" s="19">
        <f t="shared" si="139"/>
        <v>5178</v>
      </c>
      <c r="R1102" s="19">
        <f t="shared" si="136"/>
        <v>1673167.14</v>
      </c>
      <c r="T1102" s="19">
        <f t="shared" si="140"/>
        <v>953012.5</v>
      </c>
      <c r="U1102" s="19">
        <f t="shared" si="141"/>
        <v>888607.5</v>
      </c>
      <c r="V1102" s="21">
        <f t="shared" si="142"/>
        <v>-64405</v>
      </c>
      <c r="W1102" s="18">
        <f t="shared" si="143"/>
        <v>-6.7580435723560817E-2</v>
      </c>
    </row>
    <row r="1103" spans="1:23" x14ac:dyDescent="0.3">
      <c r="A1103" t="s">
        <v>100</v>
      </c>
      <c r="B1103" t="s">
        <v>2666</v>
      </c>
      <c r="C1103" t="s">
        <v>50</v>
      </c>
      <c r="D1103" t="s">
        <v>26</v>
      </c>
      <c r="E1103">
        <v>1789</v>
      </c>
      <c r="F1103">
        <v>52.16</v>
      </c>
      <c r="G1103">
        <v>49.91</v>
      </c>
      <c r="H1103">
        <v>52.16</v>
      </c>
      <c r="I1103">
        <v>1461</v>
      </c>
      <c r="J1103">
        <v>85</v>
      </c>
      <c r="K1103" s="17">
        <f t="shared" si="137"/>
        <v>4139.5</v>
      </c>
      <c r="L1103" t="str">
        <f t="shared" si="138"/>
        <v>High Risk</v>
      </c>
      <c r="P1103" s="19">
        <f t="shared" si="139"/>
        <v>2351</v>
      </c>
      <c r="R1103" s="19">
        <f t="shared" si="136"/>
        <v>122628.15999999999</v>
      </c>
      <c r="T1103" s="19">
        <f t="shared" si="140"/>
        <v>72918.509999999995</v>
      </c>
      <c r="U1103" s="19">
        <f t="shared" si="141"/>
        <v>76205.759999999995</v>
      </c>
      <c r="V1103" s="21">
        <f t="shared" si="142"/>
        <v>3287.25</v>
      </c>
      <c r="W1103" s="18">
        <f t="shared" si="143"/>
        <v>4.5081146062913247E-2</v>
      </c>
    </row>
    <row r="1104" spans="1:23" x14ac:dyDescent="0.3">
      <c r="A1104" t="s">
        <v>121</v>
      </c>
      <c r="B1104" t="s">
        <v>2325</v>
      </c>
      <c r="C1104" t="s">
        <v>50</v>
      </c>
      <c r="D1104" t="s">
        <v>13</v>
      </c>
      <c r="E1104">
        <v>1792</v>
      </c>
      <c r="F1104">
        <v>342.91</v>
      </c>
      <c r="G1104">
        <v>291.70999999999998</v>
      </c>
      <c r="H1104">
        <v>342.91</v>
      </c>
      <c r="I1104">
        <v>128</v>
      </c>
      <c r="J1104">
        <v>76</v>
      </c>
      <c r="K1104" s="17">
        <f t="shared" si="137"/>
        <v>324.26666666666665</v>
      </c>
      <c r="L1104" t="str">
        <f t="shared" si="138"/>
        <v>Sufficuent Stock</v>
      </c>
      <c r="P1104" s="19">
        <f t="shared" si="139"/>
        <v>0</v>
      </c>
      <c r="R1104" s="19">
        <f t="shared" si="136"/>
        <v>0</v>
      </c>
      <c r="T1104" s="19">
        <f t="shared" si="140"/>
        <v>37338.879999999997</v>
      </c>
      <c r="U1104" s="19">
        <f t="shared" si="141"/>
        <v>43892.480000000003</v>
      </c>
      <c r="V1104" s="21">
        <f t="shared" si="142"/>
        <v>6553.6000000000058</v>
      </c>
      <c r="W1104" s="18">
        <f t="shared" si="143"/>
        <v>0.17551678036406038</v>
      </c>
    </row>
    <row r="1105" spans="1:23" x14ac:dyDescent="0.3">
      <c r="A1105" t="s">
        <v>543</v>
      </c>
      <c r="B1105" t="s">
        <v>544</v>
      </c>
      <c r="C1105" t="s">
        <v>50</v>
      </c>
      <c r="D1105" t="s">
        <v>20</v>
      </c>
      <c r="E1105">
        <v>1794</v>
      </c>
      <c r="F1105">
        <v>170.95</v>
      </c>
      <c r="G1105">
        <v>159.69</v>
      </c>
      <c r="H1105">
        <v>170.95</v>
      </c>
      <c r="I1105">
        <v>592</v>
      </c>
      <c r="J1105">
        <v>68</v>
      </c>
      <c r="K1105" s="17">
        <f t="shared" si="137"/>
        <v>1341.8666666666668</v>
      </c>
      <c r="L1105" t="str">
        <f t="shared" si="138"/>
        <v>Sufficuent Stock</v>
      </c>
      <c r="P1105" s="19">
        <f t="shared" si="139"/>
        <v>0</v>
      </c>
      <c r="R1105" s="19">
        <f t="shared" si="136"/>
        <v>0</v>
      </c>
      <c r="T1105" s="19">
        <f t="shared" si="140"/>
        <v>94536.48</v>
      </c>
      <c r="U1105" s="19">
        <f t="shared" si="141"/>
        <v>101202.4</v>
      </c>
      <c r="V1105" s="21">
        <f t="shared" si="142"/>
        <v>6665.9199999999983</v>
      </c>
      <c r="W1105" s="18">
        <f t="shared" si="143"/>
        <v>7.0511616256496948E-2</v>
      </c>
    </row>
    <row r="1106" spans="1:23" x14ac:dyDescent="0.3">
      <c r="A1106" t="s">
        <v>831</v>
      </c>
      <c r="B1106" t="s">
        <v>2284</v>
      </c>
      <c r="C1106" t="s">
        <v>23</v>
      </c>
      <c r="D1106" t="s">
        <v>13</v>
      </c>
      <c r="E1106">
        <v>1795</v>
      </c>
      <c r="F1106">
        <v>361.7</v>
      </c>
      <c r="G1106">
        <v>315.26</v>
      </c>
      <c r="H1106">
        <v>361.7</v>
      </c>
      <c r="I1106">
        <v>3249</v>
      </c>
      <c r="J1106">
        <v>24</v>
      </c>
      <c r="K1106" s="17">
        <f t="shared" si="137"/>
        <v>2599.1999999999998</v>
      </c>
      <c r="L1106" t="str">
        <f t="shared" si="138"/>
        <v>High Risk</v>
      </c>
      <c r="P1106" s="19">
        <f t="shared" si="139"/>
        <v>805</v>
      </c>
      <c r="R1106" s="19">
        <f t="shared" si="136"/>
        <v>291168.5</v>
      </c>
      <c r="T1106" s="19">
        <f t="shared" si="140"/>
        <v>1024279.74</v>
      </c>
      <c r="U1106" s="19">
        <f t="shared" si="141"/>
        <v>1175163.3</v>
      </c>
      <c r="V1106" s="21">
        <f t="shared" si="142"/>
        <v>150883.56000000006</v>
      </c>
      <c r="W1106" s="18">
        <f t="shared" si="143"/>
        <v>0.14730698471103221</v>
      </c>
    </row>
    <row r="1107" spans="1:23" x14ac:dyDescent="0.3">
      <c r="A1107" t="s">
        <v>155</v>
      </c>
      <c r="B1107" t="s">
        <v>156</v>
      </c>
      <c r="C1107" t="s">
        <v>12</v>
      </c>
      <c r="D1107" t="s">
        <v>13</v>
      </c>
      <c r="E1107">
        <v>1795</v>
      </c>
      <c r="F1107">
        <v>84.03</v>
      </c>
      <c r="G1107">
        <v>91.95</v>
      </c>
      <c r="H1107">
        <v>84.03</v>
      </c>
      <c r="I1107">
        <v>168</v>
      </c>
      <c r="J1107">
        <v>68</v>
      </c>
      <c r="K1107" s="17">
        <f t="shared" si="137"/>
        <v>380.79999999999995</v>
      </c>
      <c r="L1107" t="str">
        <f t="shared" si="138"/>
        <v>Sufficuent Stock</v>
      </c>
      <c r="P1107" s="19">
        <f t="shared" si="139"/>
        <v>0</v>
      </c>
      <c r="R1107" s="19">
        <f t="shared" si="136"/>
        <v>0</v>
      </c>
      <c r="T1107" s="19">
        <f t="shared" si="140"/>
        <v>15447.6</v>
      </c>
      <c r="U1107" s="19">
        <f t="shared" si="141"/>
        <v>14117.04</v>
      </c>
      <c r="V1107" s="21">
        <f t="shared" si="142"/>
        <v>-1330.5599999999995</v>
      </c>
      <c r="W1107" s="18">
        <f t="shared" si="143"/>
        <v>-8.6133768352365386E-2</v>
      </c>
    </row>
    <row r="1108" spans="1:23" x14ac:dyDescent="0.3">
      <c r="A1108" t="s">
        <v>229</v>
      </c>
      <c r="B1108" t="s">
        <v>1686</v>
      </c>
      <c r="C1108" t="s">
        <v>23</v>
      </c>
      <c r="D1108" t="s">
        <v>20</v>
      </c>
      <c r="E1108">
        <v>1798</v>
      </c>
      <c r="F1108">
        <v>378.79</v>
      </c>
      <c r="G1108">
        <v>318.33</v>
      </c>
      <c r="H1108">
        <v>378.79</v>
      </c>
      <c r="I1108">
        <v>1747</v>
      </c>
      <c r="J1108">
        <v>36</v>
      </c>
      <c r="K1108" s="17">
        <f t="shared" si="137"/>
        <v>2096.4</v>
      </c>
      <c r="L1108" t="str">
        <f t="shared" si="138"/>
        <v>High Risk</v>
      </c>
      <c r="P1108" s="19">
        <f t="shared" si="139"/>
        <v>299</v>
      </c>
      <c r="R1108" s="19">
        <f t="shared" si="136"/>
        <v>113258.21</v>
      </c>
      <c r="T1108" s="19">
        <f t="shared" si="140"/>
        <v>556122.51</v>
      </c>
      <c r="U1108" s="19">
        <f t="shared" si="141"/>
        <v>661746.13</v>
      </c>
      <c r="V1108" s="21">
        <f t="shared" si="142"/>
        <v>105623.62</v>
      </c>
      <c r="W1108" s="18">
        <f t="shared" si="143"/>
        <v>0.18992869035277854</v>
      </c>
    </row>
    <row r="1109" spans="1:23" x14ac:dyDescent="0.3">
      <c r="A1109" t="s">
        <v>600</v>
      </c>
      <c r="B1109" t="s">
        <v>1100</v>
      </c>
      <c r="C1109" t="s">
        <v>12</v>
      </c>
      <c r="D1109" t="s">
        <v>20</v>
      </c>
      <c r="E1109">
        <v>1799</v>
      </c>
      <c r="F1109">
        <v>278.87</v>
      </c>
      <c r="G1109">
        <v>270.8</v>
      </c>
      <c r="H1109">
        <v>278.87</v>
      </c>
      <c r="I1109">
        <v>965</v>
      </c>
      <c r="J1109">
        <v>88</v>
      </c>
      <c r="K1109" s="17">
        <f t="shared" si="137"/>
        <v>2830.6666666666665</v>
      </c>
      <c r="L1109" t="str">
        <f t="shared" si="138"/>
        <v>High Risk</v>
      </c>
      <c r="P1109" s="19">
        <f t="shared" si="139"/>
        <v>1032</v>
      </c>
      <c r="R1109" s="19">
        <f t="shared" si="136"/>
        <v>287793.84000000003</v>
      </c>
      <c r="T1109" s="19">
        <f t="shared" si="140"/>
        <v>261322</v>
      </c>
      <c r="U1109" s="19">
        <f t="shared" si="141"/>
        <v>269109.55</v>
      </c>
      <c r="V1109" s="21">
        <f t="shared" si="142"/>
        <v>7787.5499999999884</v>
      </c>
      <c r="W1109" s="18">
        <f t="shared" si="143"/>
        <v>2.9800590841949734E-2</v>
      </c>
    </row>
    <row r="1110" spans="1:23" x14ac:dyDescent="0.3">
      <c r="A1110" t="s">
        <v>541</v>
      </c>
      <c r="B1110" t="s">
        <v>1951</v>
      </c>
      <c r="C1110" t="s">
        <v>37</v>
      </c>
      <c r="D1110" t="s">
        <v>26</v>
      </c>
      <c r="E1110">
        <v>1803</v>
      </c>
      <c r="F1110">
        <v>279</v>
      </c>
      <c r="G1110">
        <v>252.53</v>
      </c>
      <c r="H1110">
        <v>279</v>
      </c>
      <c r="I1110">
        <v>790</v>
      </c>
      <c r="J1110">
        <v>51</v>
      </c>
      <c r="K1110" s="17">
        <f t="shared" si="137"/>
        <v>1343</v>
      </c>
      <c r="L1110" t="str">
        <f t="shared" si="138"/>
        <v>Sufficuent Stock</v>
      </c>
      <c r="P1110" s="19">
        <f t="shared" si="139"/>
        <v>0</v>
      </c>
      <c r="R1110" s="19">
        <f t="shared" si="136"/>
        <v>0</v>
      </c>
      <c r="T1110" s="19">
        <f t="shared" si="140"/>
        <v>199498.7</v>
      </c>
      <c r="U1110" s="19">
        <f t="shared" si="141"/>
        <v>220410</v>
      </c>
      <c r="V1110" s="21">
        <f t="shared" si="142"/>
        <v>20911.299999999988</v>
      </c>
      <c r="W1110" s="18">
        <f t="shared" si="143"/>
        <v>0.10481922939848724</v>
      </c>
    </row>
    <row r="1111" spans="1:23" x14ac:dyDescent="0.3">
      <c r="A1111" t="s">
        <v>268</v>
      </c>
      <c r="B1111" t="s">
        <v>3083</v>
      </c>
      <c r="C1111" t="s">
        <v>23</v>
      </c>
      <c r="D1111" t="s">
        <v>13</v>
      </c>
      <c r="E1111">
        <v>1806</v>
      </c>
      <c r="F1111">
        <v>217.78</v>
      </c>
      <c r="G1111">
        <v>222.76</v>
      </c>
      <c r="H1111">
        <v>217.78</v>
      </c>
      <c r="I1111">
        <v>3438</v>
      </c>
      <c r="J1111">
        <v>49</v>
      </c>
      <c r="K1111" s="17">
        <f t="shared" si="137"/>
        <v>5615.4</v>
      </c>
      <c r="L1111" t="str">
        <f t="shared" si="138"/>
        <v>High Risk</v>
      </c>
      <c r="P1111" s="19">
        <f t="shared" si="139"/>
        <v>3810</v>
      </c>
      <c r="R1111" s="19">
        <f t="shared" si="136"/>
        <v>829741.8</v>
      </c>
      <c r="T1111" s="19">
        <f t="shared" si="140"/>
        <v>765848.88</v>
      </c>
      <c r="U1111" s="19">
        <f t="shared" si="141"/>
        <v>748727.64</v>
      </c>
      <c r="V1111" s="21">
        <f t="shared" si="142"/>
        <v>-17121.239999999991</v>
      </c>
      <c r="W1111" s="18">
        <f t="shared" si="143"/>
        <v>-2.2355898725085283E-2</v>
      </c>
    </row>
    <row r="1112" spans="1:23" x14ac:dyDescent="0.3">
      <c r="A1112" t="s">
        <v>688</v>
      </c>
      <c r="B1112" t="s">
        <v>2363</v>
      </c>
      <c r="C1112" t="s">
        <v>50</v>
      </c>
      <c r="D1112" t="s">
        <v>17</v>
      </c>
      <c r="E1112">
        <v>1808</v>
      </c>
      <c r="F1112">
        <v>281.79000000000002</v>
      </c>
      <c r="G1112">
        <v>278.44</v>
      </c>
      <c r="H1112">
        <v>281.79000000000002</v>
      </c>
      <c r="I1112">
        <v>1513</v>
      </c>
      <c r="J1112">
        <v>78</v>
      </c>
      <c r="K1112" s="17">
        <f t="shared" si="137"/>
        <v>3933.7999999999997</v>
      </c>
      <c r="L1112" t="str">
        <f t="shared" si="138"/>
        <v>High Risk</v>
      </c>
      <c r="P1112" s="19">
        <f t="shared" si="139"/>
        <v>2126</v>
      </c>
      <c r="R1112" s="19">
        <f t="shared" si="136"/>
        <v>599085.54</v>
      </c>
      <c r="T1112" s="19">
        <f t="shared" si="140"/>
        <v>421279.72</v>
      </c>
      <c r="U1112" s="19">
        <f t="shared" si="141"/>
        <v>426348.27</v>
      </c>
      <c r="V1112" s="21">
        <f t="shared" si="142"/>
        <v>5068.5500000000466</v>
      </c>
      <c r="W1112" s="18">
        <f t="shared" si="143"/>
        <v>1.2031317339462833E-2</v>
      </c>
    </row>
    <row r="1113" spans="1:23" x14ac:dyDescent="0.3">
      <c r="A1113" t="s">
        <v>723</v>
      </c>
      <c r="B1113" t="s">
        <v>894</v>
      </c>
      <c r="C1113" t="s">
        <v>12</v>
      </c>
      <c r="D1113" t="s">
        <v>13</v>
      </c>
      <c r="E1113">
        <v>1812</v>
      </c>
      <c r="F1113">
        <v>365.02</v>
      </c>
      <c r="G1113">
        <v>373.19</v>
      </c>
      <c r="H1113">
        <v>365.02</v>
      </c>
      <c r="I1113">
        <v>390</v>
      </c>
      <c r="J1113">
        <v>36</v>
      </c>
      <c r="K1113" s="17">
        <f t="shared" si="137"/>
        <v>468</v>
      </c>
      <c r="L1113" t="str">
        <f t="shared" si="138"/>
        <v>Sufficuent Stock</v>
      </c>
      <c r="P1113" s="19">
        <f t="shared" si="139"/>
        <v>0</v>
      </c>
      <c r="R1113" s="19">
        <f t="shared" si="136"/>
        <v>0</v>
      </c>
      <c r="T1113" s="19">
        <f t="shared" si="140"/>
        <v>145544.1</v>
      </c>
      <c r="U1113" s="19">
        <f t="shared" si="141"/>
        <v>142357.79999999999</v>
      </c>
      <c r="V1113" s="21">
        <f t="shared" si="142"/>
        <v>-3186.3000000000175</v>
      </c>
      <c r="W1113" s="18">
        <f t="shared" si="143"/>
        <v>-2.1892333663817477E-2</v>
      </c>
    </row>
    <row r="1114" spans="1:23" x14ac:dyDescent="0.3">
      <c r="A1114" t="s">
        <v>78</v>
      </c>
      <c r="B1114" t="s">
        <v>1954</v>
      </c>
      <c r="C1114" t="s">
        <v>50</v>
      </c>
      <c r="D1114" t="s">
        <v>26</v>
      </c>
      <c r="E1114">
        <v>1813</v>
      </c>
      <c r="F1114">
        <v>107.66</v>
      </c>
      <c r="G1114">
        <v>103.64</v>
      </c>
      <c r="H1114">
        <v>107.66</v>
      </c>
      <c r="I1114">
        <v>2626</v>
      </c>
      <c r="J1114">
        <v>20</v>
      </c>
      <c r="K1114" s="17">
        <f t="shared" si="137"/>
        <v>1750.6666666666665</v>
      </c>
      <c r="L1114" t="str">
        <f t="shared" si="138"/>
        <v>Sufficuent Stock</v>
      </c>
      <c r="P1114" s="19">
        <f t="shared" si="139"/>
        <v>0</v>
      </c>
      <c r="R1114" s="19">
        <f t="shared" si="136"/>
        <v>0</v>
      </c>
      <c r="T1114" s="19">
        <f t="shared" si="140"/>
        <v>272158.64</v>
      </c>
      <c r="U1114" s="19">
        <f t="shared" si="141"/>
        <v>282715.15999999997</v>
      </c>
      <c r="V1114" s="21">
        <f t="shared" si="142"/>
        <v>10556.51999999996</v>
      </c>
      <c r="W1114" s="18">
        <f t="shared" si="143"/>
        <v>3.8788112697799929E-2</v>
      </c>
    </row>
    <row r="1115" spans="1:23" x14ac:dyDescent="0.3">
      <c r="A1115" t="s">
        <v>40</v>
      </c>
      <c r="B1115" t="s">
        <v>3269</v>
      </c>
      <c r="C1115" t="s">
        <v>37</v>
      </c>
      <c r="D1115" t="s">
        <v>17</v>
      </c>
      <c r="E1115">
        <v>1813</v>
      </c>
      <c r="F1115">
        <v>22.23</v>
      </c>
      <c r="G1115">
        <v>21.8</v>
      </c>
      <c r="H1115">
        <v>22.23</v>
      </c>
      <c r="I1115">
        <v>1372</v>
      </c>
      <c r="J1115">
        <v>75</v>
      </c>
      <c r="K1115" s="17">
        <f t="shared" si="137"/>
        <v>3430</v>
      </c>
      <c r="L1115" t="str">
        <f t="shared" si="138"/>
        <v>High Risk</v>
      </c>
      <c r="P1115" s="19">
        <f t="shared" si="139"/>
        <v>1617</v>
      </c>
      <c r="R1115" s="19">
        <f t="shared" si="136"/>
        <v>35945.910000000003</v>
      </c>
      <c r="T1115" s="19">
        <f t="shared" si="140"/>
        <v>29909.600000000002</v>
      </c>
      <c r="U1115" s="19">
        <f t="shared" si="141"/>
        <v>30499.56</v>
      </c>
      <c r="V1115" s="21">
        <f t="shared" si="142"/>
        <v>589.95999999999913</v>
      </c>
      <c r="W1115" s="18">
        <f t="shared" si="143"/>
        <v>1.9724770642201805E-2</v>
      </c>
    </row>
    <row r="1116" spans="1:23" x14ac:dyDescent="0.3">
      <c r="A1116" t="s">
        <v>1163</v>
      </c>
      <c r="B1116" t="s">
        <v>1164</v>
      </c>
      <c r="C1116" t="s">
        <v>37</v>
      </c>
      <c r="D1116" t="s">
        <v>26</v>
      </c>
      <c r="E1116">
        <v>1813</v>
      </c>
      <c r="F1116">
        <v>18.91</v>
      </c>
      <c r="G1116">
        <v>19.53</v>
      </c>
      <c r="H1116">
        <v>18.91</v>
      </c>
      <c r="I1116">
        <v>624</v>
      </c>
      <c r="J1116">
        <v>24</v>
      </c>
      <c r="K1116" s="17">
        <f t="shared" si="137"/>
        <v>499.20000000000005</v>
      </c>
      <c r="L1116" t="str">
        <f t="shared" si="138"/>
        <v>Sufficuent Stock</v>
      </c>
      <c r="P1116" s="19">
        <f t="shared" si="139"/>
        <v>0</v>
      </c>
      <c r="R1116" s="19">
        <f t="shared" si="136"/>
        <v>0</v>
      </c>
      <c r="T1116" s="19">
        <f t="shared" si="140"/>
        <v>12186.720000000001</v>
      </c>
      <c r="U1116" s="19">
        <f t="shared" si="141"/>
        <v>11799.84</v>
      </c>
      <c r="V1116" s="21">
        <f t="shared" si="142"/>
        <v>-386.88000000000102</v>
      </c>
      <c r="W1116" s="18">
        <f t="shared" si="143"/>
        <v>-3.1746031746031828E-2</v>
      </c>
    </row>
    <row r="1117" spans="1:23" x14ac:dyDescent="0.3">
      <c r="A1117" t="s">
        <v>10</v>
      </c>
      <c r="B1117" t="s">
        <v>2127</v>
      </c>
      <c r="C1117" t="s">
        <v>23</v>
      </c>
      <c r="D1117" t="s">
        <v>20</v>
      </c>
      <c r="E1117">
        <v>1814</v>
      </c>
      <c r="F1117">
        <v>62.11</v>
      </c>
      <c r="G1117">
        <v>61.04</v>
      </c>
      <c r="H1117">
        <v>62.11</v>
      </c>
      <c r="I1117">
        <v>1278</v>
      </c>
      <c r="J1117">
        <v>10</v>
      </c>
      <c r="K1117" s="17">
        <f t="shared" si="137"/>
        <v>426</v>
      </c>
      <c r="L1117" t="str">
        <f t="shared" si="138"/>
        <v>Sufficuent Stock</v>
      </c>
      <c r="P1117" s="19">
        <f t="shared" si="139"/>
        <v>0</v>
      </c>
      <c r="R1117" s="19">
        <f t="shared" si="136"/>
        <v>0</v>
      </c>
      <c r="T1117" s="19">
        <f t="shared" si="140"/>
        <v>78009.119999999995</v>
      </c>
      <c r="U1117" s="19">
        <f t="shared" si="141"/>
        <v>79376.58</v>
      </c>
      <c r="V1117" s="21">
        <f t="shared" si="142"/>
        <v>1367.4600000000064</v>
      </c>
      <c r="W1117" s="18">
        <f t="shared" si="143"/>
        <v>1.7529488859764172E-2</v>
      </c>
    </row>
    <row r="1118" spans="1:23" x14ac:dyDescent="0.3">
      <c r="A1118" t="s">
        <v>96</v>
      </c>
      <c r="B1118" t="s">
        <v>406</v>
      </c>
      <c r="C1118" t="s">
        <v>23</v>
      </c>
      <c r="D1118" t="s">
        <v>17</v>
      </c>
      <c r="E1118">
        <v>1816</v>
      </c>
      <c r="F1118">
        <v>221.12</v>
      </c>
      <c r="G1118">
        <v>185.56</v>
      </c>
      <c r="H1118">
        <v>221.12</v>
      </c>
      <c r="I1118">
        <v>1995</v>
      </c>
      <c r="J1118">
        <v>63</v>
      </c>
      <c r="K1118" s="17">
        <f t="shared" si="137"/>
        <v>4189.5</v>
      </c>
      <c r="L1118" t="str">
        <f t="shared" si="138"/>
        <v>High Risk</v>
      </c>
      <c r="P1118" s="19">
        <f t="shared" si="139"/>
        <v>2374</v>
      </c>
      <c r="R1118" s="19">
        <f t="shared" si="136"/>
        <v>524938.88</v>
      </c>
      <c r="T1118" s="19">
        <f t="shared" si="140"/>
        <v>370192.2</v>
      </c>
      <c r="U1118" s="19">
        <f t="shared" si="141"/>
        <v>441134.4</v>
      </c>
      <c r="V1118" s="21">
        <f t="shared" si="142"/>
        <v>70942.200000000012</v>
      </c>
      <c r="W1118" s="18">
        <f t="shared" si="143"/>
        <v>0.19163612847596467</v>
      </c>
    </row>
    <row r="1119" spans="1:23" x14ac:dyDescent="0.3">
      <c r="A1119" t="s">
        <v>326</v>
      </c>
      <c r="B1119" t="s">
        <v>1403</v>
      </c>
      <c r="C1119" t="s">
        <v>16</v>
      </c>
      <c r="D1119" t="s">
        <v>69</v>
      </c>
      <c r="E1119">
        <v>1817</v>
      </c>
      <c r="F1119">
        <v>536.98</v>
      </c>
      <c r="G1119">
        <v>451.19</v>
      </c>
      <c r="H1119">
        <v>536.98</v>
      </c>
      <c r="I1119">
        <v>2283</v>
      </c>
      <c r="J1119">
        <v>52</v>
      </c>
      <c r="K1119" s="17">
        <f t="shared" si="137"/>
        <v>3957.2</v>
      </c>
      <c r="L1119" t="str">
        <f t="shared" si="138"/>
        <v>High Risk</v>
      </c>
      <c r="P1119" s="19">
        <f t="shared" si="139"/>
        <v>2141</v>
      </c>
      <c r="R1119" s="19">
        <f t="shared" si="136"/>
        <v>1149674.18</v>
      </c>
      <c r="T1119" s="19">
        <f t="shared" si="140"/>
        <v>1030066.77</v>
      </c>
      <c r="U1119" s="19">
        <f t="shared" si="141"/>
        <v>1225925.3400000001</v>
      </c>
      <c r="V1119" s="21">
        <f t="shared" si="142"/>
        <v>195858.57000000007</v>
      </c>
      <c r="W1119" s="18">
        <f t="shared" si="143"/>
        <v>0.19014162547928817</v>
      </c>
    </row>
    <row r="1120" spans="1:23" x14ac:dyDescent="0.3">
      <c r="A1120" t="s">
        <v>109</v>
      </c>
      <c r="B1120" t="s">
        <v>379</v>
      </c>
      <c r="C1120" t="s">
        <v>37</v>
      </c>
      <c r="D1120" t="s">
        <v>20</v>
      </c>
      <c r="E1120">
        <v>1817</v>
      </c>
      <c r="F1120">
        <v>350.25</v>
      </c>
      <c r="G1120">
        <v>388.15</v>
      </c>
      <c r="H1120">
        <v>350.25</v>
      </c>
      <c r="I1120">
        <v>455</v>
      </c>
      <c r="J1120">
        <v>9</v>
      </c>
      <c r="K1120" s="17">
        <f t="shared" si="137"/>
        <v>136.5</v>
      </c>
      <c r="L1120" t="str">
        <f t="shared" si="138"/>
        <v>Sufficuent Stock</v>
      </c>
      <c r="P1120" s="19">
        <f t="shared" si="139"/>
        <v>0</v>
      </c>
      <c r="R1120" s="19">
        <f t="shared" si="136"/>
        <v>0</v>
      </c>
      <c r="T1120" s="19">
        <f t="shared" si="140"/>
        <v>176608.25</v>
      </c>
      <c r="U1120" s="19">
        <f t="shared" si="141"/>
        <v>159363.75</v>
      </c>
      <c r="V1120" s="21">
        <f t="shared" si="142"/>
        <v>-17244.5</v>
      </c>
      <c r="W1120" s="18">
        <f t="shared" si="143"/>
        <v>-9.7642663918588168E-2</v>
      </c>
    </row>
    <row r="1121" spans="1:23" x14ac:dyDescent="0.3">
      <c r="A1121" t="s">
        <v>867</v>
      </c>
      <c r="B1121" t="s">
        <v>2545</v>
      </c>
      <c r="C1121" t="s">
        <v>16</v>
      </c>
      <c r="D1121" t="s">
        <v>26</v>
      </c>
      <c r="E1121">
        <v>1819</v>
      </c>
      <c r="F1121">
        <v>335.33</v>
      </c>
      <c r="G1121">
        <v>332.35</v>
      </c>
      <c r="H1121">
        <v>335.33</v>
      </c>
      <c r="I1121">
        <v>3391</v>
      </c>
      <c r="J1121">
        <v>73</v>
      </c>
      <c r="K1121" s="17">
        <f t="shared" si="137"/>
        <v>8251.4333333333325</v>
      </c>
      <c r="L1121" t="str">
        <f t="shared" si="138"/>
        <v>High Risk</v>
      </c>
      <c r="P1121" s="19">
        <f t="shared" si="139"/>
        <v>6433</v>
      </c>
      <c r="R1121" s="19">
        <f t="shared" si="136"/>
        <v>2157177.8899999997</v>
      </c>
      <c r="T1121" s="19">
        <f t="shared" si="140"/>
        <v>1126998.8500000001</v>
      </c>
      <c r="U1121" s="19">
        <f t="shared" si="141"/>
        <v>1137104.03</v>
      </c>
      <c r="V1121" s="21">
        <f t="shared" si="142"/>
        <v>10105.179999999935</v>
      </c>
      <c r="W1121" s="18">
        <f t="shared" si="143"/>
        <v>8.9664510305400343E-3</v>
      </c>
    </row>
    <row r="1122" spans="1:23" x14ac:dyDescent="0.3">
      <c r="A1122" t="s">
        <v>270</v>
      </c>
      <c r="B1122" t="s">
        <v>1046</v>
      </c>
      <c r="C1122" t="s">
        <v>12</v>
      </c>
      <c r="D1122" t="s">
        <v>17</v>
      </c>
      <c r="E1122">
        <v>1821</v>
      </c>
      <c r="F1122">
        <v>25.87</v>
      </c>
      <c r="G1122">
        <v>23.04</v>
      </c>
      <c r="H1122">
        <v>25.87</v>
      </c>
      <c r="I1122">
        <v>1937</v>
      </c>
      <c r="J1122">
        <v>15</v>
      </c>
      <c r="K1122" s="17">
        <f t="shared" si="137"/>
        <v>968.5</v>
      </c>
      <c r="L1122" t="str">
        <f t="shared" si="138"/>
        <v>Sufficuent Stock</v>
      </c>
      <c r="P1122" s="19">
        <f t="shared" si="139"/>
        <v>0</v>
      </c>
      <c r="R1122" s="19">
        <f t="shared" si="136"/>
        <v>0</v>
      </c>
      <c r="T1122" s="19">
        <f t="shared" si="140"/>
        <v>44628.479999999996</v>
      </c>
      <c r="U1122" s="19">
        <f t="shared" si="141"/>
        <v>50110.19</v>
      </c>
      <c r="V1122" s="21">
        <f t="shared" si="142"/>
        <v>5481.7100000000064</v>
      </c>
      <c r="W1122" s="18">
        <f t="shared" si="143"/>
        <v>0.12282986111111127</v>
      </c>
    </row>
    <row r="1123" spans="1:23" x14ac:dyDescent="0.3">
      <c r="A1123" t="s">
        <v>323</v>
      </c>
      <c r="B1123" t="s">
        <v>2218</v>
      </c>
      <c r="C1123" t="s">
        <v>23</v>
      </c>
      <c r="D1123" t="s">
        <v>17</v>
      </c>
      <c r="E1123">
        <v>1822</v>
      </c>
      <c r="F1123">
        <v>86.7</v>
      </c>
      <c r="G1123">
        <v>83.7</v>
      </c>
      <c r="H1123">
        <v>86.7</v>
      </c>
      <c r="I1123">
        <v>2445</v>
      </c>
      <c r="J1123">
        <v>58</v>
      </c>
      <c r="K1123" s="17">
        <f t="shared" si="137"/>
        <v>4727</v>
      </c>
      <c r="L1123" t="str">
        <f t="shared" si="138"/>
        <v>High Risk</v>
      </c>
      <c r="P1123" s="19">
        <f t="shared" si="139"/>
        <v>2905</v>
      </c>
      <c r="R1123" s="19">
        <f t="shared" si="136"/>
        <v>251863.5</v>
      </c>
      <c r="T1123" s="19">
        <f t="shared" si="140"/>
        <v>204646.5</v>
      </c>
      <c r="U1123" s="19">
        <f t="shared" si="141"/>
        <v>211981.5</v>
      </c>
      <c r="V1123" s="21">
        <f t="shared" si="142"/>
        <v>7335</v>
      </c>
      <c r="W1123" s="18">
        <f t="shared" si="143"/>
        <v>3.5842293906810034E-2</v>
      </c>
    </row>
    <row r="1124" spans="1:23" x14ac:dyDescent="0.3">
      <c r="A1124" t="s">
        <v>642</v>
      </c>
      <c r="B1124" t="s">
        <v>1145</v>
      </c>
      <c r="C1124" t="s">
        <v>50</v>
      </c>
      <c r="D1124" t="s">
        <v>20</v>
      </c>
      <c r="E1124">
        <v>1823</v>
      </c>
      <c r="F1124">
        <v>570.79</v>
      </c>
      <c r="G1124">
        <v>488.33</v>
      </c>
      <c r="H1124">
        <v>570.79</v>
      </c>
      <c r="I1124">
        <v>800</v>
      </c>
      <c r="J1124">
        <v>19</v>
      </c>
      <c r="K1124" s="17">
        <f t="shared" si="137"/>
        <v>506.66666666666669</v>
      </c>
      <c r="L1124" t="str">
        <f t="shared" si="138"/>
        <v>Sufficuent Stock</v>
      </c>
      <c r="P1124" s="19">
        <f t="shared" si="139"/>
        <v>0</v>
      </c>
      <c r="R1124" s="19">
        <f t="shared" si="136"/>
        <v>0</v>
      </c>
      <c r="T1124" s="19">
        <f t="shared" si="140"/>
        <v>390664</v>
      </c>
      <c r="U1124" s="19">
        <f t="shared" si="141"/>
        <v>456632</v>
      </c>
      <c r="V1124" s="21">
        <f t="shared" si="142"/>
        <v>65968</v>
      </c>
      <c r="W1124" s="18">
        <f t="shared" si="143"/>
        <v>0.16886122089570577</v>
      </c>
    </row>
    <row r="1125" spans="1:23" x14ac:dyDescent="0.3">
      <c r="A1125" t="s">
        <v>74</v>
      </c>
      <c r="B1125" t="s">
        <v>75</v>
      </c>
      <c r="C1125" t="s">
        <v>16</v>
      </c>
      <c r="D1125" t="s">
        <v>17</v>
      </c>
      <c r="E1125">
        <v>1823</v>
      </c>
      <c r="F1125">
        <v>305.91000000000003</v>
      </c>
      <c r="G1125">
        <v>312.7</v>
      </c>
      <c r="H1125">
        <v>305.91000000000003</v>
      </c>
      <c r="I1125">
        <v>3980</v>
      </c>
      <c r="J1125">
        <v>47</v>
      </c>
      <c r="K1125" s="17">
        <f t="shared" si="137"/>
        <v>6235.333333333333</v>
      </c>
      <c r="L1125" t="str">
        <f t="shared" si="138"/>
        <v>High Risk</v>
      </c>
      <c r="P1125" s="19">
        <f t="shared" si="139"/>
        <v>4413</v>
      </c>
      <c r="R1125" s="19">
        <f t="shared" si="136"/>
        <v>1349980.83</v>
      </c>
      <c r="T1125" s="19">
        <f t="shared" si="140"/>
        <v>1244546</v>
      </c>
      <c r="U1125" s="19">
        <f t="shared" si="141"/>
        <v>1217521.8</v>
      </c>
      <c r="V1125" s="21">
        <f t="shared" si="142"/>
        <v>-27024.199999999953</v>
      </c>
      <c r="W1125" s="18">
        <f t="shared" si="143"/>
        <v>-2.1714102974096542E-2</v>
      </c>
    </row>
    <row r="1126" spans="1:23" x14ac:dyDescent="0.3">
      <c r="A1126" t="s">
        <v>474</v>
      </c>
      <c r="B1126" t="s">
        <v>1366</v>
      </c>
      <c r="C1126" t="s">
        <v>50</v>
      </c>
      <c r="D1126" t="s">
        <v>17</v>
      </c>
      <c r="E1126">
        <v>1824</v>
      </c>
      <c r="F1126">
        <v>154.72</v>
      </c>
      <c r="G1126">
        <v>162.69</v>
      </c>
      <c r="H1126">
        <v>154.72</v>
      </c>
      <c r="I1126">
        <v>3523</v>
      </c>
      <c r="J1126">
        <v>6</v>
      </c>
      <c r="K1126" s="17">
        <f t="shared" si="137"/>
        <v>704.6</v>
      </c>
      <c r="L1126" t="str">
        <f t="shared" si="138"/>
        <v>Sufficuent Stock</v>
      </c>
      <c r="P1126" s="19">
        <f t="shared" si="139"/>
        <v>0</v>
      </c>
      <c r="R1126" s="19">
        <f t="shared" si="136"/>
        <v>0</v>
      </c>
      <c r="T1126" s="19">
        <f t="shared" si="140"/>
        <v>573156.87</v>
      </c>
      <c r="U1126" s="19">
        <f t="shared" si="141"/>
        <v>545078.55999999994</v>
      </c>
      <c r="V1126" s="21">
        <f t="shared" si="142"/>
        <v>-28078.310000000056</v>
      </c>
      <c r="W1126" s="18">
        <f t="shared" si="143"/>
        <v>-4.8988874546683978E-2</v>
      </c>
    </row>
    <row r="1127" spans="1:23" x14ac:dyDescent="0.3">
      <c r="A1127" t="s">
        <v>436</v>
      </c>
      <c r="B1127" t="s">
        <v>1584</v>
      </c>
      <c r="C1127" t="s">
        <v>23</v>
      </c>
      <c r="D1127" t="s">
        <v>20</v>
      </c>
      <c r="E1127">
        <v>1826</v>
      </c>
      <c r="F1127">
        <v>57.52</v>
      </c>
      <c r="G1127">
        <v>49.33</v>
      </c>
      <c r="H1127">
        <v>57.52</v>
      </c>
      <c r="I1127">
        <v>1612</v>
      </c>
      <c r="J1127">
        <v>78</v>
      </c>
      <c r="K1127" s="17">
        <f t="shared" si="137"/>
        <v>4191.2</v>
      </c>
      <c r="L1127" t="str">
        <f t="shared" si="138"/>
        <v>High Risk</v>
      </c>
      <c r="P1127" s="19">
        <f t="shared" si="139"/>
        <v>2366</v>
      </c>
      <c r="R1127" s="19">
        <f t="shared" si="136"/>
        <v>136092.32</v>
      </c>
      <c r="T1127" s="19">
        <f t="shared" si="140"/>
        <v>79519.959999999992</v>
      </c>
      <c r="U1127" s="19">
        <f t="shared" si="141"/>
        <v>92722.240000000005</v>
      </c>
      <c r="V1127" s="21">
        <f t="shared" si="142"/>
        <v>13202.280000000013</v>
      </c>
      <c r="W1127" s="18">
        <f t="shared" si="143"/>
        <v>0.16602473140077051</v>
      </c>
    </row>
    <row r="1128" spans="1:23" x14ac:dyDescent="0.3">
      <c r="A1128" t="s">
        <v>487</v>
      </c>
      <c r="B1128" t="s">
        <v>3195</v>
      </c>
      <c r="C1128" t="s">
        <v>23</v>
      </c>
      <c r="D1128" t="s">
        <v>13</v>
      </c>
      <c r="E1128">
        <v>1828</v>
      </c>
      <c r="F1128">
        <v>281.41000000000003</v>
      </c>
      <c r="G1128">
        <v>271.97000000000003</v>
      </c>
      <c r="H1128">
        <v>281.41000000000003</v>
      </c>
      <c r="I1128">
        <v>654</v>
      </c>
      <c r="J1128">
        <v>34</v>
      </c>
      <c r="K1128" s="17">
        <f t="shared" si="137"/>
        <v>741.2</v>
      </c>
      <c r="L1128" t="str">
        <f t="shared" si="138"/>
        <v>Sufficuent Stock</v>
      </c>
      <c r="P1128" s="19">
        <f t="shared" si="139"/>
        <v>0</v>
      </c>
      <c r="R1128" s="19">
        <f t="shared" si="136"/>
        <v>0</v>
      </c>
      <c r="T1128" s="19">
        <f t="shared" si="140"/>
        <v>177868.38</v>
      </c>
      <c r="U1128" s="19">
        <f t="shared" si="141"/>
        <v>184042.14</v>
      </c>
      <c r="V1128" s="21">
        <f t="shared" si="142"/>
        <v>6173.7600000000093</v>
      </c>
      <c r="W1128" s="18">
        <f t="shared" si="143"/>
        <v>3.4709710629848935E-2</v>
      </c>
    </row>
    <row r="1129" spans="1:23" x14ac:dyDescent="0.3">
      <c r="A1129" t="s">
        <v>303</v>
      </c>
      <c r="B1129" t="s">
        <v>342</v>
      </c>
      <c r="C1129" t="s">
        <v>12</v>
      </c>
      <c r="D1129" t="s">
        <v>26</v>
      </c>
      <c r="E1129">
        <v>1829</v>
      </c>
      <c r="F1129">
        <v>299.27</v>
      </c>
      <c r="G1129">
        <v>258.37</v>
      </c>
      <c r="H1129">
        <v>299.27</v>
      </c>
      <c r="I1129">
        <v>523</v>
      </c>
      <c r="J1129">
        <v>55</v>
      </c>
      <c r="K1129" s="17">
        <f t="shared" si="137"/>
        <v>958.83333333333337</v>
      </c>
      <c r="L1129" t="str">
        <f t="shared" si="138"/>
        <v>Sufficuent Stock</v>
      </c>
      <c r="P1129" s="19">
        <f t="shared" si="139"/>
        <v>0</v>
      </c>
      <c r="R1129" s="19">
        <f t="shared" si="136"/>
        <v>0</v>
      </c>
      <c r="T1129" s="19">
        <f t="shared" si="140"/>
        <v>135127.51</v>
      </c>
      <c r="U1129" s="19">
        <f t="shared" si="141"/>
        <v>156518.21</v>
      </c>
      <c r="V1129" s="21">
        <f t="shared" si="142"/>
        <v>21390.699999999983</v>
      </c>
      <c r="W1129" s="18">
        <f t="shared" si="143"/>
        <v>0.15830011224213322</v>
      </c>
    </row>
    <row r="1130" spans="1:23" x14ac:dyDescent="0.3">
      <c r="A1130" t="s">
        <v>151</v>
      </c>
      <c r="B1130" t="s">
        <v>1429</v>
      </c>
      <c r="C1130" t="s">
        <v>23</v>
      </c>
      <c r="D1130" t="s">
        <v>13</v>
      </c>
      <c r="E1130">
        <v>1830</v>
      </c>
      <c r="F1130">
        <v>16.82</v>
      </c>
      <c r="G1130">
        <v>17.809999999999999</v>
      </c>
      <c r="H1130">
        <v>16.82</v>
      </c>
      <c r="I1130">
        <v>3401</v>
      </c>
      <c r="J1130">
        <v>48</v>
      </c>
      <c r="K1130" s="17">
        <f t="shared" si="137"/>
        <v>5441.5999999999995</v>
      </c>
      <c r="L1130" t="str">
        <f t="shared" si="138"/>
        <v>High Risk</v>
      </c>
      <c r="P1130" s="19">
        <f t="shared" si="139"/>
        <v>3612</v>
      </c>
      <c r="R1130" s="19">
        <f t="shared" si="136"/>
        <v>60753.840000000004</v>
      </c>
      <c r="T1130" s="19">
        <f t="shared" si="140"/>
        <v>60571.81</v>
      </c>
      <c r="U1130" s="19">
        <f t="shared" si="141"/>
        <v>57204.82</v>
      </c>
      <c r="V1130" s="21">
        <f t="shared" si="142"/>
        <v>-3366.989999999998</v>
      </c>
      <c r="W1130" s="18">
        <f t="shared" si="143"/>
        <v>-5.5586749017405922E-2</v>
      </c>
    </row>
    <row r="1131" spans="1:23" x14ac:dyDescent="0.3">
      <c r="A1131" t="s">
        <v>612</v>
      </c>
      <c r="B1131" t="s">
        <v>1237</v>
      </c>
      <c r="C1131" t="s">
        <v>16</v>
      </c>
      <c r="D1131" t="s">
        <v>26</v>
      </c>
      <c r="E1131">
        <v>1830</v>
      </c>
      <c r="F1131">
        <v>338.72</v>
      </c>
      <c r="G1131">
        <v>343.54</v>
      </c>
      <c r="H1131">
        <v>338.72</v>
      </c>
      <c r="I1131">
        <v>2004</v>
      </c>
      <c r="J1131">
        <v>60</v>
      </c>
      <c r="K1131" s="17">
        <f t="shared" si="137"/>
        <v>4008</v>
      </c>
      <c r="L1131" t="str">
        <f t="shared" si="138"/>
        <v>High Risk</v>
      </c>
      <c r="P1131" s="19">
        <f t="shared" si="139"/>
        <v>2178</v>
      </c>
      <c r="R1131" s="19">
        <f t="shared" si="136"/>
        <v>737732.16</v>
      </c>
      <c r="T1131" s="19">
        <f t="shared" si="140"/>
        <v>688454.16</v>
      </c>
      <c r="U1131" s="19">
        <f t="shared" si="141"/>
        <v>678794.88</v>
      </c>
      <c r="V1131" s="21">
        <f t="shared" si="142"/>
        <v>-9659.2800000000279</v>
      </c>
      <c r="W1131" s="18">
        <f t="shared" si="143"/>
        <v>-1.4030389474297064E-2</v>
      </c>
    </row>
    <row r="1132" spans="1:23" x14ac:dyDescent="0.3">
      <c r="A1132" t="s">
        <v>129</v>
      </c>
      <c r="B1132" t="s">
        <v>2609</v>
      </c>
      <c r="C1132" t="s">
        <v>23</v>
      </c>
      <c r="D1132" t="s">
        <v>26</v>
      </c>
      <c r="E1132">
        <v>1833</v>
      </c>
      <c r="F1132">
        <v>476.49</v>
      </c>
      <c r="G1132">
        <v>457.66</v>
      </c>
      <c r="H1132">
        <v>476.49</v>
      </c>
      <c r="I1132">
        <v>2082</v>
      </c>
      <c r="J1132">
        <v>38</v>
      </c>
      <c r="K1132" s="17">
        <f t="shared" si="137"/>
        <v>2637.2000000000003</v>
      </c>
      <c r="L1132" t="str">
        <f t="shared" si="138"/>
        <v>High Risk</v>
      </c>
      <c r="P1132" s="19">
        <f t="shared" si="139"/>
        <v>805</v>
      </c>
      <c r="R1132" s="19">
        <f t="shared" si="136"/>
        <v>383574.45</v>
      </c>
      <c r="T1132" s="19">
        <f t="shared" si="140"/>
        <v>952848.12</v>
      </c>
      <c r="U1132" s="19">
        <f t="shared" si="141"/>
        <v>992052.18</v>
      </c>
      <c r="V1132" s="21">
        <f t="shared" si="142"/>
        <v>39204.060000000056</v>
      </c>
      <c r="W1132" s="18">
        <f t="shared" si="143"/>
        <v>4.1144080758641843E-2</v>
      </c>
    </row>
    <row r="1133" spans="1:23" x14ac:dyDescent="0.3">
      <c r="A1133" t="s">
        <v>349</v>
      </c>
      <c r="B1133" t="s">
        <v>2378</v>
      </c>
      <c r="C1133" t="s">
        <v>12</v>
      </c>
      <c r="D1133" t="s">
        <v>69</v>
      </c>
      <c r="E1133">
        <v>1833</v>
      </c>
      <c r="F1133">
        <v>123.59</v>
      </c>
      <c r="G1133">
        <v>131.44999999999999</v>
      </c>
      <c r="H1133">
        <v>123.59</v>
      </c>
      <c r="I1133">
        <v>1121</v>
      </c>
      <c r="J1133">
        <v>85</v>
      </c>
      <c r="K1133" s="17">
        <f t="shared" si="137"/>
        <v>3176.1666666666665</v>
      </c>
      <c r="L1133" t="str">
        <f t="shared" si="138"/>
        <v>High Risk</v>
      </c>
      <c r="P1133" s="19">
        <f t="shared" si="139"/>
        <v>1344</v>
      </c>
      <c r="R1133" s="19">
        <f t="shared" si="136"/>
        <v>166104.95999999999</v>
      </c>
      <c r="T1133" s="19">
        <f t="shared" si="140"/>
        <v>147355.44999999998</v>
      </c>
      <c r="U1133" s="19">
        <f t="shared" si="141"/>
        <v>138544.39000000001</v>
      </c>
      <c r="V1133" s="21">
        <f t="shared" si="142"/>
        <v>-8811.0599999999686</v>
      </c>
      <c r="W1133" s="18">
        <f t="shared" si="143"/>
        <v>-5.9794598706732392E-2</v>
      </c>
    </row>
    <row r="1134" spans="1:23" x14ac:dyDescent="0.3">
      <c r="A1134" t="s">
        <v>143</v>
      </c>
      <c r="B1134" t="s">
        <v>1995</v>
      </c>
      <c r="C1134" t="s">
        <v>16</v>
      </c>
      <c r="D1134" t="s">
        <v>13</v>
      </c>
      <c r="E1134">
        <v>1833</v>
      </c>
      <c r="F1134">
        <v>28.91</v>
      </c>
      <c r="G1134">
        <v>26.77</v>
      </c>
      <c r="H1134">
        <v>28.91</v>
      </c>
      <c r="I1134">
        <v>2762</v>
      </c>
      <c r="J1134">
        <v>13</v>
      </c>
      <c r="K1134" s="17">
        <f t="shared" si="137"/>
        <v>1196.8666666666666</v>
      </c>
      <c r="L1134" t="str">
        <f t="shared" si="138"/>
        <v>Sufficuent Stock</v>
      </c>
      <c r="P1134" s="19">
        <f t="shared" si="139"/>
        <v>0</v>
      </c>
      <c r="R1134" s="19">
        <f t="shared" si="136"/>
        <v>0</v>
      </c>
      <c r="T1134" s="19">
        <f t="shared" si="140"/>
        <v>73938.740000000005</v>
      </c>
      <c r="U1134" s="19">
        <f t="shared" si="141"/>
        <v>79849.42</v>
      </c>
      <c r="V1134" s="21">
        <f t="shared" si="142"/>
        <v>5910.679999999993</v>
      </c>
      <c r="W1134" s="18">
        <f t="shared" si="143"/>
        <v>7.994023160254006E-2</v>
      </c>
    </row>
    <row r="1135" spans="1:23" x14ac:dyDescent="0.3">
      <c r="A1135" t="s">
        <v>220</v>
      </c>
      <c r="B1135" t="s">
        <v>272</v>
      </c>
      <c r="C1135" t="s">
        <v>16</v>
      </c>
      <c r="D1135" t="s">
        <v>20</v>
      </c>
      <c r="E1135">
        <v>1837</v>
      </c>
      <c r="F1135">
        <v>355.55</v>
      </c>
      <c r="G1135">
        <v>296.75</v>
      </c>
      <c r="H1135">
        <v>355.55</v>
      </c>
      <c r="I1135">
        <v>3149</v>
      </c>
      <c r="J1135">
        <v>23</v>
      </c>
      <c r="K1135" s="17">
        <f t="shared" si="137"/>
        <v>2414.2333333333336</v>
      </c>
      <c r="L1135" t="str">
        <f t="shared" si="138"/>
        <v>High Risk</v>
      </c>
      <c r="P1135" s="19">
        <f t="shared" si="139"/>
        <v>578</v>
      </c>
      <c r="R1135" s="19">
        <f t="shared" si="136"/>
        <v>205507.9</v>
      </c>
      <c r="T1135" s="19">
        <f t="shared" si="140"/>
        <v>934465.75</v>
      </c>
      <c r="U1135" s="19">
        <f t="shared" si="141"/>
        <v>1119626.95</v>
      </c>
      <c r="V1135" s="21">
        <f t="shared" si="142"/>
        <v>185161.19999999995</v>
      </c>
      <c r="W1135" s="18">
        <f t="shared" si="143"/>
        <v>0.19814658803706819</v>
      </c>
    </row>
    <row r="1136" spans="1:23" x14ac:dyDescent="0.3">
      <c r="A1136" t="s">
        <v>500</v>
      </c>
      <c r="B1136" t="s">
        <v>903</v>
      </c>
      <c r="C1136" t="s">
        <v>37</v>
      </c>
      <c r="D1136" t="s">
        <v>69</v>
      </c>
      <c r="E1136">
        <v>1838</v>
      </c>
      <c r="F1136">
        <v>529.66999999999996</v>
      </c>
      <c r="G1136">
        <v>473.73</v>
      </c>
      <c r="H1136">
        <v>529.66999999999996</v>
      </c>
      <c r="I1136">
        <v>3993</v>
      </c>
      <c r="J1136">
        <v>61</v>
      </c>
      <c r="K1136" s="17">
        <f t="shared" si="137"/>
        <v>8119.0999999999995</v>
      </c>
      <c r="L1136" t="str">
        <f t="shared" si="138"/>
        <v>High Risk</v>
      </c>
      <c r="P1136" s="19">
        <f t="shared" si="139"/>
        <v>6282</v>
      </c>
      <c r="R1136" s="19">
        <f t="shared" si="136"/>
        <v>3327386.94</v>
      </c>
      <c r="T1136" s="19">
        <f t="shared" si="140"/>
        <v>1891603.8900000001</v>
      </c>
      <c r="U1136" s="19">
        <f t="shared" si="141"/>
        <v>2114972.31</v>
      </c>
      <c r="V1136" s="21">
        <f t="shared" si="142"/>
        <v>223368.41999999993</v>
      </c>
      <c r="W1136" s="18">
        <f t="shared" si="143"/>
        <v>0.11808414075528249</v>
      </c>
    </row>
    <row r="1137" spans="1:23" x14ac:dyDescent="0.3">
      <c r="A1137" t="s">
        <v>1253</v>
      </c>
      <c r="B1137" t="s">
        <v>2718</v>
      </c>
      <c r="C1137" t="s">
        <v>37</v>
      </c>
      <c r="D1137" t="s">
        <v>69</v>
      </c>
      <c r="E1137">
        <v>1842</v>
      </c>
      <c r="F1137">
        <v>486.75</v>
      </c>
      <c r="G1137">
        <v>430.15</v>
      </c>
      <c r="H1137">
        <v>486.75</v>
      </c>
      <c r="I1137">
        <v>733</v>
      </c>
      <c r="J1137">
        <v>71</v>
      </c>
      <c r="K1137" s="17">
        <f t="shared" si="137"/>
        <v>1734.7666666666667</v>
      </c>
      <c r="L1137" t="str">
        <f t="shared" si="138"/>
        <v>Sufficuent Stock</v>
      </c>
      <c r="P1137" s="19">
        <f t="shared" si="139"/>
        <v>0</v>
      </c>
      <c r="R1137" s="19">
        <f t="shared" si="136"/>
        <v>0</v>
      </c>
      <c r="T1137" s="19">
        <f t="shared" si="140"/>
        <v>315299.95</v>
      </c>
      <c r="U1137" s="19">
        <f t="shared" si="141"/>
        <v>356787.75</v>
      </c>
      <c r="V1137" s="21">
        <f t="shared" si="142"/>
        <v>41487.799999999988</v>
      </c>
      <c r="W1137" s="18">
        <f t="shared" si="143"/>
        <v>0.1315820062768801</v>
      </c>
    </row>
    <row r="1138" spans="1:23" x14ac:dyDescent="0.3">
      <c r="A1138" t="s">
        <v>224</v>
      </c>
      <c r="B1138" t="s">
        <v>2510</v>
      </c>
      <c r="C1138" t="s">
        <v>50</v>
      </c>
      <c r="D1138" t="s">
        <v>13</v>
      </c>
      <c r="E1138">
        <v>1842</v>
      </c>
      <c r="F1138">
        <v>243.06</v>
      </c>
      <c r="G1138">
        <v>204.09</v>
      </c>
      <c r="H1138">
        <v>243.06</v>
      </c>
      <c r="I1138">
        <v>866</v>
      </c>
      <c r="J1138">
        <v>28</v>
      </c>
      <c r="K1138" s="17">
        <f t="shared" si="137"/>
        <v>808.26666666666665</v>
      </c>
      <c r="L1138" t="str">
        <f t="shared" si="138"/>
        <v>Sufficuent Stock</v>
      </c>
      <c r="P1138" s="19">
        <f t="shared" si="139"/>
        <v>0</v>
      </c>
      <c r="R1138" s="19">
        <f t="shared" si="136"/>
        <v>0</v>
      </c>
      <c r="T1138" s="19">
        <f t="shared" si="140"/>
        <v>176741.94</v>
      </c>
      <c r="U1138" s="19">
        <f t="shared" si="141"/>
        <v>210489.96</v>
      </c>
      <c r="V1138" s="21">
        <f t="shared" si="142"/>
        <v>33748.01999999999</v>
      </c>
      <c r="W1138" s="18">
        <f t="shared" si="143"/>
        <v>0.19094517124797877</v>
      </c>
    </row>
    <row r="1139" spans="1:23" x14ac:dyDescent="0.3">
      <c r="A1139" t="s">
        <v>1132</v>
      </c>
      <c r="B1139" t="s">
        <v>1520</v>
      </c>
      <c r="C1139" t="s">
        <v>50</v>
      </c>
      <c r="D1139" t="s">
        <v>13</v>
      </c>
      <c r="E1139">
        <v>1845</v>
      </c>
      <c r="F1139">
        <v>546.16</v>
      </c>
      <c r="G1139">
        <v>470.14</v>
      </c>
      <c r="H1139">
        <v>546.16</v>
      </c>
      <c r="I1139">
        <v>3093</v>
      </c>
      <c r="J1139">
        <v>83</v>
      </c>
      <c r="K1139" s="17">
        <f t="shared" si="137"/>
        <v>8557.2999999999993</v>
      </c>
      <c r="L1139" t="str">
        <f t="shared" si="138"/>
        <v>High Risk</v>
      </c>
      <c r="P1139" s="19">
        <f t="shared" si="139"/>
        <v>6713</v>
      </c>
      <c r="R1139" s="19">
        <f t="shared" si="136"/>
        <v>3666372.0799999996</v>
      </c>
      <c r="T1139" s="19">
        <f t="shared" si="140"/>
        <v>1454143.02</v>
      </c>
      <c r="U1139" s="19">
        <f t="shared" si="141"/>
        <v>1689272.88</v>
      </c>
      <c r="V1139" s="21">
        <f t="shared" si="142"/>
        <v>235129.85999999987</v>
      </c>
      <c r="W1139" s="18">
        <f t="shared" si="143"/>
        <v>0.16169651593142459</v>
      </c>
    </row>
    <row r="1140" spans="1:23" x14ac:dyDescent="0.3">
      <c r="A1140" t="s">
        <v>46</v>
      </c>
      <c r="B1140" t="s">
        <v>2059</v>
      </c>
      <c r="C1140" t="s">
        <v>23</v>
      </c>
      <c r="D1140" t="s">
        <v>69</v>
      </c>
      <c r="E1140">
        <v>1848</v>
      </c>
      <c r="F1140">
        <v>185.12</v>
      </c>
      <c r="G1140">
        <v>187</v>
      </c>
      <c r="H1140">
        <v>185.12</v>
      </c>
      <c r="I1140">
        <v>3733</v>
      </c>
      <c r="J1140">
        <v>86</v>
      </c>
      <c r="K1140" s="17">
        <f t="shared" si="137"/>
        <v>10701.266666666666</v>
      </c>
      <c r="L1140" t="str">
        <f t="shared" si="138"/>
        <v>High Risk</v>
      </c>
      <c r="P1140" s="19">
        <f t="shared" si="139"/>
        <v>8854</v>
      </c>
      <c r="R1140" s="19">
        <f t="shared" si="136"/>
        <v>1639052.48</v>
      </c>
      <c r="T1140" s="19">
        <f t="shared" si="140"/>
        <v>698071</v>
      </c>
      <c r="U1140" s="19">
        <f t="shared" si="141"/>
        <v>691052.96</v>
      </c>
      <c r="V1140" s="21">
        <f t="shared" si="142"/>
        <v>-7018.0400000000373</v>
      </c>
      <c r="W1140" s="18">
        <f t="shared" si="143"/>
        <v>-1.0053475935828931E-2</v>
      </c>
    </row>
    <row r="1141" spans="1:23" x14ac:dyDescent="0.3">
      <c r="A1141" t="s">
        <v>323</v>
      </c>
      <c r="B1141" t="s">
        <v>324</v>
      </c>
      <c r="C1141" t="s">
        <v>37</v>
      </c>
      <c r="D1141" t="s">
        <v>20</v>
      </c>
      <c r="E1141">
        <v>1848</v>
      </c>
      <c r="F1141">
        <v>202.83</v>
      </c>
      <c r="G1141">
        <v>170.05</v>
      </c>
      <c r="H1141">
        <v>202.83</v>
      </c>
      <c r="I1141">
        <v>2452</v>
      </c>
      <c r="J1141">
        <v>12</v>
      </c>
      <c r="K1141" s="17">
        <f t="shared" si="137"/>
        <v>980.8</v>
      </c>
      <c r="L1141" t="str">
        <f t="shared" si="138"/>
        <v>Sufficuent Stock</v>
      </c>
      <c r="P1141" s="19">
        <f t="shared" si="139"/>
        <v>0</v>
      </c>
      <c r="R1141" s="19">
        <f t="shared" si="136"/>
        <v>0</v>
      </c>
      <c r="T1141" s="19">
        <f t="shared" si="140"/>
        <v>416962.60000000003</v>
      </c>
      <c r="U1141" s="19">
        <f t="shared" si="141"/>
        <v>497339.16000000003</v>
      </c>
      <c r="V1141" s="21">
        <f t="shared" si="142"/>
        <v>80376.56</v>
      </c>
      <c r="W1141" s="18">
        <f t="shared" si="143"/>
        <v>0.19276683328432812</v>
      </c>
    </row>
    <row r="1142" spans="1:23" x14ac:dyDescent="0.3">
      <c r="A1142" t="s">
        <v>222</v>
      </c>
      <c r="B1142" t="s">
        <v>1861</v>
      </c>
      <c r="C1142" t="s">
        <v>50</v>
      </c>
      <c r="D1142" t="s">
        <v>26</v>
      </c>
      <c r="E1142">
        <v>1852</v>
      </c>
      <c r="F1142">
        <v>298.77999999999997</v>
      </c>
      <c r="G1142">
        <v>316.66000000000003</v>
      </c>
      <c r="H1142">
        <v>298.77999999999997</v>
      </c>
      <c r="I1142">
        <v>1964</v>
      </c>
      <c r="J1142">
        <v>26</v>
      </c>
      <c r="K1142" s="17">
        <f t="shared" si="137"/>
        <v>1702.1333333333334</v>
      </c>
      <c r="L1142" t="str">
        <f t="shared" si="138"/>
        <v>Sufficuent Stock</v>
      </c>
      <c r="P1142" s="19">
        <f t="shared" si="139"/>
        <v>0</v>
      </c>
      <c r="R1142" s="19">
        <f t="shared" si="136"/>
        <v>0</v>
      </c>
      <c r="T1142" s="19">
        <f t="shared" si="140"/>
        <v>621920.24000000011</v>
      </c>
      <c r="U1142" s="19">
        <f t="shared" si="141"/>
        <v>586803.91999999993</v>
      </c>
      <c r="V1142" s="21">
        <f t="shared" si="142"/>
        <v>-35116.320000000182</v>
      </c>
      <c r="W1142" s="18">
        <f t="shared" si="143"/>
        <v>-5.6464346617823818E-2</v>
      </c>
    </row>
    <row r="1143" spans="1:23" x14ac:dyDescent="0.3">
      <c r="A1143" t="s">
        <v>671</v>
      </c>
      <c r="B1143" t="s">
        <v>1716</v>
      </c>
      <c r="C1143" t="s">
        <v>23</v>
      </c>
      <c r="D1143" t="s">
        <v>20</v>
      </c>
      <c r="E1143">
        <v>1852</v>
      </c>
      <c r="F1143">
        <v>26.34</v>
      </c>
      <c r="G1143">
        <v>28.35</v>
      </c>
      <c r="H1143">
        <v>26.34</v>
      </c>
      <c r="I1143">
        <v>3812</v>
      </c>
      <c r="J1143">
        <v>80</v>
      </c>
      <c r="K1143" s="17">
        <f t="shared" si="137"/>
        <v>10165.333333333332</v>
      </c>
      <c r="L1143" t="str">
        <f t="shared" si="138"/>
        <v>High Risk</v>
      </c>
      <c r="P1143" s="19">
        <f t="shared" si="139"/>
        <v>8314</v>
      </c>
      <c r="R1143" s="19">
        <f t="shared" si="136"/>
        <v>218990.76</v>
      </c>
      <c r="T1143" s="19">
        <f t="shared" si="140"/>
        <v>108070.20000000001</v>
      </c>
      <c r="U1143" s="19">
        <f t="shared" si="141"/>
        <v>100408.08</v>
      </c>
      <c r="V1143" s="21">
        <f t="shared" si="142"/>
        <v>-7662.1200000000099</v>
      </c>
      <c r="W1143" s="18">
        <f t="shared" si="143"/>
        <v>-7.089947089947099E-2</v>
      </c>
    </row>
    <row r="1144" spans="1:23" x14ac:dyDescent="0.3">
      <c r="A1144" t="s">
        <v>100</v>
      </c>
      <c r="B1144" t="s">
        <v>3149</v>
      </c>
      <c r="C1144" t="s">
        <v>12</v>
      </c>
      <c r="D1144" t="s">
        <v>17</v>
      </c>
      <c r="E1144">
        <v>1853</v>
      </c>
      <c r="F1144">
        <v>294.39</v>
      </c>
      <c r="G1144">
        <v>276.70999999999998</v>
      </c>
      <c r="H1144">
        <v>294.39</v>
      </c>
      <c r="I1144">
        <v>3471</v>
      </c>
      <c r="J1144">
        <v>40</v>
      </c>
      <c r="K1144" s="17">
        <f t="shared" si="137"/>
        <v>4628</v>
      </c>
      <c r="L1144" t="str">
        <f t="shared" si="138"/>
        <v>High Risk</v>
      </c>
      <c r="P1144" s="19">
        <f t="shared" si="139"/>
        <v>2775</v>
      </c>
      <c r="R1144" s="19">
        <f t="shared" si="136"/>
        <v>816932.25</v>
      </c>
      <c r="T1144" s="19">
        <f t="shared" si="140"/>
        <v>960460.40999999992</v>
      </c>
      <c r="U1144" s="19">
        <f t="shared" si="141"/>
        <v>1021827.69</v>
      </c>
      <c r="V1144" s="21">
        <f t="shared" si="142"/>
        <v>61367.280000000028</v>
      </c>
      <c r="W1144" s="18">
        <f t="shared" si="143"/>
        <v>6.3893607025405696E-2</v>
      </c>
    </row>
    <row r="1145" spans="1:23" x14ac:dyDescent="0.3">
      <c r="A1145" t="s">
        <v>651</v>
      </c>
      <c r="B1145" t="s">
        <v>2849</v>
      </c>
      <c r="C1145" t="s">
        <v>12</v>
      </c>
      <c r="D1145" t="s">
        <v>13</v>
      </c>
      <c r="E1145">
        <v>1854</v>
      </c>
      <c r="F1145">
        <v>418.95</v>
      </c>
      <c r="G1145">
        <v>427.55</v>
      </c>
      <c r="H1145">
        <v>418.95</v>
      </c>
      <c r="I1145">
        <v>1937</v>
      </c>
      <c r="J1145">
        <v>64</v>
      </c>
      <c r="K1145" s="17">
        <f t="shared" si="137"/>
        <v>4132.2666666666664</v>
      </c>
      <c r="L1145" t="str">
        <f t="shared" si="138"/>
        <v>High Risk</v>
      </c>
      <c r="P1145" s="19">
        <f t="shared" si="139"/>
        <v>2279</v>
      </c>
      <c r="R1145" s="19">
        <f t="shared" si="136"/>
        <v>954787.04999999993</v>
      </c>
      <c r="T1145" s="19">
        <f t="shared" si="140"/>
        <v>828164.35</v>
      </c>
      <c r="U1145" s="19">
        <f t="shared" si="141"/>
        <v>811506.15</v>
      </c>
      <c r="V1145" s="21">
        <f t="shared" si="142"/>
        <v>-16658.199999999953</v>
      </c>
      <c r="W1145" s="18">
        <f t="shared" si="143"/>
        <v>-2.0114606478774357E-2</v>
      </c>
    </row>
    <row r="1146" spans="1:23" x14ac:dyDescent="0.3">
      <c r="A1146" t="s">
        <v>82</v>
      </c>
      <c r="B1146" t="s">
        <v>2767</v>
      </c>
      <c r="C1146" t="s">
        <v>12</v>
      </c>
      <c r="D1146" t="s">
        <v>69</v>
      </c>
      <c r="E1146">
        <v>1856</v>
      </c>
      <c r="F1146">
        <v>401.79</v>
      </c>
      <c r="G1146">
        <v>372.89</v>
      </c>
      <c r="H1146">
        <v>401.79</v>
      </c>
      <c r="I1146">
        <v>380</v>
      </c>
      <c r="J1146">
        <v>89</v>
      </c>
      <c r="K1146" s="17">
        <f t="shared" si="137"/>
        <v>1127.3333333333333</v>
      </c>
      <c r="L1146" t="str">
        <f t="shared" si="138"/>
        <v>Sufficuent Stock</v>
      </c>
      <c r="P1146" s="19">
        <f t="shared" si="139"/>
        <v>0</v>
      </c>
      <c r="R1146" s="19">
        <f t="shared" si="136"/>
        <v>0</v>
      </c>
      <c r="T1146" s="19">
        <f t="shared" si="140"/>
        <v>141698.19999999998</v>
      </c>
      <c r="U1146" s="19">
        <f t="shared" si="141"/>
        <v>152680.20000000001</v>
      </c>
      <c r="V1146" s="21">
        <f t="shared" si="142"/>
        <v>10982.000000000029</v>
      </c>
      <c r="W1146" s="18">
        <f t="shared" si="143"/>
        <v>7.7502748799914395E-2</v>
      </c>
    </row>
    <row r="1147" spans="1:23" x14ac:dyDescent="0.3">
      <c r="A1147" t="s">
        <v>535</v>
      </c>
      <c r="B1147" t="s">
        <v>2787</v>
      </c>
      <c r="C1147" t="s">
        <v>37</v>
      </c>
      <c r="D1147" t="s">
        <v>20</v>
      </c>
      <c r="E1147">
        <v>1858</v>
      </c>
      <c r="F1147">
        <v>511.56</v>
      </c>
      <c r="G1147">
        <v>439.61</v>
      </c>
      <c r="H1147">
        <v>511.56</v>
      </c>
      <c r="I1147">
        <v>2064</v>
      </c>
      <c r="J1147">
        <v>52</v>
      </c>
      <c r="K1147" s="17">
        <f t="shared" si="137"/>
        <v>3577.6</v>
      </c>
      <c r="L1147" t="str">
        <f t="shared" si="138"/>
        <v>High Risk</v>
      </c>
      <c r="P1147" s="19">
        <f t="shared" si="139"/>
        <v>1720</v>
      </c>
      <c r="R1147" s="19">
        <f t="shared" si="136"/>
        <v>879883.2</v>
      </c>
      <c r="T1147" s="19">
        <f t="shared" si="140"/>
        <v>907355.04</v>
      </c>
      <c r="U1147" s="19">
        <f t="shared" si="141"/>
        <v>1055859.8400000001</v>
      </c>
      <c r="V1147" s="21">
        <f t="shared" si="142"/>
        <v>148504.80000000005</v>
      </c>
      <c r="W1147" s="18">
        <f t="shared" si="143"/>
        <v>0.16366779645594964</v>
      </c>
    </row>
    <row r="1148" spans="1:23" x14ac:dyDescent="0.3">
      <c r="A1148" t="s">
        <v>979</v>
      </c>
      <c r="B1148" t="s">
        <v>2225</v>
      </c>
      <c r="C1148" t="s">
        <v>50</v>
      </c>
      <c r="D1148" t="s">
        <v>26</v>
      </c>
      <c r="E1148">
        <v>1860</v>
      </c>
      <c r="F1148">
        <v>92.66</v>
      </c>
      <c r="G1148">
        <v>85.85</v>
      </c>
      <c r="H1148">
        <v>92.66</v>
      </c>
      <c r="I1148">
        <v>1513</v>
      </c>
      <c r="J1148">
        <v>15</v>
      </c>
      <c r="K1148" s="17">
        <f t="shared" si="137"/>
        <v>756.5</v>
      </c>
      <c r="L1148" t="str">
        <f t="shared" si="138"/>
        <v>Sufficuent Stock</v>
      </c>
      <c r="P1148" s="19">
        <f t="shared" si="139"/>
        <v>0</v>
      </c>
      <c r="R1148" s="19">
        <f t="shared" si="136"/>
        <v>0</v>
      </c>
      <c r="T1148" s="19">
        <f t="shared" si="140"/>
        <v>129891.04999999999</v>
      </c>
      <c r="U1148" s="19">
        <f t="shared" si="141"/>
        <v>140194.57999999999</v>
      </c>
      <c r="V1148" s="21">
        <f t="shared" si="142"/>
        <v>10303.529999999999</v>
      </c>
      <c r="W1148" s="18">
        <f t="shared" si="143"/>
        <v>7.9324403028538146E-2</v>
      </c>
    </row>
    <row r="1149" spans="1:23" x14ac:dyDescent="0.3">
      <c r="A1149" t="s">
        <v>607</v>
      </c>
      <c r="B1149" t="s">
        <v>2595</v>
      </c>
      <c r="C1149" t="s">
        <v>12</v>
      </c>
      <c r="D1149" t="s">
        <v>17</v>
      </c>
      <c r="E1149">
        <v>1861</v>
      </c>
      <c r="F1149">
        <v>481.23</v>
      </c>
      <c r="G1149">
        <v>499.51</v>
      </c>
      <c r="H1149">
        <v>481.23</v>
      </c>
      <c r="I1149">
        <v>3301</v>
      </c>
      <c r="J1149">
        <v>51</v>
      </c>
      <c r="K1149" s="17">
        <f t="shared" si="137"/>
        <v>5611.7</v>
      </c>
      <c r="L1149" t="str">
        <f t="shared" si="138"/>
        <v>High Risk</v>
      </c>
      <c r="P1149" s="19">
        <f t="shared" si="139"/>
        <v>3751</v>
      </c>
      <c r="R1149" s="19">
        <f t="shared" si="136"/>
        <v>1805093.73</v>
      </c>
      <c r="T1149" s="19">
        <f t="shared" si="140"/>
        <v>1648882.51</v>
      </c>
      <c r="U1149" s="19">
        <f t="shared" si="141"/>
        <v>1588540.23</v>
      </c>
      <c r="V1149" s="21">
        <f t="shared" si="142"/>
        <v>-60342.280000000028</v>
      </c>
      <c r="W1149" s="18">
        <f t="shared" si="143"/>
        <v>-3.659586394666775E-2</v>
      </c>
    </row>
    <row r="1150" spans="1:23" x14ac:dyDescent="0.3">
      <c r="A1150" t="s">
        <v>879</v>
      </c>
      <c r="B1150" t="s">
        <v>2140</v>
      </c>
      <c r="C1150" t="s">
        <v>12</v>
      </c>
      <c r="D1150" t="s">
        <v>17</v>
      </c>
      <c r="E1150">
        <v>1863</v>
      </c>
      <c r="F1150">
        <v>547.6</v>
      </c>
      <c r="G1150">
        <v>460.3</v>
      </c>
      <c r="H1150">
        <v>547.6</v>
      </c>
      <c r="I1150">
        <v>1191</v>
      </c>
      <c r="J1150">
        <v>10</v>
      </c>
      <c r="K1150" s="17">
        <f t="shared" si="137"/>
        <v>397</v>
      </c>
      <c r="L1150" t="str">
        <f t="shared" si="138"/>
        <v>Sufficuent Stock</v>
      </c>
      <c r="P1150" s="19">
        <f t="shared" si="139"/>
        <v>0</v>
      </c>
      <c r="R1150" s="19">
        <f t="shared" si="136"/>
        <v>0</v>
      </c>
      <c r="T1150" s="19">
        <f t="shared" si="140"/>
        <v>548217.30000000005</v>
      </c>
      <c r="U1150" s="19">
        <f t="shared" si="141"/>
        <v>652191.6</v>
      </c>
      <c r="V1150" s="21">
        <f t="shared" si="142"/>
        <v>103974.29999999993</v>
      </c>
      <c r="W1150" s="18">
        <f t="shared" si="143"/>
        <v>0.1896589180968932</v>
      </c>
    </row>
    <row r="1151" spans="1:23" x14ac:dyDescent="0.3">
      <c r="A1151" t="s">
        <v>673</v>
      </c>
      <c r="B1151" t="s">
        <v>866</v>
      </c>
      <c r="C1151" t="s">
        <v>12</v>
      </c>
      <c r="D1151" t="s">
        <v>17</v>
      </c>
      <c r="E1151">
        <v>1867</v>
      </c>
      <c r="F1151">
        <v>431.62</v>
      </c>
      <c r="G1151">
        <v>395.5</v>
      </c>
      <c r="H1151">
        <v>431.62</v>
      </c>
      <c r="I1151">
        <v>1679</v>
      </c>
      <c r="J1151">
        <v>31</v>
      </c>
      <c r="K1151" s="17">
        <f t="shared" si="137"/>
        <v>1734.9666666666667</v>
      </c>
      <c r="L1151" t="str">
        <f t="shared" si="138"/>
        <v>Sufficuent Stock</v>
      </c>
      <c r="P1151" s="19">
        <f t="shared" si="139"/>
        <v>0</v>
      </c>
      <c r="R1151" s="19">
        <f t="shared" si="136"/>
        <v>0</v>
      </c>
      <c r="T1151" s="19">
        <f t="shared" si="140"/>
        <v>664044.5</v>
      </c>
      <c r="U1151" s="19">
        <f t="shared" si="141"/>
        <v>724689.98</v>
      </c>
      <c r="V1151" s="21">
        <f t="shared" si="142"/>
        <v>60645.479999999981</v>
      </c>
      <c r="W1151" s="18">
        <f t="shared" si="143"/>
        <v>9.1327433628318549E-2</v>
      </c>
    </row>
    <row r="1152" spans="1:23" x14ac:dyDescent="0.3">
      <c r="A1152" t="s">
        <v>147</v>
      </c>
      <c r="B1152" t="s">
        <v>2948</v>
      </c>
      <c r="C1152" t="s">
        <v>37</v>
      </c>
      <c r="D1152" t="s">
        <v>13</v>
      </c>
      <c r="E1152">
        <v>1868</v>
      </c>
      <c r="F1152">
        <v>417.2</v>
      </c>
      <c r="G1152">
        <v>460.47</v>
      </c>
      <c r="H1152">
        <v>417.2</v>
      </c>
      <c r="I1152">
        <v>156</v>
      </c>
      <c r="J1152">
        <v>47</v>
      </c>
      <c r="K1152" s="17">
        <f t="shared" si="137"/>
        <v>244.4</v>
      </c>
      <c r="L1152" t="str">
        <f t="shared" si="138"/>
        <v>Sufficuent Stock</v>
      </c>
      <c r="P1152" s="19">
        <f t="shared" si="139"/>
        <v>0</v>
      </c>
      <c r="R1152" s="19">
        <f t="shared" si="136"/>
        <v>0</v>
      </c>
      <c r="T1152" s="19">
        <f t="shared" si="140"/>
        <v>71833.320000000007</v>
      </c>
      <c r="U1152" s="19">
        <f t="shared" si="141"/>
        <v>65083.199999999997</v>
      </c>
      <c r="V1152" s="21">
        <f t="shared" si="142"/>
        <v>-6750.1200000000099</v>
      </c>
      <c r="W1152" s="18">
        <f t="shared" si="143"/>
        <v>-9.3969205377114812E-2</v>
      </c>
    </row>
    <row r="1153" spans="1:23" x14ac:dyDescent="0.3">
      <c r="A1153" t="s">
        <v>1467</v>
      </c>
      <c r="B1153" t="s">
        <v>3349</v>
      </c>
      <c r="C1153" t="s">
        <v>12</v>
      </c>
      <c r="D1153" t="s">
        <v>13</v>
      </c>
      <c r="E1153">
        <v>1869</v>
      </c>
      <c r="F1153">
        <v>381.98</v>
      </c>
      <c r="G1153">
        <v>363.33</v>
      </c>
      <c r="H1153">
        <v>381.98</v>
      </c>
      <c r="I1153">
        <v>1958</v>
      </c>
      <c r="J1153">
        <v>34</v>
      </c>
      <c r="K1153" s="17">
        <f t="shared" si="137"/>
        <v>2219.0666666666666</v>
      </c>
      <c r="L1153" t="str">
        <f t="shared" si="138"/>
        <v>High Risk</v>
      </c>
      <c r="P1153" s="19">
        <f t="shared" si="139"/>
        <v>351</v>
      </c>
      <c r="R1153" s="19">
        <f t="shared" si="136"/>
        <v>134074.98000000001</v>
      </c>
      <c r="T1153" s="19">
        <f t="shared" si="140"/>
        <v>711400.14</v>
      </c>
      <c r="U1153" s="19">
        <f t="shared" si="141"/>
        <v>747916.84000000008</v>
      </c>
      <c r="V1153" s="21">
        <f t="shared" si="142"/>
        <v>36516.70000000007</v>
      </c>
      <c r="W1153" s="18">
        <f t="shared" si="143"/>
        <v>5.1330746153634532E-2</v>
      </c>
    </row>
    <row r="1154" spans="1:23" x14ac:dyDescent="0.3">
      <c r="A1154" t="s">
        <v>487</v>
      </c>
      <c r="B1154" t="s">
        <v>720</v>
      </c>
      <c r="C1154" t="s">
        <v>12</v>
      </c>
      <c r="D1154" t="s">
        <v>26</v>
      </c>
      <c r="E1154">
        <v>1869</v>
      </c>
      <c r="F1154">
        <v>501.11</v>
      </c>
      <c r="G1154">
        <v>479.92</v>
      </c>
      <c r="H1154">
        <v>501.11</v>
      </c>
      <c r="I1154">
        <v>1774</v>
      </c>
      <c r="J1154">
        <v>67</v>
      </c>
      <c r="K1154" s="17">
        <f t="shared" si="137"/>
        <v>3961.9333333333334</v>
      </c>
      <c r="L1154" t="str">
        <f t="shared" si="138"/>
        <v>High Risk</v>
      </c>
      <c r="P1154" s="19">
        <f t="shared" si="139"/>
        <v>2093</v>
      </c>
      <c r="R1154" s="19">
        <f t="shared" ref="R1154:R1217" si="144">P1154*H1154</f>
        <v>1048823.23</v>
      </c>
      <c r="T1154" s="19">
        <f t="shared" si="140"/>
        <v>851378.08000000007</v>
      </c>
      <c r="U1154" s="19">
        <f t="shared" si="141"/>
        <v>888969.14</v>
      </c>
      <c r="V1154" s="21">
        <f t="shared" si="142"/>
        <v>37591.059999999939</v>
      </c>
      <c r="W1154" s="18">
        <f t="shared" si="143"/>
        <v>4.415319219869971E-2</v>
      </c>
    </row>
    <row r="1155" spans="1:23" x14ac:dyDescent="0.3">
      <c r="A1155" t="s">
        <v>184</v>
      </c>
      <c r="B1155" t="s">
        <v>2426</v>
      </c>
      <c r="C1155" t="s">
        <v>50</v>
      </c>
      <c r="D1155" t="s">
        <v>20</v>
      </c>
      <c r="E1155">
        <v>1875</v>
      </c>
      <c r="F1155">
        <v>434.21</v>
      </c>
      <c r="G1155">
        <v>374.98</v>
      </c>
      <c r="H1155">
        <v>434.21</v>
      </c>
      <c r="I1155">
        <v>1158</v>
      </c>
      <c r="J1155">
        <v>39</v>
      </c>
      <c r="K1155" s="17">
        <f t="shared" ref="K1155:K1218" si="145">(I1155/30)*J1155</f>
        <v>1505.4</v>
      </c>
      <c r="L1155" t="str">
        <f t="shared" ref="L1155:L1218" si="146">IF(E1155&lt;K1155,"High Risk","Sufficuent Stock")</f>
        <v>Sufficuent Stock</v>
      </c>
      <c r="P1155" s="19">
        <f t="shared" ref="P1155:P1218" si="147">ROUNDUP(MAX(0,K1155-E1155),0)</f>
        <v>0</v>
      </c>
      <c r="R1155" s="19">
        <f t="shared" si="144"/>
        <v>0</v>
      </c>
      <c r="T1155" s="19">
        <f t="shared" ref="T1155:T1218" si="148">I1155*G1155</f>
        <v>434226.84</v>
      </c>
      <c r="U1155" s="19">
        <f t="shared" ref="U1155:U1218" si="149">I1155*H1155</f>
        <v>502815.18</v>
      </c>
      <c r="V1155" s="21">
        <f t="shared" ref="V1155:V1218" si="150">U1155-T1155</f>
        <v>68588.339999999967</v>
      </c>
      <c r="W1155" s="18">
        <f t="shared" ref="W1155:W1218" si="151">IFERROR(V1155/T1155,0)</f>
        <v>0.15795509093818327</v>
      </c>
    </row>
    <row r="1156" spans="1:23" x14ac:dyDescent="0.3">
      <c r="A1156" t="s">
        <v>739</v>
      </c>
      <c r="B1156" t="s">
        <v>1079</v>
      </c>
      <c r="C1156" t="s">
        <v>37</v>
      </c>
      <c r="D1156" t="s">
        <v>69</v>
      </c>
      <c r="E1156">
        <v>1875</v>
      </c>
      <c r="F1156">
        <v>218.23</v>
      </c>
      <c r="G1156">
        <v>210.36</v>
      </c>
      <c r="H1156">
        <v>218.23</v>
      </c>
      <c r="I1156">
        <v>2994</v>
      </c>
      <c r="J1156">
        <v>68</v>
      </c>
      <c r="K1156" s="17">
        <f t="shared" si="145"/>
        <v>6786.4</v>
      </c>
      <c r="L1156" t="str">
        <f t="shared" si="146"/>
        <v>High Risk</v>
      </c>
      <c r="P1156" s="19">
        <f t="shared" si="147"/>
        <v>4912</v>
      </c>
      <c r="R1156" s="19">
        <f t="shared" si="144"/>
        <v>1071945.76</v>
      </c>
      <c r="T1156" s="19">
        <f t="shared" si="148"/>
        <v>629817.84000000008</v>
      </c>
      <c r="U1156" s="19">
        <f t="shared" si="149"/>
        <v>653380.62</v>
      </c>
      <c r="V1156" s="21">
        <f t="shared" si="150"/>
        <v>23562.779999999912</v>
      </c>
      <c r="W1156" s="18">
        <f t="shared" si="151"/>
        <v>3.7412055523863709E-2</v>
      </c>
    </row>
    <row r="1157" spans="1:23" x14ac:dyDescent="0.3">
      <c r="A1157" t="s">
        <v>943</v>
      </c>
      <c r="B1157" t="s">
        <v>1192</v>
      </c>
      <c r="C1157" t="s">
        <v>50</v>
      </c>
      <c r="D1157" t="s">
        <v>13</v>
      </c>
      <c r="E1157">
        <v>1875</v>
      </c>
      <c r="F1157">
        <v>208.84</v>
      </c>
      <c r="G1157">
        <v>185.19</v>
      </c>
      <c r="H1157">
        <v>208.84</v>
      </c>
      <c r="I1157">
        <v>2711</v>
      </c>
      <c r="J1157">
        <v>77</v>
      </c>
      <c r="K1157" s="17">
        <f t="shared" si="145"/>
        <v>6958.2333333333327</v>
      </c>
      <c r="L1157" t="str">
        <f t="shared" si="146"/>
        <v>High Risk</v>
      </c>
      <c r="P1157" s="19">
        <f t="shared" si="147"/>
        <v>5084</v>
      </c>
      <c r="R1157" s="19">
        <f t="shared" si="144"/>
        <v>1061742.56</v>
      </c>
      <c r="T1157" s="19">
        <f t="shared" si="148"/>
        <v>502050.08999999997</v>
      </c>
      <c r="U1157" s="19">
        <f t="shared" si="149"/>
        <v>566165.24</v>
      </c>
      <c r="V1157" s="21">
        <f t="shared" si="150"/>
        <v>64115.150000000023</v>
      </c>
      <c r="W1157" s="18">
        <f t="shared" si="151"/>
        <v>0.12770667962632978</v>
      </c>
    </row>
    <row r="1158" spans="1:23" x14ac:dyDescent="0.3">
      <c r="A1158" t="s">
        <v>1353</v>
      </c>
      <c r="B1158" t="s">
        <v>2642</v>
      </c>
      <c r="C1158" t="s">
        <v>12</v>
      </c>
      <c r="D1158" t="s">
        <v>20</v>
      </c>
      <c r="E1158">
        <v>1882</v>
      </c>
      <c r="F1158">
        <v>28.31</v>
      </c>
      <c r="G1158">
        <v>29.35</v>
      </c>
      <c r="H1158">
        <v>28.31</v>
      </c>
      <c r="I1158">
        <v>1218</v>
      </c>
      <c r="J1158">
        <v>16</v>
      </c>
      <c r="K1158" s="17">
        <f t="shared" si="145"/>
        <v>649.6</v>
      </c>
      <c r="L1158" t="str">
        <f t="shared" si="146"/>
        <v>Sufficuent Stock</v>
      </c>
      <c r="P1158" s="19">
        <f t="shared" si="147"/>
        <v>0</v>
      </c>
      <c r="R1158" s="19">
        <f t="shared" si="144"/>
        <v>0</v>
      </c>
      <c r="T1158" s="19">
        <f t="shared" si="148"/>
        <v>35748.300000000003</v>
      </c>
      <c r="U1158" s="19">
        <f t="shared" si="149"/>
        <v>34481.58</v>
      </c>
      <c r="V1158" s="21">
        <f t="shared" si="150"/>
        <v>-1266.7200000000012</v>
      </c>
      <c r="W1158" s="18">
        <f t="shared" si="151"/>
        <v>-3.5434412265758122E-2</v>
      </c>
    </row>
    <row r="1159" spans="1:23" x14ac:dyDescent="0.3">
      <c r="A1159" t="s">
        <v>275</v>
      </c>
      <c r="B1159" t="s">
        <v>1905</v>
      </c>
      <c r="C1159" t="s">
        <v>23</v>
      </c>
      <c r="D1159" t="s">
        <v>20</v>
      </c>
      <c r="E1159">
        <v>1882</v>
      </c>
      <c r="F1159">
        <v>519.1</v>
      </c>
      <c r="G1159">
        <v>459.44</v>
      </c>
      <c r="H1159">
        <v>519.1</v>
      </c>
      <c r="I1159">
        <v>3461</v>
      </c>
      <c r="J1159">
        <v>18</v>
      </c>
      <c r="K1159" s="17">
        <f t="shared" si="145"/>
        <v>2076.6</v>
      </c>
      <c r="L1159" t="str">
        <f t="shared" si="146"/>
        <v>High Risk</v>
      </c>
      <c r="P1159" s="19">
        <f t="shared" si="147"/>
        <v>195</v>
      </c>
      <c r="R1159" s="19">
        <f t="shared" si="144"/>
        <v>101224.5</v>
      </c>
      <c r="T1159" s="19">
        <f t="shared" si="148"/>
        <v>1590121.84</v>
      </c>
      <c r="U1159" s="19">
        <f t="shared" si="149"/>
        <v>1796605.1</v>
      </c>
      <c r="V1159" s="21">
        <f t="shared" si="150"/>
        <v>206483.26</v>
      </c>
      <c r="W1159" s="18">
        <f t="shared" si="151"/>
        <v>0.12985373498171687</v>
      </c>
    </row>
    <row r="1160" spans="1:23" x14ac:dyDescent="0.3">
      <c r="A1160" t="s">
        <v>960</v>
      </c>
      <c r="B1160" t="s">
        <v>1224</v>
      </c>
      <c r="C1160" t="s">
        <v>23</v>
      </c>
      <c r="D1160" t="s">
        <v>13</v>
      </c>
      <c r="E1160">
        <v>1884</v>
      </c>
      <c r="F1160">
        <v>329.59</v>
      </c>
      <c r="G1160">
        <v>358.8</v>
      </c>
      <c r="H1160">
        <v>329.59</v>
      </c>
      <c r="I1160">
        <v>392</v>
      </c>
      <c r="J1160">
        <v>66</v>
      </c>
      <c r="K1160" s="17">
        <f t="shared" si="145"/>
        <v>862.4</v>
      </c>
      <c r="L1160" t="str">
        <f t="shared" si="146"/>
        <v>Sufficuent Stock</v>
      </c>
      <c r="P1160" s="19">
        <f t="shared" si="147"/>
        <v>0</v>
      </c>
      <c r="R1160" s="19">
        <f t="shared" si="144"/>
        <v>0</v>
      </c>
      <c r="T1160" s="19">
        <f t="shared" si="148"/>
        <v>140649.60000000001</v>
      </c>
      <c r="U1160" s="19">
        <f t="shared" si="149"/>
        <v>129199.27999999998</v>
      </c>
      <c r="V1160" s="21">
        <f t="shared" si="150"/>
        <v>-11450.320000000022</v>
      </c>
      <c r="W1160" s="18">
        <f t="shared" si="151"/>
        <v>-8.1410256410256565E-2</v>
      </c>
    </row>
    <row r="1161" spans="1:23" x14ac:dyDescent="0.3">
      <c r="A1161" t="s">
        <v>2050</v>
      </c>
      <c r="B1161" t="s">
        <v>2051</v>
      </c>
      <c r="C1161" t="s">
        <v>50</v>
      </c>
      <c r="D1161" t="s">
        <v>17</v>
      </c>
      <c r="E1161">
        <v>1885</v>
      </c>
      <c r="F1161">
        <v>222.49</v>
      </c>
      <c r="G1161">
        <v>194.32</v>
      </c>
      <c r="H1161">
        <v>222.49</v>
      </c>
      <c r="I1161">
        <v>2814</v>
      </c>
      <c r="J1161">
        <v>73</v>
      </c>
      <c r="K1161" s="17">
        <f t="shared" si="145"/>
        <v>6847.4</v>
      </c>
      <c r="L1161" t="str">
        <f t="shared" si="146"/>
        <v>High Risk</v>
      </c>
      <c r="P1161" s="19">
        <f t="shared" si="147"/>
        <v>4963</v>
      </c>
      <c r="R1161" s="19">
        <f t="shared" si="144"/>
        <v>1104217.8700000001</v>
      </c>
      <c r="T1161" s="19">
        <f t="shared" si="148"/>
        <v>546816.48</v>
      </c>
      <c r="U1161" s="19">
        <f t="shared" si="149"/>
        <v>626086.86</v>
      </c>
      <c r="V1161" s="21">
        <f t="shared" si="150"/>
        <v>79270.38</v>
      </c>
      <c r="W1161" s="18">
        <f t="shared" si="151"/>
        <v>0.14496706463565254</v>
      </c>
    </row>
    <row r="1162" spans="1:23" x14ac:dyDescent="0.3">
      <c r="A1162" t="s">
        <v>328</v>
      </c>
      <c r="B1162" t="s">
        <v>695</v>
      </c>
      <c r="C1162" t="s">
        <v>12</v>
      </c>
      <c r="D1162" t="s">
        <v>20</v>
      </c>
      <c r="E1162">
        <v>1886</v>
      </c>
      <c r="F1162">
        <v>194.52</v>
      </c>
      <c r="G1162">
        <v>194.66</v>
      </c>
      <c r="H1162">
        <v>194.52</v>
      </c>
      <c r="I1162">
        <v>422</v>
      </c>
      <c r="J1162">
        <v>13</v>
      </c>
      <c r="K1162" s="17">
        <f t="shared" si="145"/>
        <v>182.86666666666667</v>
      </c>
      <c r="L1162" t="str">
        <f t="shared" si="146"/>
        <v>Sufficuent Stock</v>
      </c>
      <c r="P1162" s="19">
        <f t="shared" si="147"/>
        <v>0</v>
      </c>
      <c r="R1162" s="19">
        <f t="shared" si="144"/>
        <v>0</v>
      </c>
      <c r="T1162" s="19">
        <f t="shared" si="148"/>
        <v>82146.52</v>
      </c>
      <c r="U1162" s="19">
        <f t="shared" si="149"/>
        <v>82087.44</v>
      </c>
      <c r="V1162" s="21">
        <f t="shared" si="150"/>
        <v>-59.080000000001746</v>
      </c>
      <c r="W1162" s="18">
        <f t="shared" si="151"/>
        <v>-7.1920271242167954E-4</v>
      </c>
    </row>
    <row r="1163" spans="1:23" x14ac:dyDescent="0.3">
      <c r="A1163" t="s">
        <v>119</v>
      </c>
      <c r="B1163" t="s">
        <v>2097</v>
      </c>
      <c r="C1163" t="s">
        <v>50</v>
      </c>
      <c r="D1163" t="s">
        <v>13</v>
      </c>
      <c r="E1163">
        <v>1886</v>
      </c>
      <c r="F1163">
        <v>310.42</v>
      </c>
      <c r="G1163">
        <v>335.71</v>
      </c>
      <c r="H1163">
        <v>310.42</v>
      </c>
      <c r="I1163">
        <v>1256</v>
      </c>
      <c r="J1163">
        <v>17</v>
      </c>
      <c r="K1163" s="17">
        <f t="shared" si="145"/>
        <v>711.73333333333335</v>
      </c>
      <c r="L1163" t="str">
        <f t="shared" si="146"/>
        <v>Sufficuent Stock</v>
      </c>
      <c r="P1163" s="19">
        <f t="shared" si="147"/>
        <v>0</v>
      </c>
      <c r="R1163" s="19">
        <f t="shared" si="144"/>
        <v>0</v>
      </c>
      <c r="T1163" s="19">
        <f t="shared" si="148"/>
        <v>421651.75999999995</v>
      </c>
      <c r="U1163" s="19">
        <f t="shared" si="149"/>
        <v>389887.52</v>
      </c>
      <c r="V1163" s="21">
        <f t="shared" si="150"/>
        <v>-31764.239999999932</v>
      </c>
      <c r="W1163" s="18">
        <f t="shared" si="151"/>
        <v>-7.5332876589913764E-2</v>
      </c>
    </row>
    <row r="1164" spans="1:23" x14ac:dyDescent="0.3">
      <c r="A1164" t="s">
        <v>607</v>
      </c>
      <c r="B1164" t="s">
        <v>2656</v>
      </c>
      <c r="C1164" t="s">
        <v>16</v>
      </c>
      <c r="D1164" t="s">
        <v>20</v>
      </c>
      <c r="E1164">
        <v>1889</v>
      </c>
      <c r="F1164">
        <v>500.89</v>
      </c>
      <c r="G1164">
        <v>436.55</v>
      </c>
      <c r="H1164">
        <v>500.89</v>
      </c>
      <c r="I1164">
        <v>3996</v>
      </c>
      <c r="J1164">
        <v>72</v>
      </c>
      <c r="K1164" s="17">
        <f t="shared" si="145"/>
        <v>9590.4</v>
      </c>
      <c r="L1164" t="str">
        <f t="shared" si="146"/>
        <v>High Risk</v>
      </c>
      <c r="P1164" s="19">
        <f t="shared" si="147"/>
        <v>7702</v>
      </c>
      <c r="R1164" s="19">
        <f t="shared" si="144"/>
        <v>3857854.78</v>
      </c>
      <c r="T1164" s="19">
        <f t="shared" si="148"/>
        <v>1744453.8</v>
      </c>
      <c r="U1164" s="19">
        <f t="shared" si="149"/>
        <v>2001556.44</v>
      </c>
      <c r="V1164" s="21">
        <f t="shared" si="150"/>
        <v>257102.6399999999</v>
      </c>
      <c r="W1164" s="18">
        <f t="shared" si="151"/>
        <v>0.14738288855801163</v>
      </c>
    </row>
    <row r="1165" spans="1:23" x14ac:dyDescent="0.3">
      <c r="A1165" t="s">
        <v>446</v>
      </c>
      <c r="B1165" t="s">
        <v>2326</v>
      </c>
      <c r="C1165" t="s">
        <v>16</v>
      </c>
      <c r="D1165" t="s">
        <v>69</v>
      </c>
      <c r="E1165">
        <v>1892</v>
      </c>
      <c r="F1165">
        <v>207.58</v>
      </c>
      <c r="G1165">
        <v>223.55</v>
      </c>
      <c r="H1165">
        <v>207.58</v>
      </c>
      <c r="I1165">
        <v>1830</v>
      </c>
      <c r="J1165">
        <v>58</v>
      </c>
      <c r="K1165" s="17">
        <f t="shared" si="145"/>
        <v>3538</v>
      </c>
      <c r="L1165" t="str">
        <f t="shared" si="146"/>
        <v>High Risk</v>
      </c>
      <c r="P1165" s="19">
        <f t="shared" si="147"/>
        <v>1646</v>
      </c>
      <c r="R1165" s="19">
        <f t="shared" si="144"/>
        <v>341676.68</v>
      </c>
      <c r="T1165" s="19">
        <f t="shared" si="148"/>
        <v>409096.5</v>
      </c>
      <c r="U1165" s="19">
        <f t="shared" si="149"/>
        <v>379871.4</v>
      </c>
      <c r="V1165" s="21">
        <f t="shared" si="150"/>
        <v>-29225.099999999977</v>
      </c>
      <c r="W1165" s="18">
        <f t="shared" si="151"/>
        <v>-7.1438157011854117E-2</v>
      </c>
    </row>
    <row r="1166" spans="1:23" x14ac:dyDescent="0.3">
      <c r="A1166" t="s">
        <v>335</v>
      </c>
      <c r="B1166" t="s">
        <v>336</v>
      </c>
      <c r="C1166" t="s">
        <v>23</v>
      </c>
      <c r="D1166" t="s">
        <v>69</v>
      </c>
      <c r="E1166">
        <v>1892</v>
      </c>
      <c r="F1166">
        <v>57.07</v>
      </c>
      <c r="G1166">
        <v>47.72</v>
      </c>
      <c r="H1166">
        <v>57.07</v>
      </c>
      <c r="I1166">
        <v>425</v>
      </c>
      <c r="J1166">
        <v>52</v>
      </c>
      <c r="K1166" s="17">
        <f t="shared" si="145"/>
        <v>736.66666666666663</v>
      </c>
      <c r="L1166" t="str">
        <f t="shared" si="146"/>
        <v>Sufficuent Stock</v>
      </c>
      <c r="P1166" s="19">
        <f t="shared" si="147"/>
        <v>0</v>
      </c>
      <c r="R1166" s="19">
        <f t="shared" si="144"/>
        <v>0</v>
      </c>
      <c r="T1166" s="19">
        <f t="shared" si="148"/>
        <v>20281</v>
      </c>
      <c r="U1166" s="19">
        <f t="shared" si="149"/>
        <v>24254.75</v>
      </c>
      <c r="V1166" s="21">
        <f t="shared" si="150"/>
        <v>3973.75</v>
      </c>
      <c r="W1166" s="18">
        <f t="shared" si="151"/>
        <v>0.19593461860854988</v>
      </c>
    </row>
    <row r="1167" spans="1:23" x14ac:dyDescent="0.3">
      <c r="A1167" t="s">
        <v>523</v>
      </c>
      <c r="B1167" t="s">
        <v>2963</v>
      </c>
      <c r="C1167" t="s">
        <v>50</v>
      </c>
      <c r="D1167" t="s">
        <v>20</v>
      </c>
      <c r="E1167">
        <v>1895</v>
      </c>
      <c r="F1167">
        <v>312.57</v>
      </c>
      <c r="G1167">
        <v>273.64</v>
      </c>
      <c r="H1167">
        <v>312.57</v>
      </c>
      <c r="I1167">
        <v>2244</v>
      </c>
      <c r="J1167">
        <v>13</v>
      </c>
      <c r="K1167" s="17">
        <f t="shared" si="145"/>
        <v>972.4</v>
      </c>
      <c r="L1167" t="str">
        <f t="shared" si="146"/>
        <v>Sufficuent Stock</v>
      </c>
      <c r="P1167" s="19">
        <f t="shared" si="147"/>
        <v>0</v>
      </c>
      <c r="R1167" s="19">
        <f t="shared" si="144"/>
        <v>0</v>
      </c>
      <c r="T1167" s="19">
        <f t="shared" si="148"/>
        <v>614048.15999999992</v>
      </c>
      <c r="U1167" s="19">
        <f t="shared" si="149"/>
        <v>701407.08</v>
      </c>
      <c r="V1167" s="21">
        <f t="shared" si="150"/>
        <v>87358.920000000042</v>
      </c>
      <c r="W1167" s="18">
        <f t="shared" si="151"/>
        <v>0.14226721239584864</v>
      </c>
    </row>
    <row r="1168" spans="1:23" x14ac:dyDescent="0.3">
      <c r="A1168" t="s">
        <v>78</v>
      </c>
      <c r="B1168" t="s">
        <v>2241</v>
      </c>
      <c r="C1168" t="s">
        <v>37</v>
      </c>
      <c r="D1168" t="s">
        <v>13</v>
      </c>
      <c r="E1168">
        <v>1896</v>
      </c>
      <c r="F1168">
        <v>48.98</v>
      </c>
      <c r="G1168">
        <v>49.58</v>
      </c>
      <c r="H1168">
        <v>48.98</v>
      </c>
      <c r="I1168">
        <v>3662</v>
      </c>
      <c r="J1168">
        <v>31</v>
      </c>
      <c r="K1168" s="17">
        <f t="shared" si="145"/>
        <v>3784.0666666666666</v>
      </c>
      <c r="L1168" t="str">
        <f t="shared" si="146"/>
        <v>High Risk</v>
      </c>
      <c r="P1168" s="19">
        <f t="shared" si="147"/>
        <v>1889</v>
      </c>
      <c r="R1168" s="19">
        <f t="shared" si="144"/>
        <v>92523.22</v>
      </c>
      <c r="T1168" s="19">
        <f t="shared" si="148"/>
        <v>181561.96</v>
      </c>
      <c r="U1168" s="19">
        <f t="shared" si="149"/>
        <v>179364.75999999998</v>
      </c>
      <c r="V1168" s="21">
        <f t="shared" si="150"/>
        <v>-2197.2000000000116</v>
      </c>
      <c r="W1168" s="18">
        <f t="shared" si="151"/>
        <v>-1.2101653892698733E-2</v>
      </c>
    </row>
    <row r="1169" spans="1:23" x14ac:dyDescent="0.3">
      <c r="A1169" t="s">
        <v>546</v>
      </c>
      <c r="B1169" t="s">
        <v>1594</v>
      </c>
      <c r="C1169" t="s">
        <v>12</v>
      </c>
      <c r="D1169" t="s">
        <v>13</v>
      </c>
      <c r="E1169">
        <v>1897</v>
      </c>
      <c r="F1169">
        <v>250.95</v>
      </c>
      <c r="G1169">
        <v>236.94</v>
      </c>
      <c r="H1169">
        <v>250.95</v>
      </c>
      <c r="I1169">
        <v>3004</v>
      </c>
      <c r="J1169">
        <v>70</v>
      </c>
      <c r="K1169" s="17">
        <f t="shared" si="145"/>
        <v>7009.3333333333339</v>
      </c>
      <c r="L1169" t="str">
        <f t="shared" si="146"/>
        <v>High Risk</v>
      </c>
      <c r="P1169" s="19">
        <f t="shared" si="147"/>
        <v>5113</v>
      </c>
      <c r="R1169" s="19">
        <f t="shared" si="144"/>
        <v>1283107.3499999999</v>
      </c>
      <c r="T1169" s="19">
        <f t="shared" si="148"/>
        <v>711767.76</v>
      </c>
      <c r="U1169" s="19">
        <f t="shared" si="149"/>
        <v>753853.79999999993</v>
      </c>
      <c r="V1169" s="21">
        <f t="shared" si="150"/>
        <v>42086.039999999921</v>
      </c>
      <c r="W1169" s="18">
        <f t="shared" si="151"/>
        <v>5.912889339073172E-2</v>
      </c>
    </row>
    <row r="1170" spans="1:23" x14ac:dyDescent="0.3">
      <c r="A1170" t="s">
        <v>295</v>
      </c>
      <c r="B1170" t="s">
        <v>3154</v>
      </c>
      <c r="C1170" t="s">
        <v>16</v>
      </c>
      <c r="D1170" t="s">
        <v>13</v>
      </c>
      <c r="E1170">
        <v>1897</v>
      </c>
      <c r="F1170">
        <v>162.47999999999999</v>
      </c>
      <c r="G1170">
        <v>145.35</v>
      </c>
      <c r="H1170">
        <v>162.47999999999999</v>
      </c>
      <c r="I1170">
        <v>3987</v>
      </c>
      <c r="J1170">
        <v>59</v>
      </c>
      <c r="K1170" s="17">
        <f t="shared" si="145"/>
        <v>7841.1</v>
      </c>
      <c r="L1170" t="str">
        <f t="shared" si="146"/>
        <v>High Risk</v>
      </c>
      <c r="P1170" s="19">
        <f t="shared" si="147"/>
        <v>5945</v>
      </c>
      <c r="R1170" s="19">
        <f t="shared" si="144"/>
        <v>965943.6</v>
      </c>
      <c r="T1170" s="19">
        <f t="shared" si="148"/>
        <v>579510.44999999995</v>
      </c>
      <c r="U1170" s="19">
        <f t="shared" si="149"/>
        <v>647807.76</v>
      </c>
      <c r="V1170" s="21">
        <f t="shared" si="150"/>
        <v>68297.310000000056</v>
      </c>
      <c r="W1170" s="18">
        <f t="shared" si="151"/>
        <v>0.11785345717234273</v>
      </c>
    </row>
    <row r="1171" spans="1:23" x14ac:dyDescent="0.3">
      <c r="A1171" t="s">
        <v>46</v>
      </c>
      <c r="B1171" t="s">
        <v>2788</v>
      </c>
      <c r="C1171" t="s">
        <v>23</v>
      </c>
      <c r="D1171" t="s">
        <v>20</v>
      </c>
      <c r="E1171">
        <v>1899</v>
      </c>
      <c r="F1171">
        <v>80.34</v>
      </c>
      <c r="G1171">
        <v>87.54</v>
      </c>
      <c r="H1171">
        <v>80.34</v>
      </c>
      <c r="I1171">
        <v>2266</v>
      </c>
      <c r="J1171">
        <v>31</v>
      </c>
      <c r="K1171" s="17">
        <f t="shared" si="145"/>
        <v>2341.5333333333333</v>
      </c>
      <c r="L1171" t="str">
        <f t="shared" si="146"/>
        <v>High Risk</v>
      </c>
      <c r="P1171" s="19">
        <f t="shared" si="147"/>
        <v>443</v>
      </c>
      <c r="R1171" s="19">
        <f t="shared" si="144"/>
        <v>35590.620000000003</v>
      </c>
      <c r="T1171" s="19">
        <f t="shared" si="148"/>
        <v>198365.64</v>
      </c>
      <c r="U1171" s="19">
        <f t="shared" si="149"/>
        <v>182050.44</v>
      </c>
      <c r="V1171" s="21">
        <f t="shared" si="150"/>
        <v>-16315.200000000012</v>
      </c>
      <c r="W1171" s="18">
        <f t="shared" si="151"/>
        <v>-8.2248115147361259E-2</v>
      </c>
    </row>
    <row r="1172" spans="1:23" x14ac:dyDescent="0.3">
      <c r="A1172" t="s">
        <v>103</v>
      </c>
      <c r="B1172" t="s">
        <v>3147</v>
      </c>
      <c r="C1172" t="s">
        <v>37</v>
      </c>
      <c r="D1172" t="s">
        <v>69</v>
      </c>
      <c r="E1172">
        <v>1903</v>
      </c>
      <c r="F1172">
        <v>541.52</v>
      </c>
      <c r="G1172">
        <v>452.4</v>
      </c>
      <c r="H1172">
        <v>541.52</v>
      </c>
      <c r="I1172">
        <v>1788</v>
      </c>
      <c r="J1172">
        <v>59</v>
      </c>
      <c r="K1172" s="17">
        <f t="shared" si="145"/>
        <v>3516.4</v>
      </c>
      <c r="L1172" t="str">
        <f t="shared" si="146"/>
        <v>High Risk</v>
      </c>
      <c r="P1172" s="19">
        <f t="shared" si="147"/>
        <v>1614</v>
      </c>
      <c r="R1172" s="19">
        <f t="shared" si="144"/>
        <v>874013.28</v>
      </c>
      <c r="T1172" s="19">
        <f t="shared" si="148"/>
        <v>808891.2</v>
      </c>
      <c r="U1172" s="19">
        <f t="shared" si="149"/>
        <v>968237.76</v>
      </c>
      <c r="V1172" s="21">
        <f t="shared" si="150"/>
        <v>159346.56000000006</v>
      </c>
      <c r="W1172" s="18">
        <f t="shared" si="151"/>
        <v>0.1969938107869143</v>
      </c>
    </row>
    <row r="1173" spans="1:23" x14ac:dyDescent="0.3">
      <c r="A1173" t="s">
        <v>1335</v>
      </c>
      <c r="B1173" t="s">
        <v>3348</v>
      </c>
      <c r="C1173" t="s">
        <v>12</v>
      </c>
      <c r="D1173" t="s">
        <v>20</v>
      </c>
      <c r="E1173">
        <v>1903</v>
      </c>
      <c r="F1173">
        <v>280.48</v>
      </c>
      <c r="G1173">
        <v>296.27</v>
      </c>
      <c r="H1173">
        <v>280.48</v>
      </c>
      <c r="I1173">
        <v>3941</v>
      </c>
      <c r="J1173">
        <v>16</v>
      </c>
      <c r="K1173" s="17">
        <f t="shared" si="145"/>
        <v>2101.8666666666668</v>
      </c>
      <c r="L1173" t="str">
        <f t="shared" si="146"/>
        <v>High Risk</v>
      </c>
      <c r="P1173" s="19">
        <f t="shared" si="147"/>
        <v>199</v>
      </c>
      <c r="R1173" s="19">
        <f t="shared" si="144"/>
        <v>55815.520000000004</v>
      </c>
      <c r="T1173" s="19">
        <f t="shared" si="148"/>
        <v>1167600.0699999998</v>
      </c>
      <c r="U1173" s="19">
        <f t="shared" si="149"/>
        <v>1105371.6800000002</v>
      </c>
      <c r="V1173" s="21">
        <f t="shared" si="150"/>
        <v>-62228.389999999665</v>
      </c>
      <c r="W1173" s="18">
        <f t="shared" si="151"/>
        <v>-5.3295980018226337E-2</v>
      </c>
    </row>
    <row r="1174" spans="1:23" x14ac:dyDescent="0.3">
      <c r="A1174" t="s">
        <v>347</v>
      </c>
      <c r="B1174" t="s">
        <v>2608</v>
      </c>
      <c r="C1174" t="s">
        <v>23</v>
      </c>
      <c r="D1174" t="s">
        <v>20</v>
      </c>
      <c r="E1174">
        <v>1905</v>
      </c>
      <c r="F1174">
        <v>225.35</v>
      </c>
      <c r="G1174">
        <v>212.52</v>
      </c>
      <c r="H1174">
        <v>225.35</v>
      </c>
      <c r="I1174">
        <v>325</v>
      </c>
      <c r="J1174">
        <v>71</v>
      </c>
      <c r="K1174" s="17">
        <f t="shared" si="145"/>
        <v>769.16666666666674</v>
      </c>
      <c r="L1174" t="str">
        <f t="shared" si="146"/>
        <v>Sufficuent Stock</v>
      </c>
      <c r="P1174" s="19">
        <f t="shared" si="147"/>
        <v>0</v>
      </c>
      <c r="R1174" s="19">
        <f t="shared" si="144"/>
        <v>0</v>
      </c>
      <c r="T1174" s="19">
        <f t="shared" si="148"/>
        <v>69069</v>
      </c>
      <c r="U1174" s="19">
        <f t="shared" si="149"/>
        <v>73238.75</v>
      </c>
      <c r="V1174" s="21">
        <f t="shared" si="150"/>
        <v>4169.75</v>
      </c>
      <c r="W1174" s="18">
        <f t="shared" si="151"/>
        <v>6.03707886316582E-2</v>
      </c>
    </row>
    <row r="1175" spans="1:23" x14ac:dyDescent="0.3">
      <c r="A1175" t="s">
        <v>320</v>
      </c>
      <c r="B1175" t="s">
        <v>1590</v>
      </c>
      <c r="C1175" t="s">
        <v>50</v>
      </c>
      <c r="D1175" t="s">
        <v>69</v>
      </c>
      <c r="E1175">
        <v>1907</v>
      </c>
      <c r="F1175">
        <v>61.93</v>
      </c>
      <c r="G1175">
        <v>64.989999999999995</v>
      </c>
      <c r="H1175">
        <v>61.93</v>
      </c>
      <c r="I1175">
        <v>2080</v>
      </c>
      <c r="J1175">
        <v>12</v>
      </c>
      <c r="K1175" s="17">
        <f t="shared" si="145"/>
        <v>832</v>
      </c>
      <c r="L1175" t="str">
        <f t="shared" si="146"/>
        <v>Sufficuent Stock</v>
      </c>
      <c r="P1175" s="19">
        <f t="shared" si="147"/>
        <v>0</v>
      </c>
      <c r="R1175" s="19">
        <f t="shared" si="144"/>
        <v>0</v>
      </c>
      <c r="T1175" s="19">
        <f t="shared" si="148"/>
        <v>135179.19999999998</v>
      </c>
      <c r="U1175" s="19">
        <f t="shared" si="149"/>
        <v>128814.39999999999</v>
      </c>
      <c r="V1175" s="21">
        <f t="shared" si="150"/>
        <v>-6364.7999999999884</v>
      </c>
      <c r="W1175" s="18">
        <f t="shared" si="151"/>
        <v>-4.7084166794891441E-2</v>
      </c>
    </row>
    <row r="1176" spans="1:23" x14ac:dyDescent="0.3">
      <c r="A1176" t="s">
        <v>1158</v>
      </c>
      <c r="B1176" t="s">
        <v>2452</v>
      </c>
      <c r="C1176" t="s">
        <v>12</v>
      </c>
      <c r="D1176" t="s">
        <v>13</v>
      </c>
      <c r="E1176">
        <v>1907</v>
      </c>
      <c r="F1176">
        <v>176.24</v>
      </c>
      <c r="G1176">
        <v>168.5</v>
      </c>
      <c r="H1176">
        <v>176.24</v>
      </c>
      <c r="I1176">
        <v>3255</v>
      </c>
      <c r="J1176">
        <v>40</v>
      </c>
      <c r="K1176" s="17">
        <f t="shared" si="145"/>
        <v>4340</v>
      </c>
      <c r="L1176" t="str">
        <f t="shared" si="146"/>
        <v>High Risk</v>
      </c>
      <c r="P1176" s="19">
        <f t="shared" si="147"/>
        <v>2433</v>
      </c>
      <c r="R1176" s="19">
        <f t="shared" si="144"/>
        <v>428791.92000000004</v>
      </c>
      <c r="T1176" s="19">
        <f t="shared" si="148"/>
        <v>548467.5</v>
      </c>
      <c r="U1176" s="19">
        <f t="shared" si="149"/>
        <v>573661.20000000007</v>
      </c>
      <c r="V1176" s="21">
        <f t="shared" si="150"/>
        <v>25193.70000000007</v>
      </c>
      <c r="W1176" s="18">
        <f t="shared" si="151"/>
        <v>4.5934718100890337E-2</v>
      </c>
    </row>
    <row r="1177" spans="1:23" x14ac:dyDescent="0.3">
      <c r="A1177" t="s">
        <v>320</v>
      </c>
      <c r="B1177" t="s">
        <v>3192</v>
      </c>
      <c r="C1177" t="s">
        <v>16</v>
      </c>
      <c r="D1177" t="s">
        <v>20</v>
      </c>
      <c r="E1177">
        <v>1910</v>
      </c>
      <c r="F1177">
        <v>349.63</v>
      </c>
      <c r="G1177">
        <v>363.18</v>
      </c>
      <c r="H1177">
        <v>349.63</v>
      </c>
      <c r="I1177">
        <v>3524</v>
      </c>
      <c r="J1177">
        <v>24</v>
      </c>
      <c r="K1177" s="17">
        <f t="shared" si="145"/>
        <v>2819.2</v>
      </c>
      <c r="L1177" t="str">
        <f t="shared" si="146"/>
        <v>High Risk</v>
      </c>
      <c r="P1177" s="19">
        <f t="shared" si="147"/>
        <v>910</v>
      </c>
      <c r="R1177" s="19">
        <f t="shared" si="144"/>
        <v>318163.3</v>
      </c>
      <c r="T1177" s="19">
        <f t="shared" si="148"/>
        <v>1279846.32</v>
      </c>
      <c r="U1177" s="19">
        <f t="shared" si="149"/>
        <v>1232096.1199999999</v>
      </c>
      <c r="V1177" s="21">
        <f t="shared" si="150"/>
        <v>-47750.200000000186</v>
      </c>
      <c r="W1177" s="18">
        <f t="shared" si="151"/>
        <v>-3.7309323200616917E-2</v>
      </c>
    </row>
    <row r="1178" spans="1:23" x14ac:dyDescent="0.3">
      <c r="A1178" t="s">
        <v>138</v>
      </c>
      <c r="B1178" t="s">
        <v>384</v>
      </c>
      <c r="C1178" t="s">
        <v>23</v>
      </c>
      <c r="D1178" t="s">
        <v>13</v>
      </c>
      <c r="E1178">
        <v>1913</v>
      </c>
      <c r="F1178">
        <v>168.45</v>
      </c>
      <c r="G1178">
        <v>179.62</v>
      </c>
      <c r="H1178">
        <v>168.45</v>
      </c>
      <c r="I1178">
        <v>2137</v>
      </c>
      <c r="J1178">
        <v>6</v>
      </c>
      <c r="K1178" s="17">
        <f t="shared" si="145"/>
        <v>427.4</v>
      </c>
      <c r="L1178" t="str">
        <f t="shared" si="146"/>
        <v>Sufficuent Stock</v>
      </c>
      <c r="P1178" s="19">
        <f t="shared" si="147"/>
        <v>0</v>
      </c>
      <c r="R1178" s="19">
        <f t="shared" si="144"/>
        <v>0</v>
      </c>
      <c r="T1178" s="19">
        <f t="shared" si="148"/>
        <v>383847.94</v>
      </c>
      <c r="U1178" s="19">
        <f t="shared" si="149"/>
        <v>359977.64999999997</v>
      </c>
      <c r="V1178" s="21">
        <f t="shared" si="150"/>
        <v>-23870.290000000037</v>
      </c>
      <c r="W1178" s="18">
        <f t="shared" si="151"/>
        <v>-6.2186838882084497E-2</v>
      </c>
    </row>
    <row r="1179" spans="1:23" x14ac:dyDescent="0.3">
      <c r="A1179" t="s">
        <v>407</v>
      </c>
      <c r="B1179" t="s">
        <v>1672</v>
      </c>
      <c r="C1179" t="s">
        <v>50</v>
      </c>
      <c r="D1179" t="s">
        <v>26</v>
      </c>
      <c r="E1179">
        <v>1913</v>
      </c>
      <c r="F1179">
        <v>429.63</v>
      </c>
      <c r="G1179">
        <v>362.88</v>
      </c>
      <c r="H1179">
        <v>429.63</v>
      </c>
      <c r="I1179">
        <v>1878</v>
      </c>
      <c r="J1179">
        <v>25</v>
      </c>
      <c r="K1179" s="17">
        <f t="shared" si="145"/>
        <v>1565</v>
      </c>
      <c r="L1179" t="str">
        <f t="shared" si="146"/>
        <v>Sufficuent Stock</v>
      </c>
      <c r="P1179" s="19">
        <f t="shared" si="147"/>
        <v>0</v>
      </c>
      <c r="R1179" s="19">
        <f t="shared" si="144"/>
        <v>0</v>
      </c>
      <c r="T1179" s="19">
        <f t="shared" si="148"/>
        <v>681488.64</v>
      </c>
      <c r="U1179" s="19">
        <f t="shared" si="149"/>
        <v>806845.14</v>
      </c>
      <c r="V1179" s="21">
        <f t="shared" si="150"/>
        <v>125356.5</v>
      </c>
      <c r="W1179" s="18">
        <f t="shared" si="151"/>
        <v>0.18394510582010581</v>
      </c>
    </row>
    <row r="1180" spans="1:23" x14ac:dyDescent="0.3">
      <c r="A1180" t="s">
        <v>1014</v>
      </c>
      <c r="B1180" t="s">
        <v>2883</v>
      </c>
      <c r="C1180" t="s">
        <v>16</v>
      </c>
      <c r="D1180" t="s">
        <v>26</v>
      </c>
      <c r="E1180">
        <v>1913</v>
      </c>
      <c r="F1180">
        <v>325.35000000000002</v>
      </c>
      <c r="G1180">
        <v>290.87</v>
      </c>
      <c r="H1180">
        <v>325.35000000000002</v>
      </c>
      <c r="I1180">
        <v>1134</v>
      </c>
      <c r="J1180">
        <v>54</v>
      </c>
      <c r="K1180" s="17">
        <f t="shared" si="145"/>
        <v>2041.1999999999998</v>
      </c>
      <c r="L1180" t="str">
        <f t="shared" si="146"/>
        <v>High Risk</v>
      </c>
      <c r="P1180" s="19">
        <f t="shared" si="147"/>
        <v>129</v>
      </c>
      <c r="R1180" s="19">
        <f t="shared" si="144"/>
        <v>41970.15</v>
      </c>
      <c r="T1180" s="19">
        <f t="shared" si="148"/>
        <v>329846.58</v>
      </c>
      <c r="U1180" s="19">
        <f t="shared" si="149"/>
        <v>368946.9</v>
      </c>
      <c r="V1180" s="21">
        <f t="shared" si="150"/>
        <v>39100.320000000007</v>
      </c>
      <c r="W1180" s="18">
        <f t="shared" si="151"/>
        <v>0.11854092893732597</v>
      </c>
    </row>
    <row r="1181" spans="1:23" x14ac:dyDescent="0.3">
      <c r="A1181" t="s">
        <v>103</v>
      </c>
      <c r="B1181" t="s">
        <v>2089</v>
      </c>
      <c r="C1181" t="s">
        <v>16</v>
      </c>
      <c r="D1181" t="s">
        <v>20</v>
      </c>
      <c r="E1181">
        <v>1914</v>
      </c>
      <c r="F1181">
        <v>143.82</v>
      </c>
      <c r="G1181">
        <v>135.52000000000001</v>
      </c>
      <c r="H1181">
        <v>143.82</v>
      </c>
      <c r="I1181">
        <v>2691</v>
      </c>
      <c r="J1181">
        <v>69</v>
      </c>
      <c r="K1181" s="17">
        <f t="shared" si="145"/>
        <v>6189.3</v>
      </c>
      <c r="L1181" t="str">
        <f t="shared" si="146"/>
        <v>High Risk</v>
      </c>
      <c r="P1181" s="19">
        <f t="shared" si="147"/>
        <v>4276</v>
      </c>
      <c r="R1181" s="19">
        <f t="shared" si="144"/>
        <v>614974.31999999995</v>
      </c>
      <c r="T1181" s="19">
        <f t="shared" si="148"/>
        <v>364684.32</v>
      </c>
      <c r="U1181" s="19">
        <f t="shared" si="149"/>
        <v>387019.62</v>
      </c>
      <c r="V1181" s="21">
        <f t="shared" si="150"/>
        <v>22335.299999999988</v>
      </c>
      <c r="W1181" s="18">
        <f t="shared" si="151"/>
        <v>6.1245572609208938E-2</v>
      </c>
    </row>
    <row r="1182" spans="1:23" x14ac:dyDescent="0.3">
      <c r="A1182" t="s">
        <v>869</v>
      </c>
      <c r="B1182" t="s">
        <v>2592</v>
      </c>
      <c r="C1182" t="s">
        <v>23</v>
      </c>
      <c r="D1182" t="s">
        <v>17</v>
      </c>
      <c r="E1182">
        <v>1917</v>
      </c>
      <c r="F1182">
        <v>422.57</v>
      </c>
      <c r="G1182">
        <v>416.5</v>
      </c>
      <c r="H1182">
        <v>422.57</v>
      </c>
      <c r="I1182">
        <v>2945</v>
      </c>
      <c r="J1182">
        <v>75</v>
      </c>
      <c r="K1182" s="17">
        <f t="shared" si="145"/>
        <v>7362.5</v>
      </c>
      <c r="L1182" t="str">
        <f t="shared" si="146"/>
        <v>High Risk</v>
      </c>
      <c r="P1182" s="19">
        <f t="shared" si="147"/>
        <v>5446</v>
      </c>
      <c r="R1182" s="19">
        <f t="shared" si="144"/>
        <v>2301316.2199999997</v>
      </c>
      <c r="T1182" s="19">
        <f t="shared" si="148"/>
        <v>1226592.5</v>
      </c>
      <c r="U1182" s="19">
        <f t="shared" si="149"/>
        <v>1244468.6499999999</v>
      </c>
      <c r="V1182" s="21">
        <f t="shared" si="150"/>
        <v>17876.149999999907</v>
      </c>
      <c r="W1182" s="18">
        <f t="shared" si="151"/>
        <v>1.4573829531812649E-2</v>
      </c>
    </row>
    <row r="1183" spans="1:23" x14ac:dyDescent="0.3">
      <c r="A1183" t="s">
        <v>1010</v>
      </c>
      <c r="B1183" t="s">
        <v>1011</v>
      </c>
      <c r="C1183" t="s">
        <v>12</v>
      </c>
      <c r="D1183" t="s">
        <v>13</v>
      </c>
      <c r="E1183">
        <v>1918</v>
      </c>
      <c r="F1183">
        <v>397.08</v>
      </c>
      <c r="G1183">
        <v>363.42</v>
      </c>
      <c r="H1183">
        <v>397.08</v>
      </c>
      <c r="I1183">
        <v>986</v>
      </c>
      <c r="J1183">
        <v>73</v>
      </c>
      <c r="K1183" s="17">
        <f t="shared" si="145"/>
        <v>2399.2666666666669</v>
      </c>
      <c r="L1183" t="str">
        <f t="shared" si="146"/>
        <v>High Risk</v>
      </c>
      <c r="P1183" s="19">
        <f t="shared" si="147"/>
        <v>482</v>
      </c>
      <c r="R1183" s="19">
        <f t="shared" si="144"/>
        <v>191392.56</v>
      </c>
      <c r="T1183" s="19">
        <f t="shared" si="148"/>
        <v>358332.12</v>
      </c>
      <c r="U1183" s="19">
        <f t="shared" si="149"/>
        <v>391520.88</v>
      </c>
      <c r="V1183" s="21">
        <f t="shared" si="150"/>
        <v>33188.760000000009</v>
      </c>
      <c r="W1183" s="18">
        <f t="shared" si="151"/>
        <v>9.2620108964834108E-2</v>
      </c>
    </row>
    <row r="1184" spans="1:23" x14ac:dyDescent="0.3">
      <c r="A1184" t="s">
        <v>884</v>
      </c>
      <c r="B1184" t="s">
        <v>2889</v>
      </c>
      <c r="C1184" t="s">
        <v>23</v>
      </c>
      <c r="D1184" t="s">
        <v>20</v>
      </c>
      <c r="E1184">
        <v>1918</v>
      </c>
      <c r="F1184">
        <v>456.16</v>
      </c>
      <c r="G1184">
        <v>410.16</v>
      </c>
      <c r="H1184">
        <v>456.16</v>
      </c>
      <c r="I1184">
        <v>1587</v>
      </c>
      <c r="J1184">
        <v>26</v>
      </c>
      <c r="K1184" s="17">
        <f t="shared" si="145"/>
        <v>1375.3999999999999</v>
      </c>
      <c r="L1184" t="str">
        <f t="shared" si="146"/>
        <v>Sufficuent Stock</v>
      </c>
      <c r="P1184" s="19">
        <f t="shared" si="147"/>
        <v>0</v>
      </c>
      <c r="R1184" s="19">
        <f t="shared" si="144"/>
        <v>0</v>
      </c>
      <c r="T1184" s="19">
        <f t="shared" si="148"/>
        <v>650923.92000000004</v>
      </c>
      <c r="U1184" s="19">
        <f t="shared" si="149"/>
        <v>723925.92</v>
      </c>
      <c r="V1184" s="21">
        <f t="shared" si="150"/>
        <v>73002</v>
      </c>
      <c r="W1184" s="18">
        <f t="shared" si="151"/>
        <v>0.1121513555685586</v>
      </c>
    </row>
    <row r="1185" spans="1:23" x14ac:dyDescent="0.3">
      <c r="A1185" t="s">
        <v>80</v>
      </c>
      <c r="B1185" t="s">
        <v>2203</v>
      </c>
      <c r="C1185" t="s">
        <v>50</v>
      </c>
      <c r="D1185" t="s">
        <v>69</v>
      </c>
      <c r="E1185">
        <v>1918</v>
      </c>
      <c r="F1185">
        <v>165.46</v>
      </c>
      <c r="G1185">
        <v>170.53</v>
      </c>
      <c r="H1185">
        <v>165.46</v>
      </c>
      <c r="I1185">
        <v>2358</v>
      </c>
      <c r="J1185">
        <v>59</v>
      </c>
      <c r="K1185" s="17">
        <f t="shared" si="145"/>
        <v>4637.3999999999996</v>
      </c>
      <c r="L1185" t="str">
        <f t="shared" si="146"/>
        <v>High Risk</v>
      </c>
      <c r="P1185" s="19">
        <f t="shared" si="147"/>
        <v>2720</v>
      </c>
      <c r="R1185" s="19">
        <f t="shared" si="144"/>
        <v>450051.2</v>
      </c>
      <c r="T1185" s="19">
        <f t="shared" si="148"/>
        <v>402109.74</v>
      </c>
      <c r="U1185" s="19">
        <f t="shared" si="149"/>
        <v>390154.68</v>
      </c>
      <c r="V1185" s="21">
        <f t="shared" si="150"/>
        <v>-11955.059999999998</v>
      </c>
      <c r="W1185" s="18">
        <f t="shared" si="151"/>
        <v>-2.973083914853691E-2</v>
      </c>
    </row>
    <row r="1186" spans="1:23" x14ac:dyDescent="0.3">
      <c r="A1186" t="s">
        <v>1481</v>
      </c>
      <c r="B1186" t="s">
        <v>1589</v>
      </c>
      <c r="C1186" t="s">
        <v>16</v>
      </c>
      <c r="D1186" t="s">
        <v>20</v>
      </c>
      <c r="E1186">
        <v>1918</v>
      </c>
      <c r="F1186">
        <v>58.76</v>
      </c>
      <c r="G1186">
        <v>49.74</v>
      </c>
      <c r="H1186">
        <v>58.76</v>
      </c>
      <c r="I1186">
        <v>2599</v>
      </c>
      <c r="J1186">
        <v>69</v>
      </c>
      <c r="K1186" s="17">
        <f t="shared" si="145"/>
        <v>5977.7000000000007</v>
      </c>
      <c r="L1186" t="str">
        <f t="shared" si="146"/>
        <v>High Risk</v>
      </c>
      <c r="P1186" s="19">
        <f t="shared" si="147"/>
        <v>4060</v>
      </c>
      <c r="R1186" s="19">
        <f t="shared" si="144"/>
        <v>238565.6</v>
      </c>
      <c r="T1186" s="19">
        <f t="shared" si="148"/>
        <v>129274.26000000001</v>
      </c>
      <c r="U1186" s="19">
        <f t="shared" si="149"/>
        <v>152717.24</v>
      </c>
      <c r="V1186" s="21">
        <f t="shared" si="150"/>
        <v>23442.979999999981</v>
      </c>
      <c r="W1186" s="18">
        <f t="shared" si="151"/>
        <v>0.18134298351427408</v>
      </c>
    </row>
    <row r="1187" spans="1:23" x14ac:dyDescent="0.3">
      <c r="A1187" t="s">
        <v>1158</v>
      </c>
      <c r="B1187" t="s">
        <v>2028</v>
      </c>
      <c r="C1187" t="s">
        <v>23</v>
      </c>
      <c r="D1187" t="s">
        <v>20</v>
      </c>
      <c r="E1187">
        <v>1919</v>
      </c>
      <c r="F1187">
        <v>175.76</v>
      </c>
      <c r="G1187">
        <v>193.21</v>
      </c>
      <c r="H1187">
        <v>175.76</v>
      </c>
      <c r="I1187">
        <v>987</v>
      </c>
      <c r="J1187">
        <v>88</v>
      </c>
      <c r="K1187" s="17">
        <f t="shared" si="145"/>
        <v>2895.2</v>
      </c>
      <c r="L1187" t="str">
        <f t="shared" si="146"/>
        <v>High Risk</v>
      </c>
      <c r="P1187" s="19">
        <f t="shared" si="147"/>
        <v>977</v>
      </c>
      <c r="R1187" s="19">
        <f t="shared" si="144"/>
        <v>171717.52</v>
      </c>
      <c r="T1187" s="19">
        <f t="shared" si="148"/>
        <v>190698.27000000002</v>
      </c>
      <c r="U1187" s="19">
        <f t="shared" si="149"/>
        <v>173475.12</v>
      </c>
      <c r="V1187" s="21">
        <f t="shared" si="150"/>
        <v>-17223.150000000023</v>
      </c>
      <c r="W1187" s="18">
        <f t="shared" si="151"/>
        <v>-9.0316236219657481E-2</v>
      </c>
    </row>
    <row r="1188" spans="1:23" x14ac:dyDescent="0.3">
      <c r="A1188" t="s">
        <v>82</v>
      </c>
      <c r="B1188" t="s">
        <v>83</v>
      </c>
      <c r="C1188" t="s">
        <v>23</v>
      </c>
      <c r="D1188" t="s">
        <v>26</v>
      </c>
      <c r="E1188">
        <v>1919</v>
      </c>
      <c r="F1188">
        <v>355.42</v>
      </c>
      <c r="G1188">
        <v>361.17</v>
      </c>
      <c r="H1188">
        <v>355.42</v>
      </c>
      <c r="I1188">
        <v>3208</v>
      </c>
      <c r="J1188">
        <v>50</v>
      </c>
      <c r="K1188" s="17">
        <f t="shared" si="145"/>
        <v>5346.666666666667</v>
      </c>
      <c r="L1188" t="str">
        <f t="shared" si="146"/>
        <v>High Risk</v>
      </c>
      <c r="P1188" s="19">
        <f t="shared" si="147"/>
        <v>3428</v>
      </c>
      <c r="R1188" s="19">
        <f t="shared" si="144"/>
        <v>1218379.76</v>
      </c>
      <c r="T1188" s="19">
        <f t="shared" si="148"/>
        <v>1158633.3600000001</v>
      </c>
      <c r="U1188" s="19">
        <f t="shared" si="149"/>
        <v>1140187.3600000001</v>
      </c>
      <c r="V1188" s="21">
        <f t="shared" si="150"/>
        <v>-18446</v>
      </c>
      <c r="W1188" s="18">
        <f t="shared" si="151"/>
        <v>-1.592048066007697E-2</v>
      </c>
    </row>
    <row r="1189" spans="1:23" x14ac:dyDescent="0.3">
      <c r="A1189" t="s">
        <v>876</v>
      </c>
      <c r="B1189" t="s">
        <v>3101</v>
      </c>
      <c r="C1189" t="s">
        <v>50</v>
      </c>
      <c r="D1189" t="s">
        <v>26</v>
      </c>
      <c r="E1189">
        <v>1922</v>
      </c>
      <c r="F1189">
        <v>311.74</v>
      </c>
      <c r="G1189">
        <v>323.08</v>
      </c>
      <c r="H1189">
        <v>311.74</v>
      </c>
      <c r="I1189">
        <v>787</v>
      </c>
      <c r="J1189">
        <v>49</v>
      </c>
      <c r="K1189" s="17">
        <f t="shared" si="145"/>
        <v>1285.4333333333334</v>
      </c>
      <c r="L1189" t="str">
        <f t="shared" si="146"/>
        <v>Sufficuent Stock</v>
      </c>
      <c r="P1189" s="19">
        <f t="shared" si="147"/>
        <v>0</v>
      </c>
      <c r="R1189" s="19">
        <f t="shared" si="144"/>
        <v>0</v>
      </c>
      <c r="T1189" s="19">
        <f t="shared" si="148"/>
        <v>254263.96</v>
      </c>
      <c r="U1189" s="19">
        <f t="shared" si="149"/>
        <v>245339.38</v>
      </c>
      <c r="V1189" s="21">
        <f t="shared" si="150"/>
        <v>-8924.5799999999872</v>
      </c>
      <c r="W1189" s="18">
        <f t="shared" si="151"/>
        <v>-3.5099665717469308E-2</v>
      </c>
    </row>
    <row r="1190" spans="1:23" x14ac:dyDescent="0.3">
      <c r="A1190" t="s">
        <v>143</v>
      </c>
      <c r="B1190" t="s">
        <v>1044</v>
      </c>
      <c r="C1190" t="s">
        <v>23</v>
      </c>
      <c r="D1190" t="s">
        <v>26</v>
      </c>
      <c r="E1190">
        <v>1923</v>
      </c>
      <c r="F1190">
        <v>214.11</v>
      </c>
      <c r="G1190">
        <v>183.16</v>
      </c>
      <c r="H1190">
        <v>214.11</v>
      </c>
      <c r="I1190">
        <v>3480</v>
      </c>
      <c r="J1190">
        <v>84</v>
      </c>
      <c r="K1190" s="17">
        <f t="shared" si="145"/>
        <v>9744</v>
      </c>
      <c r="L1190" t="str">
        <f t="shared" si="146"/>
        <v>High Risk</v>
      </c>
      <c r="P1190" s="19">
        <f t="shared" si="147"/>
        <v>7821</v>
      </c>
      <c r="R1190" s="19">
        <f t="shared" si="144"/>
        <v>1674554.31</v>
      </c>
      <c r="T1190" s="19">
        <f t="shared" si="148"/>
        <v>637396.79999999993</v>
      </c>
      <c r="U1190" s="19">
        <f t="shared" si="149"/>
        <v>745102.8</v>
      </c>
      <c r="V1190" s="21">
        <f t="shared" si="150"/>
        <v>107706.00000000012</v>
      </c>
      <c r="W1190" s="18">
        <f t="shared" si="151"/>
        <v>0.16897794278226708</v>
      </c>
    </row>
    <row r="1191" spans="1:23" x14ac:dyDescent="0.3">
      <c r="A1191" t="s">
        <v>51</v>
      </c>
      <c r="B1191" t="s">
        <v>1641</v>
      </c>
      <c r="C1191" t="s">
        <v>16</v>
      </c>
      <c r="D1191" t="s">
        <v>69</v>
      </c>
      <c r="E1191">
        <v>1927</v>
      </c>
      <c r="F1191">
        <v>338.92</v>
      </c>
      <c r="G1191">
        <v>316.06</v>
      </c>
      <c r="H1191">
        <v>338.92</v>
      </c>
      <c r="I1191">
        <v>2085</v>
      </c>
      <c r="J1191">
        <v>17</v>
      </c>
      <c r="K1191" s="17">
        <f t="shared" si="145"/>
        <v>1181.5</v>
      </c>
      <c r="L1191" t="str">
        <f t="shared" si="146"/>
        <v>Sufficuent Stock</v>
      </c>
      <c r="P1191" s="19">
        <f t="shared" si="147"/>
        <v>0</v>
      </c>
      <c r="R1191" s="19">
        <f t="shared" si="144"/>
        <v>0</v>
      </c>
      <c r="T1191" s="19">
        <f t="shared" si="148"/>
        <v>658985.1</v>
      </c>
      <c r="U1191" s="19">
        <f t="shared" si="149"/>
        <v>706648.20000000007</v>
      </c>
      <c r="V1191" s="21">
        <f t="shared" si="150"/>
        <v>47663.100000000093</v>
      </c>
      <c r="W1191" s="18">
        <f t="shared" si="151"/>
        <v>7.2328038979940668E-2</v>
      </c>
    </row>
    <row r="1192" spans="1:23" x14ac:dyDescent="0.3">
      <c r="A1192" t="s">
        <v>992</v>
      </c>
      <c r="B1192" t="s">
        <v>993</v>
      </c>
      <c r="C1192" t="s">
        <v>12</v>
      </c>
      <c r="D1192" t="s">
        <v>69</v>
      </c>
      <c r="E1192">
        <v>1935</v>
      </c>
      <c r="F1192">
        <v>328.23</v>
      </c>
      <c r="G1192">
        <v>329.54</v>
      </c>
      <c r="H1192">
        <v>328.23</v>
      </c>
      <c r="I1192">
        <v>456</v>
      </c>
      <c r="J1192">
        <v>37</v>
      </c>
      <c r="K1192" s="17">
        <f t="shared" si="145"/>
        <v>562.4</v>
      </c>
      <c r="L1192" t="str">
        <f t="shared" si="146"/>
        <v>Sufficuent Stock</v>
      </c>
      <c r="P1192" s="19">
        <f t="shared" si="147"/>
        <v>0</v>
      </c>
      <c r="R1192" s="19">
        <f t="shared" si="144"/>
        <v>0</v>
      </c>
      <c r="T1192" s="19">
        <f t="shared" si="148"/>
        <v>150270.24000000002</v>
      </c>
      <c r="U1192" s="19">
        <f t="shared" si="149"/>
        <v>149672.88</v>
      </c>
      <c r="V1192" s="21">
        <f t="shared" si="150"/>
        <v>-597.36000000001513</v>
      </c>
      <c r="W1192" s="18">
        <f t="shared" si="151"/>
        <v>-3.9752382108394517E-3</v>
      </c>
    </row>
    <row r="1193" spans="1:23" x14ac:dyDescent="0.3">
      <c r="A1193" t="s">
        <v>712</v>
      </c>
      <c r="B1193" t="s">
        <v>2874</v>
      </c>
      <c r="C1193" t="s">
        <v>50</v>
      </c>
      <c r="D1193" t="s">
        <v>69</v>
      </c>
      <c r="E1193">
        <v>1935</v>
      </c>
      <c r="F1193">
        <v>148.86000000000001</v>
      </c>
      <c r="G1193">
        <v>158.72</v>
      </c>
      <c r="H1193">
        <v>148.86000000000001</v>
      </c>
      <c r="I1193">
        <v>3101</v>
      </c>
      <c r="J1193">
        <v>23</v>
      </c>
      <c r="K1193" s="17">
        <f t="shared" si="145"/>
        <v>2377.4333333333334</v>
      </c>
      <c r="L1193" t="str">
        <f t="shared" si="146"/>
        <v>High Risk</v>
      </c>
      <c r="P1193" s="19">
        <f t="shared" si="147"/>
        <v>443</v>
      </c>
      <c r="R1193" s="19">
        <f t="shared" si="144"/>
        <v>65944.98000000001</v>
      </c>
      <c r="T1193" s="19">
        <f t="shared" si="148"/>
        <v>492190.71999999997</v>
      </c>
      <c r="U1193" s="19">
        <f t="shared" si="149"/>
        <v>461614.86000000004</v>
      </c>
      <c r="V1193" s="21">
        <f t="shared" si="150"/>
        <v>-30575.859999999928</v>
      </c>
      <c r="W1193" s="18">
        <f t="shared" si="151"/>
        <v>-6.2121975806451471E-2</v>
      </c>
    </row>
    <row r="1194" spans="1:23" x14ac:dyDescent="0.3">
      <c r="A1194" t="s">
        <v>434</v>
      </c>
      <c r="B1194" t="s">
        <v>2476</v>
      </c>
      <c r="C1194" t="s">
        <v>12</v>
      </c>
      <c r="D1194" t="s">
        <v>17</v>
      </c>
      <c r="E1194">
        <v>1936</v>
      </c>
      <c r="F1194">
        <v>343.3</v>
      </c>
      <c r="G1194">
        <v>294.07</v>
      </c>
      <c r="H1194">
        <v>343.3</v>
      </c>
      <c r="I1194">
        <v>2868</v>
      </c>
      <c r="J1194">
        <v>53</v>
      </c>
      <c r="K1194" s="17">
        <f t="shared" si="145"/>
        <v>5066.7999999999993</v>
      </c>
      <c r="L1194" t="str">
        <f t="shared" si="146"/>
        <v>High Risk</v>
      </c>
      <c r="P1194" s="19">
        <f t="shared" si="147"/>
        <v>3131</v>
      </c>
      <c r="R1194" s="19">
        <f t="shared" si="144"/>
        <v>1074872.3</v>
      </c>
      <c r="T1194" s="19">
        <f t="shared" si="148"/>
        <v>843392.76</v>
      </c>
      <c r="U1194" s="19">
        <f t="shared" si="149"/>
        <v>984584.4</v>
      </c>
      <c r="V1194" s="21">
        <f t="shared" si="150"/>
        <v>141191.64000000001</v>
      </c>
      <c r="W1194" s="18">
        <f t="shared" si="151"/>
        <v>0.16740912027748497</v>
      </c>
    </row>
    <row r="1195" spans="1:23" x14ac:dyDescent="0.3">
      <c r="A1195" t="s">
        <v>1445</v>
      </c>
      <c r="B1195" t="s">
        <v>2842</v>
      </c>
      <c r="C1195" t="s">
        <v>16</v>
      </c>
      <c r="D1195" t="s">
        <v>69</v>
      </c>
      <c r="E1195">
        <v>1942</v>
      </c>
      <c r="F1195">
        <v>67.11</v>
      </c>
      <c r="G1195">
        <v>62.41</v>
      </c>
      <c r="H1195">
        <v>67.11</v>
      </c>
      <c r="I1195">
        <v>1367</v>
      </c>
      <c r="J1195">
        <v>73</v>
      </c>
      <c r="K1195" s="17">
        <f t="shared" si="145"/>
        <v>3326.3666666666668</v>
      </c>
      <c r="L1195" t="str">
        <f t="shared" si="146"/>
        <v>High Risk</v>
      </c>
      <c r="P1195" s="19">
        <f t="shared" si="147"/>
        <v>1385</v>
      </c>
      <c r="R1195" s="19">
        <f t="shared" si="144"/>
        <v>92947.35</v>
      </c>
      <c r="T1195" s="19">
        <f t="shared" si="148"/>
        <v>85314.47</v>
      </c>
      <c r="U1195" s="19">
        <f t="shared" si="149"/>
        <v>91739.37</v>
      </c>
      <c r="V1195" s="21">
        <f t="shared" si="150"/>
        <v>6424.8999999999942</v>
      </c>
      <c r="W1195" s="18">
        <f t="shared" si="151"/>
        <v>7.5308444159589746E-2</v>
      </c>
    </row>
    <row r="1196" spans="1:23" x14ac:dyDescent="0.3">
      <c r="A1196" t="s">
        <v>988</v>
      </c>
      <c r="B1196" t="s">
        <v>1191</v>
      </c>
      <c r="C1196" t="s">
        <v>50</v>
      </c>
      <c r="D1196" t="s">
        <v>17</v>
      </c>
      <c r="E1196">
        <v>1942</v>
      </c>
      <c r="F1196">
        <v>228.23</v>
      </c>
      <c r="G1196">
        <v>196.47</v>
      </c>
      <c r="H1196">
        <v>228.23</v>
      </c>
      <c r="I1196">
        <v>767</v>
      </c>
      <c r="J1196">
        <v>36</v>
      </c>
      <c r="K1196" s="17">
        <f t="shared" si="145"/>
        <v>920.4</v>
      </c>
      <c r="L1196" t="str">
        <f t="shared" si="146"/>
        <v>Sufficuent Stock</v>
      </c>
      <c r="P1196" s="19">
        <f t="shared" si="147"/>
        <v>0</v>
      </c>
      <c r="R1196" s="19">
        <f t="shared" si="144"/>
        <v>0</v>
      </c>
      <c r="T1196" s="19">
        <f t="shared" si="148"/>
        <v>150692.49</v>
      </c>
      <c r="U1196" s="19">
        <f t="shared" si="149"/>
        <v>175052.41</v>
      </c>
      <c r="V1196" s="21">
        <f t="shared" si="150"/>
        <v>24359.920000000013</v>
      </c>
      <c r="W1196" s="18">
        <f t="shared" si="151"/>
        <v>0.16165317860233125</v>
      </c>
    </row>
    <row r="1197" spans="1:23" x14ac:dyDescent="0.3">
      <c r="A1197" t="s">
        <v>422</v>
      </c>
      <c r="B1197" t="s">
        <v>1509</v>
      </c>
      <c r="C1197" t="s">
        <v>37</v>
      </c>
      <c r="D1197" t="s">
        <v>17</v>
      </c>
      <c r="E1197">
        <v>1942</v>
      </c>
      <c r="F1197">
        <v>138.12</v>
      </c>
      <c r="G1197">
        <v>131.27000000000001</v>
      </c>
      <c r="H1197">
        <v>138.12</v>
      </c>
      <c r="I1197">
        <v>3605</v>
      </c>
      <c r="J1197">
        <v>78</v>
      </c>
      <c r="K1197" s="17">
        <f t="shared" si="145"/>
        <v>9373</v>
      </c>
      <c r="L1197" t="str">
        <f t="shared" si="146"/>
        <v>High Risk</v>
      </c>
      <c r="P1197" s="19">
        <f t="shared" si="147"/>
        <v>7431</v>
      </c>
      <c r="R1197" s="19">
        <f t="shared" si="144"/>
        <v>1026369.7200000001</v>
      </c>
      <c r="T1197" s="19">
        <f t="shared" si="148"/>
        <v>473228.35000000003</v>
      </c>
      <c r="U1197" s="19">
        <f t="shared" si="149"/>
        <v>497922.60000000003</v>
      </c>
      <c r="V1197" s="21">
        <f t="shared" si="150"/>
        <v>24694.25</v>
      </c>
      <c r="W1197" s="18">
        <f t="shared" si="151"/>
        <v>5.2182524567684921E-2</v>
      </c>
    </row>
    <row r="1198" spans="1:23" x14ac:dyDescent="0.3">
      <c r="A1198" t="s">
        <v>438</v>
      </c>
      <c r="B1198" t="s">
        <v>2660</v>
      </c>
      <c r="C1198" t="s">
        <v>37</v>
      </c>
      <c r="D1198" t="s">
        <v>69</v>
      </c>
      <c r="E1198">
        <v>1944</v>
      </c>
      <c r="F1198">
        <v>272.75</v>
      </c>
      <c r="G1198">
        <v>235.53</v>
      </c>
      <c r="H1198">
        <v>272.75</v>
      </c>
      <c r="I1198">
        <v>761</v>
      </c>
      <c r="J1198">
        <v>19</v>
      </c>
      <c r="K1198" s="17">
        <f t="shared" si="145"/>
        <v>481.9666666666667</v>
      </c>
      <c r="L1198" t="str">
        <f t="shared" si="146"/>
        <v>Sufficuent Stock</v>
      </c>
      <c r="P1198" s="19">
        <f t="shared" si="147"/>
        <v>0</v>
      </c>
      <c r="R1198" s="19">
        <f t="shared" si="144"/>
        <v>0</v>
      </c>
      <c r="T1198" s="19">
        <f t="shared" si="148"/>
        <v>179238.33</v>
      </c>
      <c r="U1198" s="19">
        <f t="shared" si="149"/>
        <v>207562.75</v>
      </c>
      <c r="V1198" s="21">
        <f t="shared" si="150"/>
        <v>28324.420000000013</v>
      </c>
      <c r="W1198" s="18">
        <f t="shared" si="151"/>
        <v>0.15802657835519898</v>
      </c>
    </row>
    <row r="1199" spans="1:23" x14ac:dyDescent="0.3">
      <c r="A1199" t="s">
        <v>594</v>
      </c>
      <c r="B1199" t="s">
        <v>758</v>
      </c>
      <c r="C1199" t="s">
        <v>50</v>
      </c>
      <c r="D1199" t="s">
        <v>20</v>
      </c>
      <c r="E1199">
        <v>1945</v>
      </c>
      <c r="F1199">
        <v>486.14</v>
      </c>
      <c r="G1199">
        <v>453.65</v>
      </c>
      <c r="H1199">
        <v>486.14</v>
      </c>
      <c r="I1199">
        <v>2193</v>
      </c>
      <c r="J1199">
        <v>89</v>
      </c>
      <c r="K1199" s="17">
        <f t="shared" si="145"/>
        <v>6505.9</v>
      </c>
      <c r="L1199" t="str">
        <f t="shared" si="146"/>
        <v>High Risk</v>
      </c>
      <c r="P1199" s="19">
        <f t="shared" si="147"/>
        <v>4561</v>
      </c>
      <c r="R1199" s="19">
        <f t="shared" si="144"/>
        <v>2217284.54</v>
      </c>
      <c r="T1199" s="19">
        <f t="shared" si="148"/>
        <v>994854.45</v>
      </c>
      <c r="U1199" s="19">
        <f t="shared" si="149"/>
        <v>1066105.02</v>
      </c>
      <c r="V1199" s="21">
        <f t="shared" si="150"/>
        <v>71250.570000000065</v>
      </c>
      <c r="W1199" s="18">
        <f t="shared" si="151"/>
        <v>7.1619089606524924E-2</v>
      </c>
    </row>
    <row r="1200" spans="1:23" x14ac:dyDescent="0.3">
      <c r="A1200" t="s">
        <v>249</v>
      </c>
      <c r="B1200" t="s">
        <v>932</v>
      </c>
      <c r="C1200" t="s">
        <v>16</v>
      </c>
      <c r="D1200" t="s">
        <v>69</v>
      </c>
      <c r="E1200">
        <v>1946</v>
      </c>
      <c r="F1200">
        <v>424.79</v>
      </c>
      <c r="G1200">
        <v>361.07</v>
      </c>
      <c r="H1200">
        <v>424.79</v>
      </c>
      <c r="I1200">
        <v>3449</v>
      </c>
      <c r="J1200">
        <v>5</v>
      </c>
      <c r="K1200" s="17">
        <f t="shared" si="145"/>
        <v>574.83333333333337</v>
      </c>
      <c r="L1200" t="str">
        <f t="shared" si="146"/>
        <v>Sufficuent Stock</v>
      </c>
      <c r="P1200" s="19">
        <f t="shared" si="147"/>
        <v>0</v>
      </c>
      <c r="R1200" s="19">
        <f t="shared" si="144"/>
        <v>0</v>
      </c>
      <c r="T1200" s="19">
        <f t="shared" si="148"/>
        <v>1245330.43</v>
      </c>
      <c r="U1200" s="19">
        <f t="shared" si="149"/>
        <v>1465100.71</v>
      </c>
      <c r="V1200" s="21">
        <f t="shared" si="150"/>
        <v>219770.28000000003</v>
      </c>
      <c r="W1200" s="18">
        <f t="shared" si="151"/>
        <v>0.17647547566953781</v>
      </c>
    </row>
    <row r="1201" spans="1:23" x14ac:dyDescent="0.3">
      <c r="A1201" t="s">
        <v>552</v>
      </c>
      <c r="B1201" t="s">
        <v>2106</v>
      </c>
      <c r="C1201" t="s">
        <v>12</v>
      </c>
      <c r="D1201" t="s">
        <v>69</v>
      </c>
      <c r="E1201">
        <v>1948</v>
      </c>
      <c r="F1201">
        <v>415.49</v>
      </c>
      <c r="G1201">
        <v>401.22</v>
      </c>
      <c r="H1201">
        <v>415.49</v>
      </c>
      <c r="I1201">
        <v>2798</v>
      </c>
      <c r="J1201">
        <v>83</v>
      </c>
      <c r="K1201" s="17">
        <f t="shared" si="145"/>
        <v>7741.1333333333332</v>
      </c>
      <c r="L1201" t="str">
        <f t="shared" si="146"/>
        <v>High Risk</v>
      </c>
      <c r="P1201" s="19">
        <f t="shared" si="147"/>
        <v>5794</v>
      </c>
      <c r="R1201" s="19">
        <f t="shared" si="144"/>
        <v>2407349.06</v>
      </c>
      <c r="T1201" s="19">
        <f t="shared" si="148"/>
        <v>1122613.56</v>
      </c>
      <c r="U1201" s="19">
        <f t="shared" si="149"/>
        <v>1162541.02</v>
      </c>
      <c r="V1201" s="21">
        <f t="shared" si="150"/>
        <v>39927.459999999963</v>
      </c>
      <c r="W1201" s="18">
        <f t="shared" si="151"/>
        <v>3.5566522107571871E-2</v>
      </c>
    </row>
    <row r="1202" spans="1:23" x14ac:dyDescent="0.3">
      <c r="A1202" t="s">
        <v>692</v>
      </c>
      <c r="B1202" t="s">
        <v>2684</v>
      </c>
      <c r="C1202" t="s">
        <v>23</v>
      </c>
      <c r="D1202" t="s">
        <v>17</v>
      </c>
      <c r="E1202">
        <v>1948</v>
      </c>
      <c r="F1202">
        <v>316.12</v>
      </c>
      <c r="G1202">
        <v>287.93</v>
      </c>
      <c r="H1202">
        <v>316.12</v>
      </c>
      <c r="I1202">
        <v>2652</v>
      </c>
      <c r="J1202">
        <v>85</v>
      </c>
      <c r="K1202" s="17">
        <f t="shared" si="145"/>
        <v>7514.0000000000009</v>
      </c>
      <c r="L1202" t="str">
        <f t="shared" si="146"/>
        <v>High Risk</v>
      </c>
      <c r="P1202" s="19">
        <f t="shared" si="147"/>
        <v>5566</v>
      </c>
      <c r="R1202" s="19">
        <f t="shared" si="144"/>
        <v>1759523.92</v>
      </c>
      <c r="T1202" s="19">
        <f t="shared" si="148"/>
        <v>763590.36</v>
      </c>
      <c r="U1202" s="19">
        <f t="shared" si="149"/>
        <v>838350.24</v>
      </c>
      <c r="V1202" s="21">
        <f t="shared" si="150"/>
        <v>74759.88</v>
      </c>
      <c r="W1202" s="18">
        <f t="shared" si="151"/>
        <v>9.7905740978710118E-2</v>
      </c>
    </row>
    <row r="1203" spans="1:23" x14ac:dyDescent="0.3">
      <c r="A1203" t="s">
        <v>308</v>
      </c>
      <c r="B1203" t="s">
        <v>3156</v>
      </c>
      <c r="C1203" t="s">
        <v>23</v>
      </c>
      <c r="D1203" t="s">
        <v>69</v>
      </c>
      <c r="E1203">
        <v>1949</v>
      </c>
      <c r="F1203">
        <v>76.34</v>
      </c>
      <c r="G1203">
        <v>70.77</v>
      </c>
      <c r="H1203">
        <v>76.34</v>
      </c>
      <c r="I1203">
        <v>3576</v>
      </c>
      <c r="J1203">
        <v>16</v>
      </c>
      <c r="K1203" s="17">
        <f t="shared" si="145"/>
        <v>1907.2</v>
      </c>
      <c r="L1203" t="str">
        <f t="shared" si="146"/>
        <v>Sufficuent Stock</v>
      </c>
      <c r="P1203" s="19">
        <f t="shared" si="147"/>
        <v>0</v>
      </c>
      <c r="R1203" s="19">
        <f t="shared" si="144"/>
        <v>0</v>
      </c>
      <c r="T1203" s="19">
        <f t="shared" si="148"/>
        <v>253073.52</v>
      </c>
      <c r="U1203" s="19">
        <f t="shared" si="149"/>
        <v>272991.84000000003</v>
      </c>
      <c r="V1203" s="21">
        <f t="shared" si="150"/>
        <v>19918.320000000036</v>
      </c>
      <c r="W1203" s="18">
        <f t="shared" si="151"/>
        <v>7.8705666242758376E-2</v>
      </c>
    </row>
    <row r="1204" spans="1:23" x14ac:dyDescent="0.3">
      <c r="A1204" t="s">
        <v>338</v>
      </c>
      <c r="B1204" t="s">
        <v>402</v>
      </c>
      <c r="C1204" t="s">
        <v>16</v>
      </c>
      <c r="D1204" t="s">
        <v>69</v>
      </c>
      <c r="E1204">
        <v>1949</v>
      </c>
      <c r="F1204">
        <v>124.88</v>
      </c>
      <c r="G1204">
        <v>104.56</v>
      </c>
      <c r="H1204">
        <v>124.88</v>
      </c>
      <c r="I1204">
        <v>3266</v>
      </c>
      <c r="J1204">
        <v>78</v>
      </c>
      <c r="K1204" s="17">
        <f t="shared" si="145"/>
        <v>8491.6</v>
      </c>
      <c r="L1204" t="str">
        <f t="shared" si="146"/>
        <v>High Risk</v>
      </c>
      <c r="P1204" s="19">
        <f t="shared" si="147"/>
        <v>6543</v>
      </c>
      <c r="R1204" s="19">
        <f t="shared" si="144"/>
        <v>817089.84</v>
      </c>
      <c r="T1204" s="19">
        <f t="shared" si="148"/>
        <v>341492.96</v>
      </c>
      <c r="U1204" s="19">
        <f t="shared" si="149"/>
        <v>407858.07999999996</v>
      </c>
      <c r="V1204" s="21">
        <f t="shared" si="150"/>
        <v>66365.119999999937</v>
      </c>
      <c r="W1204" s="18">
        <f t="shared" si="151"/>
        <v>0.19433817903596001</v>
      </c>
    </row>
    <row r="1205" spans="1:23" x14ac:dyDescent="0.3">
      <c r="A1205" t="s">
        <v>782</v>
      </c>
      <c r="B1205" t="s">
        <v>902</v>
      </c>
      <c r="C1205" t="s">
        <v>16</v>
      </c>
      <c r="D1205" t="s">
        <v>17</v>
      </c>
      <c r="E1205">
        <v>1952</v>
      </c>
      <c r="F1205">
        <v>458.64</v>
      </c>
      <c r="G1205">
        <v>417.74</v>
      </c>
      <c r="H1205">
        <v>458.64</v>
      </c>
      <c r="I1205">
        <v>546</v>
      </c>
      <c r="J1205">
        <v>89</v>
      </c>
      <c r="K1205" s="17">
        <f t="shared" si="145"/>
        <v>1619.8</v>
      </c>
      <c r="L1205" t="str">
        <f t="shared" si="146"/>
        <v>Sufficuent Stock</v>
      </c>
      <c r="P1205" s="19">
        <f t="shared" si="147"/>
        <v>0</v>
      </c>
      <c r="R1205" s="19">
        <f t="shared" si="144"/>
        <v>0</v>
      </c>
      <c r="T1205" s="19">
        <f t="shared" si="148"/>
        <v>228086.04</v>
      </c>
      <c r="U1205" s="19">
        <f t="shared" si="149"/>
        <v>250417.44</v>
      </c>
      <c r="V1205" s="21">
        <f t="shared" si="150"/>
        <v>22331.399999999994</v>
      </c>
      <c r="W1205" s="18">
        <f t="shared" si="151"/>
        <v>9.7907789534159975E-2</v>
      </c>
    </row>
    <row r="1206" spans="1:23" x14ac:dyDescent="0.3">
      <c r="A1206" t="s">
        <v>480</v>
      </c>
      <c r="B1206" t="s">
        <v>955</v>
      </c>
      <c r="C1206" t="s">
        <v>50</v>
      </c>
      <c r="D1206" t="s">
        <v>13</v>
      </c>
      <c r="E1206">
        <v>1956</v>
      </c>
      <c r="F1206">
        <v>142.85</v>
      </c>
      <c r="G1206">
        <v>143.63999999999999</v>
      </c>
      <c r="H1206">
        <v>142.85</v>
      </c>
      <c r="I1206">
        <v>228</v>
      </c>
      <c r="J1206">
        <v>65</v>
      </c>
      <c r="K1206" s="17">
        <f t="shared" si="145"/>
        <v>494</v>
      </c>
      <c r="L1206" t="str">
        <f t="shared" si="146"/>
        <v>Sufficuent Stock</v>
      </c>
      <c r="P1206" s="19">
        <f t="shared" si="147"/>
        <v>0</v>
      </c>
      <c r="R1206" s="19">
        <f t="shared" si="144"/>
        <v>0</v>
      </c>
      <c r="T1206" s="19">
        <f t="shared" si="148"/>
        <v>32749.919999999998</v>
      </c>
      <c r="U1206" s="19">
        <f t="shared" si="149"/>
        <v>32569.8</v>
      </c>
      <c r="V1206" s="21">
        <f t="shared" si="150"/>
        <v>-180.11999999999898</v>
      </c>
      <c r="W1206" s="18">
        <f t="shared" si="151"/>
        <v>-5.4998607630186271E-3</v>
      </c>
    </row>
    <row r="1207" spans="1:23" x14ac:dyDescent="0.3">
      <c r="A1207" t="s">
        <v>1010</v>
      </c>
      <c r="B1207" t="s">
        <v>1312</v>
      </c>
      <c r="C1207" t="s">
        <v>37</v>
      </c>
      <c r="D1207" t="s">
        <v>26</v>
      </c>
      <c r="E1207">
        <v>1957</v>
      </c>
      <c r="F1207">
        <v>490.46</v>
      </c>
      <c r="G1207">
        <v>464.87</v>
      </c>
      <c r="H1207">
        <v>490.46</v>
      </c>
      <c r="I1207">
        <v>571</v>
      </c>
      <c r="J1207">
        <v>29</v>
      </c>
      <c r="K1207" s="17">
        <f t="shared" si="145"/>
        <v>551.9666666666667</v>
      </c>
      <c r="L1207" t="str">
        <f t="shared" si="146"/>
        <v>Sufficuent Stock</v>
      </c>
      <c r="P1207" s="19">
        <f t="shared" si="147"/>
        <v>0</v>
      </c>
      <c r="R1207" s="19">
        <f t="shared" si="144"/>
        <v>0</v>
      </c>
      <c r="T1207" s="19">
        <f t="shared" si="148"/>
        <v>265440.77</v>
      </c>
      <c r="U1207" s="19">
        <f t="shared" si="149"/>
        <v>280052.65999999997</v>
      </c>
      <c r="V1207" s="21">
        <f t="shared" si="150"/>
        <v>14611.889999999956</v>
      </c>
      <c r="W1207" s="18">
        <f t="shared" si="151"/>
        <v>5.5047647729472585E-2</v>
      </c>
    </row>
    <row r="1208" spans="1:23" x14ac:dyDescent="0.3">
      <c r="A1208" t="s">
        <v>368</v>
      </c>
      <c r="B1208" t="s">
        <v>2358</v>
      </c>
      <c r="C1208" t="s">
        <v>37</v>
      </c>
      <c r="D1208" t="s">
        <v>20</v>
      </c>
      <c r="E1208">
        <v>1957</v>
      </c>
      <c r="F1208">
        <v>331.55</v>
      </c>
      <c r="G1208">
        <v>366.6</v>
      </c>
      <c r="H1208">
        <v>331.55</v>
      </c>
      <c r="I1208">
        <v>2344</v>
      </c>
      <c r="J1208">
        <v>31</v>
      </c>
      <c r="K1208" s="17">
        <f t="shared" si="145"/>
        <v>2422.1333333333337</v>
      </c>
      <c r="L1208" t="str">
        <f t="shared" si="146"/>
        <v>High Risk</v>
      </c>
      <c r="P1208" s="19">
        <f t="shared" si="147"/>
        <v>466</v>
      </c>
      <c r="R1208" s="19">
        <f t="shared" si="144"/>
        <v>154502.30000000002</v>
      </c>
      <c r="T1208" s="19">
        <f t="shared" si="148"/>
        <v>859310.4</v>
      </c>
      <c r="U1208" s="19">
        <f t="shared" si="149"/>
        <v>777153.20000000007</v>
      </c>
      <c r="V1208" s="21">
        <f t="shared" si="150"/>
        <v>-82157.199999999953</v>
      </c>
      <c r="W1208" s="18">
        <f t="shared" si="151"/>
        <v>-9.5608292416802992E-2</v>
      </c>
    </row>
    <row r="1209" spans="1:23" x14ac:dyDescent="0.3">
      <c r="A1209" t="s">
        <v>416</v>
      </c>
      <c r="B1209" t="s">
        <v>3313</v>
      </c>
      <c r="C1209" t="s">
        <v>37</v>
      </c>
      <c r="D1209" t="s">
        <v>20</v>
      </c>
      <c r="E1209">
        <v>1957</v>
      </c>
      <c r="F1209">
        <v>398.68</v>
      </c>
      <c r="G1209">
        <v>355.82</v>
      </c>
      <c r="H1209">
        <v>398.68</v>
      </c>
      <c r="I1209">
        <v>3266</v>
      </c>
      <c r="J1209">
        <v>86</v>
      </c>
      <c r="K1209" s="17">
        <f t="shared" si="145"/>
        <v>9362.5333333333328</v>
      </c>
      <c r="L1209" t="str">
        <f t="shared" si="146"/>
        <v>High Risk</v>
      </c>
      <c r="P1209" s="19">
        <f t="shared" si="147"/>
        <v>7406</v>
      </c>
      <c r="R1209" s="19">
        <f t="shared" si="144"/>
        <v>2952624.08</v>
      </c>
      <c r="T1209" s="19">
        <f t="shared" si="148"/>
        <v>1162108.1199999999</v>
      </c>
      <c r="U1209" s="19">
        <f t="shared" si="149"/>
        <v>1302088.8800000001</v>
      </c>
      <c r="V1209" s="21">
        <f t="shared" si="150"/>
        <v>139980.76000000024</v>
      </c>
      <c r="W1209" s="18">
        <f t="shared" si="151"/>
        <v>0.12045416221685144</v>
      </c>
    </row>
    <row r="1210" spans="1:23" x14ac:dyDescent="0.3">
      <c r="A1210" t="s">
        <v>511</v>
      </c>
      <c r="B1210" t="s">
        <v>1927</v>
      </c>
      <c r="C1210" t="s">
        <v>16</v>
      </c>
      <c r="D1210" t="s">
        <v>69</v>
      </c>
      <c r="E1210">
        <v>1959</v>
      </c>
      <c r="F1210">
        <v>369.46</v>
      </c>
      <c r="G1210">
        <v>380.86</v>
      </c>
      <c r="H1210">
        <v>369.46</v>
      </c>
      <c r="I1210">
        <v>1474</v>
      </c>
      <c r="J1210">
        <v>26</v>
      </c>
      <c r="K1210" s="17">
        <f t="shared" si="145"/>
        <v>1277.4666666666667</v>
      </c>
      <c r="L1210" t="str">
        <f t="shared" si="146"/>
        <v>Sufficuent Stock</v>
      </c>
      <c r="P1210" s="19">
        <f t="shared" si="147"/>
        <v>0</v>
      </c>
      <c r="R1210" s="19">
        <f t="shared" si="144"/>
        <v>0</v>
      </c>
      <c r="T1210" s="19">
        <f t="shared" si="148"/>
        <v>561387.64</v>
      </c>
      <c r="U1210" s="19">
        <f t="shared" si="149"/>
        <v>544584.03999999992</v>
      </c>
      <c r="V1210" s="21">
        <f t="shared" si="150"/>
        <v>-16803.600000000093</v>
      </c>
      <c r="W1210" s="18">
        <f t="shared" si="151"/>
        <v>-2.9932258572704047E-2</v>
      </c>
    </row>
    <row r="1211" spans="1:23" x14ac:dyDescent="0.3">
      <c r="A1211" t="s">
        <v>344</v>
      </c>
      <c r="B1211" t="s">
        <v>2794</v>
      </c>
      <c r="C1211" t="s">
        <v>12</v>
      </c>
      <c r="D1211" t="s">
        <v>13</v>
      </c>
      <c r="E1211">
        <v>1962</v>
      </c>
      <c r="F1211">
        <v>132.6</v>
      </c>
      <c r="G1211">
        <v>122.26</v>
      </c>
      <c r="H1211">
        <v>132.6</v>
      </c>
      <c r="I1211">
        <v>3780</v>
      </c>
      <c r="J1211">
        <v>17</v>
      </c>
      <c r="K1211" s="17">
        <f t="shared" si="145"/>
        <v>2142</v>
      </c>
      <c r="L1211" t="str">
        <f t="shared" si="146"/>
        <v>High Risk</v>
      </c>
      <c r="P1211" s="19">
        <f t="shared" si="147"/>
        <v>180</v>
      </c>
      <c r="R1211" s="19">
        <f t="shared" si="144"/>
        <v>23868</v>
      </c>
      <c r="T1211" s="19">
        <f t="shared" si="148"/>
        <v>462142.80000000005</v>
      </c>
      <c r="U1211" s="19">
        <f t="shared" si="149"/>
        <v>501228</v>
      </c>
      <c r="V1211" s="21">
        <f t="shared" si="150"/>
        <v>39085.199999999953</v>
      </c>
      <c r="W1211" s="18">
        <f t="shared" si="151"/>
        <v>8.4573858989039644E-2</v>
      </c>
    </row>
    <row r="1212" spans="1:23" x14ac:dyDescent="0.3">
      <c r="A1212" t="s">
        <v>340</v>
      </c>
      <c r="B1212" t="s">
        <v>2658</v>
      </c>
      <c r="C1212" t="s">
        <v>50</v>
      </c>
      <c r="D1212" t="s">
        <v>69</v>
      </c>
      <c r="E1212">
        <v>1963</v>
      </c>
      <c r="F1212">
        <v>196.62</v>
      </c>
      <c r="G1212">
        <v>207.24</v>
      </c>
      <c r="H1212">
        <v>196.62</v>
      </c>
      <c r="I1212">
        <v>556</v>
      </c>
      <c r="J1212">
        <v>49</v>
      </c>
      <c r="K1212" s="17">
        <f t="shared" si="145"/>
        <v>908.13333333333344</v>
      </c>
      <c r="L1212" t="str">
        <f t="shared" si="146"/>
        <v>Sufficuent Stock</v>
      </c>
      <c r="P1212" s="19">
        <f t="shared" si="147"/>
        <v>0</v>
      </c>
      <c r="R1212" s="19">
        <f t="shared" si="144"/>
        <v>0</v>
      </c>
      <c r="T1212" s="19">
        <f t="shared" si="148"/>
        <v>115225.44</v>
      </c>
      <c r="U1212" s="19">
        <f t="shared" si="149"/>
        <v>109320.72</v>
      </c>
      <c r="V1212" s="21">
        <f t="shared" si="150"/>
        <v>-5904.7200000000012</v>
      </c>
      <c r="W1212" s="18">
        <f t="shared" si="151"/>
        <v>-5.1244933410538512E-2</v>
      </c>
    </row>
    <row r="1213" spans="1:23" x14ac:dyDescent="0.3">
      <c r="A1213" t="s">
        <v>382</v>
      </c>
      <c r="B1213" t="s">
        <v>1201</v>
      </c>
      <c r="C1213" t="s">
        <v>50</v>
      </c>
      <c r="D1213" t="s">
        <v>69</v>
      </c>
      <c r="E1213">
        <v>1964</v>
      </c>
      <c r="F1213">
        <v>237.04</v>
      </c>
      <c r="G1213">
        <v>206.47</v>
      </c>
      <c r="H1213">
        <v>237.04</v>
      </c>
      <c r="I1213">
        <v>160</v>
      </c>
      <c r="J1213">
        <v>85</v>
      </c>
      <c r="K1213" s="17">
        <f t="shared" si="145"/>
        <v>453.33333333333331</v>
      </c>
      <c r="L1213" t="str">
        <f t="shared" si="146"/>
        <v>Sufficuent Stock</v>
      </c>
      <c r="P1213" s="19">
        <f t="shared" si="147"/>
        <v>0</v>
      </c>
      <c r="R1213" s="19">
        <f t="shared" si="144"/>
        <v>0</v>
      </c>
      <c r="T1213" s="19">
        <f t="shared" si="148"/>
        <v>33035.199999999997</v>
      </c>
      <c r="U1213" s="19">
        <f t="shared" si="149"/>
        <v>37926.400000000001</v>
      </c>
      <c r="V1213" s="21">
        <f t="shared" si="150"/>
        <v>4891.2000000000044</v>
      </c>
      <c r="W1213" s="18">
        <f t="shared" si="151"/>
        <v>0.14806025088390579</v>
      </c>
    </row>
    <row r="1214" spans="1:23" x14ac:dyDescent="0.3">
      <c r="A1214" t="s">
        <v>992</v>
      </c>
      <c r="B1214" t="s">
        <v>1649</v>
      </c>
      <c r="C1214" t="s">
        <v>37</v>
      </c>
      <c r="D1214" t="s">
        <v>13</v>
      </c>
      <c r="E1214">
        <v>1966</v>
      </c>
      <c r="F1214">
        <v>193.74</v>
      </c>
      <c r="G1214">
        <v>195.57</v>
      </c>
      <c r="H1214">
        <v>193.74</v>
      </c>
      <c r="I1214">
        <v>1471</v>
      </c>
      <c r="J1214">
        <v>74</v>
      </c>
      <c r="K1214" s="17">
        <f t="shared" si="145"/>
        <v>3628.4666666666667</v>
      </c>
      <c r="L1214" t="str">
        <f t="shared" si="146"/>
        <v>High Risk</v>
      </c>
      <c r="P1214" s="19">
        <f t="shared" si="147"/>
        <v>1663</v>
      </c>
      <c r="R1214" s="19">
        <f t="shared" si="144"/>
        <v>322189.62</v>
      </c>
      <c r="T1214" s="19">
        <f t="shared" si="148"/>
        <v>287683.46999999997</v>
      </c>
      <c r="U1214" s="19">
        <f t="shared" si="149"/>
        <v>284991.54000000004</v>
      </c>
      <c r="V1214" s="21">
        <f t="shared" si="150"/>
        <v>-2691.9299999999348</v>
      </c>
      <c r="W1214" s="18">
        <f t="shared" si="151"/>
        <v>-9.3572633839543694E-3</v>
      </c>
    </row>
    <row r="1215" spans="1:23" x14ac:dyDescent="0.3">
      <c r="A1215" t="s">
        <v>737</v>
      </c>
      <c r="B1215" t="s">
        <v>1414</v>
      </c>
      <c r="C1215" t="s">
        <v>50</v>
      </c>
      <c r="D1215" t="s">
        <v>26</v>
      </c>
      <c r="E1215">
        <v>1966</v>
      </c>
      <c r="F1215">
        <v>431.91</v>
      </c>
      <c r="G1215">
        <v>470.84</v>
      </c>
      <c r="H1215">
        <v>431.91</v>
      </c>
      <c r="I1215">
        <v>2005</v>
      </c>
      <c r="J1215">
        <v>31</v>
      </c>
      <c r="K1215" s="17">
        <f t="shared" si="145"/>
        <v>2071.833333333333</v>
      </c>
      <c r="L1215" t="str">
        <f t="shared" si="146"/>
        <v>High Risk</v>
      </c>
      <c r="P1215" s="19">
        <f t="shared" si="147"/>
        <v>106</v>
      </c>
      <c r="R1215" s="19">
        <f t="shared" si="144"/>
        <v>45782.46</v>
      </c>
      <c r="T1215" s="19">
        <f t="shared" si="148"/>
        <v>944034.2</v>
      </c>
      <c r="U1215" s="19">
        <f t="shared" si="149"/>
        <v>865979.55</v>
      </c>
      <c r="V1215" s="21">
        <f t="shared" si="150"/>
        <v>-78054.649999999907</v>
      </c>
      <c r="W1215" s="18">
        <f t="shared" si="151"/>
        <v>-8.2682015121909688E-2</v>
      </c>
    </row>
    <row r="1216" spans="1:23" x14ac:dyDescent="0.3">
      <c r="A1216" t="s">
        <v>1375</v>
      </c>
      <c r="B1216" t="s">
        <v>2285</v>
      </c>
      <c r="C1216" t="s">
        <v>12</v>
      </c>
      <c r="D1216" t="s">
        <v>17</v>
      </c>
      <c r="E1216">
        <v>1971</v>
      </c>
      <c r="F1216">
        <v>101.63</v>
      </c>
      <c r="G1216">
        <v>111.81</v>
      </c>
      <c r="H1216">
        <v>101.63</v>
      </c>
      <c r="I1216">
        <v>1116</v>
      </c>
      <c r="J1216">
        <v>54</v>
      </c>
      <c r="K1216" s="17">
        <f t="shared" si="145"/>
        <v>2008.8000000000002</v>
      </c>
      <c r="L1216" t="str">
        <f t="shared" si="146"/>
        <v>High Risk</v>
      </c>
      <c r="P1216" s="19">
        <f t="shared" si="147"/>
        <v>38</v>
      </c>
      <c r="R1216" s="19">
        <f t="shared" si="144"/>
        <v>3861.9399999999996</v>
      </c>
      <c r="T1216" s="19">
        <f t="shared" si="148"/>
        <v>124779.96</v>
      </c>
      <c r="U1216" s="19">
        <f t="shared" si="149"/>
        <v>113419.08</v>
      </c>
      <c r="V1216" s="21">
        <f t="shared" si="150"/>
        <v>-11360.880000000005</v>
      </c>
      <c r="W1216" s="18">
        <f t="shared" si="151"/>
        <v>-9.1047312404972755E-2</v>
      </c>
    </row>
    <row r="1217" spans="1:23" x14ac:dyDescent="0.3">
      <c r="A1217" t="s">
        <v>1014</v>
      </c>
      <c r="B1217" t="s">
        <v>2053</v>
      </c>
      <c r="C1217" t="s">
        <v>12</v>
      </c>
      <c r="D1217" t="s">
        <v>20</v>
      </c>
      <c r="E1217">
        <v>1972</v>
      </c>
      <c r="F1217">
        <v>292.89</v>
      </c>
      <c r="G1217">
        <v>276.04000000000002</v>
      </c>
      <c r="H1217">
        <v>292.89</v>
      </c>
      <c r="I1217">
        <v>3230</v>
      </c>
      <c r="J1217">
        <v>5</v>
      </c>
      <c r="K1217" s="17">
        <f t="shared" si="145"/>
        <v>538.33333333333337</v>
      </c>
      <c r="L1217" t="str">
        <f t="shared" si="146"/>
        <v>Sufficuent Stock</v>
      </c>
      <c r="P1217" s="19">
        <f t="shared" si="147"/>
        <v>0</v>
      </c>
      <c r="R1217" s="19">
        <f t="shared" si="144"/>
        <v>0</v>
      </c>
      <c r="T1217" s="19">
        <f t="shared" si="148"/>
        <v>891609.20000000007</v>
      </c>
      <c r="U1217" s="19">
        <f t="shared" si="149"/>
        <v>946034.7</v>
      </c>
      <c r="V1217" s="21">
        <f t="shared" si="150"/>
        <v>54425.499999999884</v>
      </c>
      <c r="W1217" s="18">
        <f t="shared" si="151"/>
        <v>6.1041877988697153E-2</v>
      </c>
    </row>
    <row r="1218" spans="1:23" x14ac:dyDescent="0.3">
      <c r="A1218" t="s">
        <v>280</v>
      </c>
      <c r="B1218" t="s">
        <v>1881</v>
      </c>
      <c r="C1218" t="s">
        <v>12</v>
      </c>
      <c r="D1218" t="s">
        <v>26</v>
      </c>
      <c r="E1218">
        <v>1974</v>
      </c>
      <c r="F1218">
        <v>135.49</v>
      </c>
      <c r="G1218">
        <v>138.83000000000001</v>
      </c>
      <c r="H1218">
        <v>135.49</v>
      </c>
      <c r="I1218">
        <v>2363</v>
      </c>
      <c r="J1218">
        <v>36</v>
      </c>
      <c r="K1218" s="17">
        <f t="shared" si="145"/>
        <v>2835.6</v>
      </c>
      <c r="L1218" t="str">
        <f t="shared" si="146"/>
        <v>High Risk</v>
      </c>
      <c r="P1218" s="19">
        <f t="shared" si="147"/>
        <v>862</v>
      </c>
      <c r="R1218" s="19">
        <f t="shared" ref="R1218:R1281" si="152">P1218*H1218</f>
        <v>116792.38</v>
      </c>
      <c r="T1218" s="19">
        <f t="shared" si="148"/>
        <v>328055.29000000004</v>
      </c>
      <c r="U1218" s="19">
        <f t="shared" si="149"/>
        <v>320162.87</v>
      </c>
      <c r="V1218" s="21">
        <f t="shared" si="150"/>
        <v>-7892.4200000000419</v>
      </c>
      <c r="W1218" s="18">
        <f t="shared" si="151"/>
        <v>-2.4058200677087211E-2</v>
      </c>
    </row>
    <row r="1219" spans="1:23" x14ac:dyDescent="0.3">
      <c r="A1219" t="s">
        <v>184</v>
      </c>
      <c r="B1219" t="s">
        <v>1853</v>
      </c>
      <c r="C1219" t="s">
        <v>50</v>
      </c>
      <c r="D1219" t="s">
        <v>17</v>
      </c>
      <c r="E1219">
        <v>1974</v>
      </c>
      <c r="F1219">
        <v>386.57</v>
      </c>
      <c r="G1219">
        <v>424.28</v>
      </c>
      <c r="H1219">
        <v>386.57</v>
      </c>
      <c r="I1219">
        <v>3003</v>
      </c>
      <c r="J1219">
        <v>83</v>
      </c>
      <c r="K1219" s="17">
        <f t="shared" ref="K1219:K1282" si="153">(I1219/30)*J1219</f>
        <v>8308.2999999999993</v>
      </c>
      <c r="L1219" t="str">
        <f t="shared" ref="L1219:L1282" si="154">IF(E1219&lt;K1219,"High Risk","Sufficuent Stock")</f>
        <v>High Risk</v>
      </c>
      <c r="P1219" s="19">
        <f t="shared" ref="P1219:P1282" si="155">ROUNDUP(MAX(0,K1219-E1219),0)</f>
        <v>6335</v>
      </c>
      <c r="R1219" s="19">
        <f t="shared" si="152"/>
        <v>2448920.9500000002</v>
      </c>
      <c r="T1219" s="19">
        <f t="shared" ref="T1219:T1282" si="156">I1219*G1219</f>
        <v>1274112.8399999999</v>
      </c>
      <c r="U1219" s="19">
        <f t="shared" ref="U1219:U1282" si="157">I1219*H1219</f>
        <v>1160869.71</v>
      </c>
      <c r="V1219" s="21">
        <f t="shared" ref="V1219:V1282" si="158">U1219-T1219</f>
        <v>-113243.12999999989</v>
      </c>
      <c r="W1219" s="18">
        <f t="shared" ref="W1219:W1282" si="159">IFERROR(V1219/T1219,0)</f>
        <v>-8.8879984915621685E-2</v>
      </c>
    </row>
    <row r="1220" spans="1:23" x14ac:dyDescent="0.3">
      <c r="A1220" t="s">
        <v>175</v>
      </c>
      <c r="B1220" t="s">
        <v>2852</v>
      </c>
      <c r="C1220" t="s">
        <v>37</v>
      </c>
      <c r="D1220" t="s">
        <v>26</v>
      </c>
      <c r="E1220">
        <v>1977</v>
      </c>
      <c r="F1220">
        <v>513.09</v>
      </c>
      <c r="G1220">
        <v>472.78</v>
      </c>
      <c r="H1220">
        <v>513.09</v>
      </c>
      <c r="I1220">
        <v>325</v>
      </c>
      <c r="J1220">
        <v>70</v>
      </c>
      <c r="K1220" s="17">
        <f t="shared" si="153"/>
        <v>758.33333333333337</v>
      </c>
      <c r="L1220" t="str">
        <f t="shared" si="154"/>
        <v>Sufficuent Stock</v>
      </c>
      <c r="P1220" s="19">
        <f t="shared" si="155"/>
        <v>0</v>
      </c>
      <c r="R1220" s="19">
        <f t="shared" si="152"/>
        <v>0</v>
      </c>
      <c r="T1220" s="19">
        <f t="shared" si="156"/>
        <v>153653.5</v>
      </c>
      <c r="U1220" s="19">
        <f t="shared" si="157"/>
        <v>166754.25</v>
      </c>
      <c r="V1220" s="21">
        <f t="shared" si="158"/>
        <v>13100.75</v>
      </c>
      <c r="W1220" s="18">
        <f t="shared" si="159"/>
        <v>8.5261643893565719E-2</v>
      </c>
    </row>
    <row r="1221" spans="1:23" x14ac:dyDescent="0.3">
      <c r="A1221" t="s">
        <v>559</v>
      </c>
      <c r="B1221" t="s">
        <v>560</v>
      </c>
      <c r="C1221" t="s">
        <v>16</v>
      </c>
      <c r="D1221" t="s">
        <v>13</v>
      </c>
      <c r="E1221">
        <v>1980</v>
      </c>
      <c r="F1221">
        <v>208.03</v>
      </c>
      <c r="G1221">
        <v>184.71</v>
      </c>
      <c r="H1221">
        <v>208.03</v>
      </c>
      <c r="I1221">
        <v>301</v>
      </c>
      <c r="J1221">
        <v>6</v>
      </c>
      <c r="K1221" s="17">
        <f t="shared" si="153"/>
        <v>60.2</v>
      </c>
      <c r="L1221" t="str">
        <f t="shared" si="154"/>
        <v>Sufficuent Stock</v>
      </c>
      <c r="P1221" s="19">
        <f t="shared" si="155"/>
        <v>0</v>
      </c>
      <c r="R1221" s="19">
        <f t="shared" si="152"/>
        <v>0</v>
      </c>
      <c r="T1221" s="19">
        <f t="shared" si="156"/>
        <v>55597.71</v>
      </c>
      <c r="U1221" s="19">
        <f t="shared" si="157"/>
        <v>62617.03</v>
      </c>
      <c r="V1221" s="21">
        <f t="shared" si="158"/>
        <v>7019.32</v>
      </c>
      <c r="W1221" s="18">
        <f t="shared" si="159"/>
        <v>0.12625196253586704</v>
      </c>
    </row>
    <row r="1222" spans="1:23" x14ac:dyDescent="0.3">
      <c r="A1222" t="s">
        <v>438</v>
      </c>
      <c r="B1222" t="s">
        <v>1792</v>
      </c>
      <c r="C1222" t="s">
        <v>37</v>
      </c>
      <c r="D1222" t="s">
        <v>13</v>
      </c>
      <c r="E1222">
        <v>1982</v>
      </c>
      <c r="F1222">
        <v>414.17</v>
      </c>
      <c r="G1222">
        <v>375.43</v>
      </c>
      <c r="H1222">
        <v>414.17</v>
      </c>
      <c r="I1222">
        <v>220</v>
      </c>
      <c r="J1222">
        <v>83</v>
      </c>
      <c r="K1222" s="17">
        <f t="shared" si="153"/>
        <v>608.66666666666663</v>
      </c>
      <c r="L1222" t="str">
        <f t="shared" si="154"/>
        <v>Sufficuent Stock</v>
      </c>
      <c r="P1222" s="19">
        <f t="shared" si="155"/>
        <v>0</v>
      </c>
      <c r="R1222" s="19">
        <f t="shared" si="152"/>
        <v>0</v>
      </c>
      <c r="T1222" s="19">
        <f t="shared" si="156"/>
        <v>82594.600000000006</v>
      </c>
      <c r="U1222" s="19">
        <f t="shared" si="157"/>
        <v>91117.400000000009</v>
      </c>
      <c r="V1222" s="21">
        <f t="shared" si="158"/>
        <v>8522.8000000000029</v>
      </c>
      <c r="W1222" s="18">
        <f t="shared" si="159"/>
        <v>0.10318834403217647</v>
      </c>
    </row>
    <row r="1223" spans="1:23" x14ac:dyDescent="0.3">
      <c r="A1223" t="s">
        <v>442</v>
      </c>
      <c r="B1223" t="s">
        <v>1351</v>
      </c>
      <c r="C1223" t="s">
        <v>50</v>
      </c>
      <c r="D1223" t="s">
        <v>13</v>
      </c>
      <c r="E1223">
        <v>1990</v>
      </c>
      <c r="F1223">
        <v>157.28</v>
      </c>
      <c r="G1223">
        <v>133.08000000000001</v>
      </c>
      <c r="H1223">
        <v>157.28</v>
      </c>
      <c r="I1223">
        <v>2776</v>
      </c>
      <c r="J1223">
        <v>21</v>
      </c>
      <c r="K1223" s="17">
        <f t="shared" si="153"/>
        <v>1943.2</v>
      </c>
      <c r="L1223" t="str">
        <f t="shared" si="154"/>
        <v>Sufficuent Stock</v>
      </c>
      <c r="P1223" s="19">
        <f t="shared" si="155"/>
        <v>0</v>
      </c>
      <c r="R1223" s="19">
        <f t="shared" si="152"/>
        <v>0</v>
      </c>
      <c r="T1223" s="19">
        <f t="shared" si="156"/>
        <v>369430.08</v>
      </c>
      <c r="U1223" s="19">
        <f t="shared" si="157"/>
        <v>436609.28000000003</v>
      </c>
      <c r="V1223" s="21">
        <f t="shared" si="158"/>
        <v>67179.200000000012</v>
      </c>
      <c r="W1223" s="18">
        <f t="shared" si="159"/>
        <v>0.18184550646227834</v>
      </c>
    </row>
    <row r="1224" spans="1:23" x14ac:dyDescent="0.3">
      <c r="A1224" t="s">
        <v>27</v>
      </c>
      <c r="B1224" t="s">
        <v>2966</v>
      </c>
      <c r="C1224" t="s">
        <v>37</v>
      </c>
      <c r="D1224" t="s">
        <v>26</v>
      </c>
      <c r="E1224">
        <v>1991</v>
      </c>
      <c r="F1224">
        <v>364.38</v>
      </c>
      <c r="G1224">
        <v>392.31</v>
      </c>
      <c r="H1224">
        <v>364.38</v>
      </c>
      <c r="I1224">
        <v>301</v>
      </c>
      <c r="J1224">
        <v>84</v>
      </c>
      <c r="K1224" s="17">
        <f t="shared" si="153"/>
        <v>842.8</v>
      </c>
      <c r="L1224" t="str">
        <f t="shared" si="154"/>
        <v>Sufficuent Stock</v>
      </c>
      <c r="P1224" s="19">
        <f t="shared" si="155"/>
        <v>0</v>
      </c>
      <c r="R1224" s="19">
        <f t="shared" si="152"/>
        <v>0</v>
      </c>
      <c r="T1224" s="19">
        <f t="shared" si="156"/>
        <v>118085.31</v>
      </c>
      <c r="U1224" s="19">
        <f t="shared" si="157"/>
        <v>109678.38</v>
      </c>
      <c r="V1224" s="21">
        <f t="shared" si="158"/>
        <v>-8406.929999999993</v>
      </c>
      <c r="W1224" s="18">
        <f t="shared" si="159"/>
        <v>-7.1193698860594887E-2</v>
      </c>
    </row>
    <row r="1225" spans="1:23" x14ac:dyDescent="0.3">
      <c r="A1225" t="s">
        <v>1353</v>
      </c>
      <c r="B1225" t="s">
        <v>2391</v>
      </c>
      <c r="C1225" t="s">
        <v>50</v>
      </c>
      <c r="D1225" t="s">
        <v>13</v>
      </c>
      <c r="E1225">
        <v>1994</v>
      </c>
      <c r="F1225">
        <v>385.65</v>
      </c>
      <c r="G1225">
        <v>392.92</v>
      </c>
      <c r="H1225">
        <v>385.65</v>
      </c>
      <c r="I1225">
        <v>3138</v>
      </c>
      <c r="J1225">
        <v>9</v>
      </c>
      <c r="K1225" s="17">
        <f t="shared" si="153"/>
        <v>941.4</v>
      </c>
      <c r="L1225" t="str">
        <f t="shared" si="154"/>
        <v>Sufficuent Stock</v>
      </c>
      <c r="P1225" s="19">
        <f t="shared" si="155"/>
        <v>0</v>
      </c>
      <c r="R1225" s="19">
        <f t="shared" si="152"/>
        <v>0</v>
      </c>
      <c r="T1225" s="19">
        <f t="shared" si="156"/>
        <v>1232982.96</v>
      </c>
      <c r="U1225" s="19">
        <f t="shared" si="157"/>
        <v>1210169.7</v>
      </c>
      <c r="V1225" s="21">
        <f t="shared" si="158"/>
        <v>-22813.260000000009</v>
      </c>
      <c r="W1225" s="18">
        <f t="shared" si="159"/>
        <v>-1.850249414639113E-2</v>
      </c>
    </row>
    <row r="1226" spans="1:23" x14ac:dyDescent="0.3">
      <c r="A1226" t="s">
        <v>205</v>
      </c>
      <c r="B1226" t="s">
        <v>2602</v>
      </c>
      <c r="C1226" t="s">
        <v>16</v>
      </c>
      <c r="D1226" t="s">
        <v>20</v>
      </c>
      <c r="E1226">
        <v>2000</v>
      </c>
      <c r="F1226">
        <v>377.66</v>
      </c>
      <c r="G1226">
        <v>403.69</v>
      </c>
      <c r="H1226">
        <v>377.66</v>
      </c>
      <c r="I1226">
        <v>3051</v>
      </c>
      <c r="J1226">
        <v>76</v>
      </c>
      <c r="K1226" s="17">
        <f t="shared" si="153"/>
        <v>7729.2</v>
      </c>
      <c r="L1226" t="str">
        <f t="shared" si="154"/>
        <v>High Risk</v>
      </c>
      <c r="P1226" s="19">
        <f t="shared" si="155"/>
        <v>5730</v>
      </c>
      <c r="R1226" s="19">
        <f t="shared" si="152"/>
        <v>2163991.8000000003</v>
      </c>
      <c r="T1226" s="19">
        <f t="shared" si="156"/>
        <v>1231658.19</v>
      </c>
      <c r="U1226" s="19">
        <f t="shared" si="157"/>
        <v>1152240.6600000001</v>
      </c>
      <c r="V1226" s="21">
        <f t="shared" si="158"/>
        <v>-79417.529999999795</v>
      </c>
      <c r="W1226" s="18">
        <f t="shared" si="159"/>
        <v>-6.4480170427803352E-2</v>
      </c>
    </row>
    <row r="1227" spans="1:23" x14ac:dyDescent="0.3">
      <c r="A1227" t="s">
        <v>76</v>
      </c>
      <c r="B1227" t="s">
        <v>1730</v>
      </c>
      <c r="C1227" t="s">
        <v>37</v>
      </c>
      <c r="D1227" t="s">
        <v>17</v>
      </c>
      <c r="E1227">
        <v>2003</v>
      </c>
      <c r="F1227">
        <v>49.8</v>
      </c>
      <c r="G1227">
        <v>44.45</v>
      </c>
      <c r="H1227">
        <v>49.8</v>
      </c>
      <c r="I1227">
        <v>2057</v>
      </c>
      <c r="J1227">
        <v>56</v>
      </c>
      <c r="K1227" s="17">
        <f t="shared" si="153"/>
        <v>3839.7333333333331</v>
      </c>
      <c r="L1227" t="str">
        <f t="shared" si="154"/>
        <v>High Risk</v>
      </c>
      <c r="P1227" s="19">
        <f t="shared" si="155"/>
        <v>1837</v>
      </c>
      <c r="R1227" s="19">
        <f t="shared" si="152"/>
        <v>91482.599999999991</v>
      </c>
      <c r="T1227" s="19">
        <f t="shared" si="156"/>
        <v>91433.650000000009</v>
      </c>
      <c r="U1227" s="19">
        <f t="shared" si="157"/>
        <v>102438.59999999999</v>
      </c>
      <c r="V1227" s="21">
        <f t="shared" si="158"/>
        <v>11004.949999999983</v>
      </c>
      <c r="W1227" s="18">
        <f t="shared" si="159"/>
        <v>0.12035995500562409</v>
      </c>
    </row>
    <row r="1228" spans="1:23" x14ac:dyDescent="0.3">
      <c r="A1228" t="s">
        <v>293</v>
      </c>
      <c r="B1228" t="s">
        <v>1373</v>
      </c>
      <c r="C1228" t="s">
        <v>23</v>
      </c>
      <c r="D1228" t="s">
        <v>20</v>
      </c>
      <c r="E1228">
        <v>2003</v>
      </c>
      <c r="F1228">
        <v>432.97</v>
      </c>
      <c r="G1228">
        <v>395.55</v>
      </c>
      <c r="H1228">
        <v>432.97</v>
      </c>
      <c r="I1228">
        <v>1414</v>
      </c>
      <c r="J1228">
        <v>80</v>
      </c>
      <c r="K1228" s="17">
        <f t="shared" si="153"/>
        <v>3770.6666666666665</v>
      </c>
      <c r="L1228" t="str">
        <f t="shared" si="154"/>
        <v>High Risk</v>
      </c>
      <c r="P1228" s="19">
        <f t="shared" si="155"/>
        <v>1768</v>
      </c>
      <c r="R1228" s="19">
        <f t="shared" si="152"/>
        <v>765490.96000000008</v>
      </c>
      <c r="T1228" s="19">
        <f t="shared" si="156"/>
        <v>559307.70000000007</v>
      </c>
      <c r="U1228" s="19">
        <f t="shared" si="157"/>
        <v>612219.58000000007</v>
      </c>
      <c r="V1228" s="21">
        <f t="shared" si="158"/>
        <v>52911.880000000005</v>
      </c>
      <c r="W1228" s="18">
        <f t="shared" si="159"/>
        <v>9.4602452281633165E-2</v>
      </c>
    </row>
    <row r="1229" spans="1:23" x14ac:dyDescent="0.3">
      <c r="A1229" t="s">
        <v>48</v>
      </c>
      <c r="B1229" t="s">
        <v>1825</v>
      </c>
      <c r="C1229" t="s">
        <v>23</v>
      </c>
      <c r="D1229" t="s">
        <v>69</v>
      </c>
      <c r="E1229">
        <v>2003</v>
      </c>
      <c r="F1229">
        <v>80</v>
      </c>
      <c r="G1229">
        <v>72.900000000000006</v>
      </c>
      <c r="H1229">
        <v>80</v>
      </c>
      <c r="I1229">
        <v>2162</v>
      </c>
      <c r="J1229">
        <v>33</v>
      </c>
      <c r="K1229" s="17">
        <f t="shared" si="153"/>
        <v>2378.1999999999998</v>
      </c>
      <c r="L1229" t="str">
        <f t="shared" si="154"/>
        <v>High Risk</v>
      </c>
      <c r="P1229" s="19">
        <f t="shared" si="155"/>
        <v>376</v>
      </c>
      <c r="R1229" s="19">
        <f t="shared" si="152"/>
        <v>30080</v>
      </c>
      <c r="T1229" s="19">
        <f t="shared" si="156"/>
        <v>157609.80000000002</v>
      </c>
      <c r="U1229" s="19">
        <f t="shared" si="157"/>
        <v>172960</v>
      </c>
      <c r="V1229" s="21">
        <f t="shared" si="158"/>
        <v>15350.199999999983</v>
      </c>
      <c r="W1229" s="18">
        <f t="shared" si="159"/>
        <v>9.7393689986282464E-2</v>
      </c>
    </row>
    <row r="1230" spans="1:23" x14ac:dyDescent="0.3">
      <c r="A1230" t="s">
        <v>127</v>
      </c>
      <c r="B1230" t="s">
        <v>2870</v>
      </c>
      <c r="C1230" t="s">
        <v>16</v>
      </c>
      <c r="D1230" t="s">
        <v>13</v>
      </c>
      <c r="E1230">
        <v>2004</v>
      </c>
      <c r="F1230">
        <v>188.13</v>
      </c>
      <c r="G1230">
        <v>200.1</v>
      </c>
      <c r="H1230">
        <v>188.13</v>
      </c>
      <c r="I1230">
        <v>2840</v>
      </c>
      <c r="J1230">
        <v>37</v>
      </c>
      <c r="K1230" s="17">
        <f t="shared" si="153"/>
        <v>3502.666666666667</v>
      </c>
      <c r="L1230" t="str">
        <f t="shared" si="154"/>
        <v>High Risk</v>
      </c>
      <c r="P1230" s="19">
        <f t="shared" si="155"/>
        <v>1499</v>
      </c>
      <c r="R1230" s="19">
        <f t="shared" si="152"/>
        <v>282006.87</v>
      </c>
      <c r="T1230" s="19">
        <f t="shared" si="156"/>
        <v>568284</v>
      </c>
      <c r="U1230" s="19">
        <f t="shared" si="157"/>
        <v>534289.19999999995</v>
      </c>
      <c r="V1230" s="21">
        <f t="shared" si="158"/>
        <v>-33994.800000000047</v>
      </c>
      <c r="W1230" s="18">
        <f t="shared" si="159"/>
        <v>-5.9820089955022568E-2</v>
      </c>
    </row>
    <row r="1231" spans="1:23" x14ac:dyDescent="0.3">
      <c r="A1231" t="s">
        <v>407</v>
      </c>
      <c r="B1231" t="s">
        <v>843</v>
      </c>
      <c r="C1231" t="s">
        <v>37</v>
      </c>
      <c r="D1231" t="s">
        <v>26</v>
      </c>
      <c r="E1231">
        <v>2005</v>
      </c>
      <c r="F1231">
        <v>367.84</v>
      </c>
      <c r="G1231">
        <v>371.24</v>
      </c>
      <c r="H1231">
        <v>367.84</v>
      </c>
      <c r="I1231">
        <v>1317</v>
      </c>
      <c r="J1231">
        <v>13</v>
      </c>
      <c r="K1231" s="17">
        <f t="shared" si="153"/>
        <v>570.69999999999993</v>
      </c>
      <c r="L1231" t="str">
        <f t="shared" si="154"/>
        <v>Sufficuent Stock</v>
      </c>
      <c r="P1231" s="19">
        <f t="shared" si="155"/>
        <v>0</v>
      </c>
      <c r="R1231" s="19">
        <f t="shared" si="152"/>
        <v>0</v>
      </c>
      <c r="T1231" s="19">
        <f t="shared" si="156"/>
        <v>488923.08</v>
      </c>
      <c r="U1231" s="19">
        <f t="shared" si="157"/>
        <v>484445.27999999997</v>
      </c>
      <c r="V1231" s="21">
        <f t="shared" si="158"/>
        <v>-4477.8000000000466</v>
      </c>
      <c r="W1231" s="18">
        <f t="shared" si="159"/>
        <v>-9.1584958517402087E-3</v>
      </c>
    </row>
    <row r="1232" spans="1:23" x14ac:dyDescent="0.3">
      <c r="A1232" t="s">
        <v>31</v>
      </c>
      <c r="B1232" t="s">
        <v>2315</v>
      </c>
      <c r="C1232" t="s">
        <v>12</v>
      </c>
      <c r="D1232" t="s">
        <v>20</v>
      </c>
      <c r="E1232">
        <v>2007</v>
      </c>
      <c r="F1232">
        <v>392.42</v>
      </c>
      <c r="G1232">
        <v>335.59</v>
      </c>
      <c r="H1232">
        <v>392.42</v>
      </c>
      <c r="I1232">
        <v>3181</v>
      </c>
      <c r="J1232">
        <v>89</v>
      </c>
      <c r="K1232" s="17">
        <f t="shared" si="153"/>
        <v>9436.9666666666672</v>
      </c>
      <c r="L1232" t="str">
        <f t="shared" si="154"/>
        <v>High Risk</v>
      </c>
      <c r="P1232" s="19">
        <f t="shared" si="155"/>
        <v>7430</v>
      </c>
      <c r="R1232" s="19">
        <f t="shared" si="152"/>
        <v>2915680.6</v>
      </c>
      <c r="T1232" s="19">
        <f t="shared" si="156"/>
        <v>1067511.7899999998</v>
      </c>
      <c r="U1232" s="19">
        <f t="shared" si="157"/>
        <v>1248288.02</v>
      </c>
      <c r="V1232" s="21">
        <f t="shared" si="158"/>
        <v>180776.23000000021</v>
      </c>
      <c r="W1232" s="18">
        <f t="shared" si="159"/>
        <v>0.16934354420572745</v>
      </c>
    </row>
    <row r="1233" spans="1:23" x14ac:dyDescent="0.3">
      <c r="A1233" t="s">
        <v>67</v>
      </c>
      <c r="B1233" t="s">
        <v>1737</v>
      </c>
      <c r="C1233" t="s">
        <v>16</v>
      </c>
      <c r="D1233" t="s">
        <v>69</v>
      </c>
      <c r="E1233">
        <v>2007</v>
      </c>
      <c r="F1233">
        <v>369.33</v>
      </c>
      <c r="G1233">
        <v>383.86</v>
      </c>
      <c r="H1233">
        <v>369.33</v>
      </c>
      <c r="I1233">
        <v>789</v>
      </c>
      <c r="J1233">
        <v>10</v>
      </c>
      <c r="K1233" s="17">
        <f t="shared" si="153"/>
        <v>263</v>
      </c>
      <c r="L1233" t="str">
        <f t="shared" si="154"/>
        <v>Sufficuent Stock</v>
      </c>
      <c r="P1233" s="19">
        <f t="shared" si="155"/>
        <v>0</v>
      </c>
      <c r="R1233" s="19">
        <f t="shared" si="152"/>
        <v>0</v>
      </c>
      <c r="T1233" s="19">
        <f t="shared" si="156"/>
        <v>302865.54000000004</v>
      </c>
      <c r="U1233" s="19">
        <f t="shared" si="157"/>
        <v>291401.37</v>
      </c>
      <c r="V1233" s="21">
        <f t="shared" si="158"/>
        <v>-11464.170000000042</v>
      </c>
      <c r="W1233" s="18">
        <f t="shared" si="159"/>
        <v>-3.7852341999687518E-2</v>
      </c>
    </row>
    <row r="1234" spans="1:23" x14ac:dyDescent="0.3">
      <c r="A1234" t="s">
        <v>831</v>
      </c>
      <c r="B1234" t="s">
        <v>3038</v>
      </c>
      <c r="C1234" t="s">
        <v>50</v>
      </c>
      <c r="D1234" t="s">
        <v>17</v>
      </c>
      <c r="E1234">
        <v>2007</v>
      </c>
      <c r="F1234">
        <v>434.1</v>
      </c>
      <c r="G1234">
        <v>440.93</v>
      </c>
      <c r="H1234">
        <v>434.1</v>
      </c>
      <c r="I1234">
        <v>1618</v>
      </c>
      <c r="J1234">
        <v>16</v>
      </c>
      <c r="K1234" s="17">
        <f t="shared" si="153"/>
        <v>862.93333333333328</v>
      </c>
      <c r="L1234" t="str">
        <f t="shared" si="154"/>
        <v>Sufficuent Stock</v>
      </c>
      <c r="P1234" s="19">
        <f t="shared" si="155"/>
        <v>0</v>
      </c>
      <c r="R1234" s="19">
        <f t="shared" si="152"/>
        <v>0</v>
      </c>
      <c r="T1234" s="19">
        <f t="shared" si="156"/>
        <v>713424.74</v>
      </c>
      <c r="U1234" s="19">
        <f t="shared" si="157"/>
        <v>702373.8</v>
      </c>
      <c r="V1234" s="21">
        <f t="shared" si="158"/>
        <v>-11050.939999999944</v>
      </c>
      <c r="W1234" s="18">
        <f t="shared" si="159"/>
        <v>-1.5489987072777914E-2</v>
      </c>
    </row>
    <row r="1235" spans="1:23" x14ac:dyDescent="0.3">
      <c r="A1235" t="s">
        <v>275</v>
      </c>
      <c r="B1235" t="s">
        <v>3317</v>
      </c>
      <c r="C1235" t="s">
        <v>12</v>
      </c>
      <c r="D1235" t="s">
        <v>69</v>
      </c>
      <c r="E1235">
        <v>2007</v>
      </c>
      <c r="F1235">
        <v>177.9</v>
      </c>
      <c r="G1235">
        <v>153.52000000000001</v>
      </c>
      <c r="H1235">
        <v>177.9</v>
      </c>
      <c r="I1235">
        <v>546</v>
      </c>
      <c r="J1235">
        <v>61</v>
      </c>
      <c r="K1235" s="17">
        <f t="shared" si="153"/>
        <v>1110.2</v>
      </c>
      <c r="L1235" t="str">
        <f t="shared" si="154"/>
        <v>Sufficuent Stock</v>
      </c>
      <c r="P1235" s="19">
        <f t="shared" si="155"/>
        <v>0</v>
      </c>
      <c r="R1235" s="19">
        <f t="shared" si="152"/>
        <v>0</v>
      </c>
      <c r="T1235" s="19">
        <f t="shared" si="156"/>
        <v>83821.920000000013</v>
      </c>
      <c r="U1235" s="19">
        <f t="shared" si="157"/>
        <v>97133.400000000009</v>
      </c>
      <c r="V1235" s="21">
        <f t="shared" si="158"/>
        <v>13311.479999999996</v>
      </c>
      <c r="W1235" s="18">
        <f t="shared" si="159"/>
        <v>0.15880667014069821</v>
      </c>
    </row>
    <row r="1236" spans="1:23" x14ac:dyDescent="0.3">
      <c r="A1236" t="s">
        <v>477</v>
      </c>
      <c r="B1236" t="s">
        <v>1058</v>
      </c>
      <c r="C1236" t="s">
        <v>37</v>
      </c>
      <c r="D1236" t="s">
        <v>69</v>
      </c>
      <c r="E1236">
        <v>2011</v>
      </c>
      <c r="F1236">
        <v>347.62</v>
      </c>
      <c r="G1236">
        <v>333.48</v>
      </c>
      <c r="H1236">
        <v>347.62</v>
      </c>
      <c r="I1236">
        <v>1698</v>
      </c>
      <c r="J1236">
        <v>83</v>
      </c>
      <c r="K1236" s="17">
        <f t="shared" si="153"/>
        <v>4697.8</v>
      </c>
      <c r="L1236" t="str">
        <f t="shared" si="154"/>
        <v>High Risk</v>
      </c>
      <c r="P1236" s="19">
        <f t="shared" si="155"/>
        <v>2687</v>
      </c>
      <c r="R1236" s="19">
        <f t="shared" si="152"/>
        <v>934054.94000000006</v>
      </c>
      <c r="T1236" s="19">
        <f t="shared" si="156"/>
        <v>566249.04</v>
      </c>
      <c r="U1236" s="19">
        <f t="shared" si="157"/>
        <v>590258.76</v>
      </c>
      <c r="V1236" s="21">
        <f t="shared" si="158"/>
        <v>24009.719999999972</v>
      </c>
      <c r="W1236" s="18">
        <f t="shared" si="159"/>
        <v>4.2401343408900033E-2</v>
      </c>
    </row>
    <row r="1237" spans="1:23" x14ac:dyDescent="0.3">
      <c r="A1237" t="s">
        <v>233</v>
      </c>
      <c r="B1237" t="s">
        <v>234</v>
      </c>
      <c r="C1237" t="s">
        <v>12</v>
      </c>
      <c r="D1237" t="s">
        <v>26</v>
      </c>
      <c r="E1237">
        <v>2011</v>
      </c>
      <c r="F1237">
        <v>575.19000000000005</v>
      </c>
      <c r="G1237">
        <v>495.42</v>
      </c>
      <c r="H1237">
        <v>575.19000000000005</v>
      </c>
      <c r="I1237">
        <v>2468</v>
      </c>
      <c r="J1237">
        <v>17</v>
      </c>
      <c r="K1237" s="17">
        <f t="shared" si="153"/>
        <v>1398.5333333333333</v>
      </c>
      <c r="L1237" t="str">
        <f t="shared" si="154"/>
        <v>Sufficuent Stock</v>
      </c>
      <c r="P1237" s="19">
        <f t="shared" si="155"/>
        <v>0</v>
      </c>
      <c r="R1237" s="19">
        <f t="shared" si="152"/>
        <v>0</v>
      </c>
      <c r="T1237" s="19">
        <f t="shared" si="156"/>
        <v>1222696.56</v>
      </c>
      <c r="U1237" s="19">
        <f t="shared" si="157"/>
        <v>1419568.9200000002</v>
      </c>
      <c r="V1237" s="21">
        <f t="shared" si="158"/>
        <v>196872.3600000001</v>
      </c>
      <c r="W1237" s="18">
        <f t="shared" si="159"/>
        <v>0.16101489645149578</v>
      </c>
    </row>
    <row r="1238" spans="1:23" x14ac:dyDescent="0.3">
      <c r="A1238" t="s">
        <v>416</v>
      </c>
      <c r="B1238" t="s">
        <v>3109</v>
      </c>
      <c r="C1238" t="s">
        <v>50</v>
      </c>
      <c r="D1238" t="s">
        <v>13</v>
      </c>
      <c r="E1238">
        <v>2012</v>
      </c>
      <c r="F1238">
        <v>298.18</v>
      </c>
      <c r="G1238">
        <v>292.68</v>
      </c>
      <c r="H1238">
        <v>298.18</v>
      </c>
      <c r="I1238">
        <v>2082</v>
      </c>
      <c r="J1238">
        <v>48</v>
      </c>
      <c r="K1238" s="17">
        <f t="shared" si="153"/>
        <v>3331.2000000000003</v>
      </c>
      <c r="L1238" t="str">
        <f t="shared" si="154"/>
        <v>High Risk</v>
      </c>
      <c r="P1238" s="19">
        <f t="shared" si="155"/>
        <v>1320</v>
      </c>
      <c r="R1238" s="19">
        <f t="shared" si="152"/>
        <v>393597.60000000003</v>
      </c>
      <c r="T1238" s="19">
        <f t="shared" si="156"/>
        <v>609359.76</v>
      </c>
      <c r="U1238" s="19">
        <f t="shared" si="157"/>
        <v>620810.76</v>
      </c>
      <c r="V1238" s="21">
        <f t="shared" si="158"/>
        <v>11451</v>
      </c>
      <c r="W1238" s="18">
        <f t="shared" si="159"/>
        <v>1.8791854585212518E-2</v>
      </c>
    </row>
    <row r="1239" spans="1:23" x14ac:dyDescent="0.3">
      <c r="A1239" t="s">
        <v>803</v>
      </c>
      <c r="B1239" t="s">
        <v>2544</v>
      </c>
      <c r="C1239" t="s">
        <v>37</v>
      </c>
      <c r="D1239" t="s">
        <v>26</v>
      </c>
      <c r="E1239">
        <v>2014</v>
      </c>
      <c r="F1239">
        <v>418.14</v>
      </c>
      <c r="G1239">
        <v>437.39</v>
      </c>
      <c r="H1239">
        <v>418.14</v>
      </c>
      <c r="I1239">
        <v>2403</v>
      </c>
      <c r="J1239">
        <v>24</v>
      </c>
      <c r="K1239" s="17">
        <f t="shared" si="153"/>
        <v>1922.3999999999999</v>
      </c>
      <c r="L1239" t="str">
        <f t="shared" si="154"/>
        <v>Sufficuent Stock</v>
      </c>
      <c r="P1239" s="19">
        <f t="shared" si="155"/>
        <v>0</v>
      </c>
      <c r="R1239" s="19">
        <f t="shared" si="152"/>
        <v>0</v>
      </c>
      <c r="T1239" s="19">
        <f t="shared" si="156"/>
        <v>1051048.17</v>
      </c>
      <c r="U1239" s="19">
        <f t="shared" si="157"/>
        <v>1004790.4199999999</v>
      </c>
      <c r="V1239" s="21">
        <f t="shared" si="158"/>
        <v>-46257.75</v>
      </c>
      <c r="W1239" s="18">
        <f t="shared" si="159"/>
        <v>-4.4011065639360754E-2</v>
      </c>
    </row>
    <row r="1240" spans="1:23" x14ac:dyDescent="0.3">
      <c r="A1240" t="s">
        <v>344</v>
      </c>
      <c r="B1240" t="s">
        <v>2607</v>
      </c>
      <c r="C1240" t="s">
        <v>23</v>
      </c>
      <c r="D1240" t="s">
        <v>17</v>
      </c>
      <c r="E1240">
        <v>2015</v>
      </c>
      <c r="F1240">
        <v>154.68</v>
      </c>
      <c r="G1240">
        <v>167.29</v>
      </c>
      <c r="H1240">
        <v>154.68</v>
      </c>
      <c r="I1240">
        <v>2966</v>
      </c>
      <c r="J1240">
        <v>41</v>
      </c>
      <c r="K1240" s="17">
        <f t="shared" si="153"/>
        <v>4053.5333333333328</v>
      </c>
      <c r="L1240" t="str">
        <f t="shared" si="154"/>
        <v>High Risk</v>
      </c>
      <c r="P1240" s="19">
        <f t="shared" si="155"/>
        <v>2039</v>
      </c>
      <c r="R1240" s="19">
        <f t="shared" si="152"/>
        <v>315392.52</v>
      </c>
      <c r="T1240" s="19">
        <f t="shared" si="156"/>
        <v>496182.13999999996</v>
      </c>
      <c r="U1240" s="19">
        <f t="shared" si="157"/>
        <v>458780.88</v>
      </c>
      <c r="V1240" s="21">
        <f t="shared" si="158"/>
        <v>-37401.259999999951</v>
      </c>
      <c r="W1240" s="18">
        <f t="shared" si="159"/>
        <v>-7.5378085958515056E-2</v>
      </c>
    </row>
    <row r="1241" spans="1:23" x14ac:dyDescent="0.3">
      <c r="A1241" t="s">
        <v>111</v>
      </c>
      <c r="B1241" t="s">
        <v>2322</v>
      </c>
      <c r="C1241" t="s">
        <v>16</v>
      </c>
      <c r="D1241" t="s">
        <v>20</v>
      </c>
      <c r="E1241">
        <v>2020</v>
      </c>
      <c r="F1241">
        <v>247</v>
      </c>
      <c r="G1241">
        <v>242.55</v>
      </c>
      <c r="H1241">
        <v>247</v>
      </c>
      <c r="I1241">
        <v>2887</v>
      </c>
      <c r="J1241">
        <v>89</v>
      </c>
      <c r="K1241" s="17">
        <f t="shared" si="153"/>
        <v>8564.7666666666664</v>
      </c>
      <c r="L1241" t="str">
        <f t="shared" si="154"/>
        <v>High Risk</v>
      </c>
      <c r="P1241" s="19">
        <f t="shared" si="155"/>
        <v>6545</v>
      </c>
      <c r="R1241" s="19">
        <f t="shared" si="152"/>
        <v>1616615</v>
      </c>
      <c r="T1241" s="19">
        <f t="shared" si="156"/>
        <v>700241.85</v>
      </c>
      <c r="U1241" s="19">
        <f t="shared" si="157"/>
        <v>713089</v>
      </c>
      <c r="V1241" s="21">
        <f t="shared" si="158"/>
        <v>12847.150000000023</v>
      </c>
      <c r="W1241" s="18">
        <f t="shared" si="159"/>
        <v>1.8346732632446953E-2</v>
      </c>
    </row>
    <row r="1242" spans="1:23" x14ac:dyDescent="0.3">
      <c r="A1242" t="s">
        <v>909</v>
      </c>
      <c r="B1242" t="s">
        <v>1459</v>
      </c>
      <c r="C1242" t="s">
        <v>12</v>
      </c>
      <c r="D1242" t="s">
        <v>17</v>
      </c>
      <c r="E1242">
        <v>2020</v>
      </c>
      <c r="F1242">
        <v>318.76</v>
      </c>
      <c r="G1242">
        <v>311.58999999999997</v>
      </c>
      <c r="H1242">
        <v>318.76</v>
      </c>
      <c r="I1242">
        <v>1635</v>
      </c>
      <c r="J1242">
        <v>72</v>
      </c>
      <c r="K1242" s="17">
        <f t="shared" si="153"/>
        <v>3924</v>
      </c>
      <c r="L1242" t="str">
        <f t="shared" si="154"/>
        <v>High Risk</v>
      </c>
      <c r="P1242" s="19">
        <f t="shared" si="155"/>
        <v>1904</v>
      </c>
      <c r="R1242" s="19">
        <f t="shared" si="152"/>
        <v>606919.04</v>
      </c>
      <c r="T1242" s="19">
        <f t="shared" si="156"/>
        <v>509449.64999999997</v>
      </c>
      <c r="U1242" s="19">
        <f t="shared" si="157"/>
        <v>521172.6</v>
      </c>
      <c r="V1242" s="21">
        <f t="shared" si="158"/>
        <v>11722.950000000012</v>
      </c>
      <c r="W1242" s="18">
        <f t="shared" si="159"/>
        <v>2.3011008055457517E-2</v>
      </c>
    </row>
    <row r="1243" spans="1:23" x14ac:dyDescent="0.3">
      <c r="A1243" t="s">
        <v>216</v>
      </c>
      <c r="B1243" t="s">
        <v>1199</v>
      </c>
      <c r="C1243" t="s">
        <v>23</v>
      </c>
      <c r="D1243" t="s">
        <v>69</v>
      </c>
      <c r="E1243">
        <v>2020</v>
      </c>
      <c r="F1243">
        <v>25.11</v>
      </c>
      <c r="G1243">
        <v>21.84</v>
      </c>
      <c r="H1243">
        <v>25.11</v>
      </c>
      <c r="I1243">
        <v>1088</v>
      </c>
      <c r="J1243">
        <v>17</v>
      </c>
      <c r="K1243" s="17">
        <f t="shared" si="153"/>
        <v>616.5333333333333</v>
      </c>
      <c r="L1243" t="str">
        <f t="shared" si="154"/>
        <v>Sufficuent Stock</v>
      </c>
      <c r="P1243" s="19">
        <f t="shared" si="155"/>
        <v>0</v>
      </c>
      <c r="R1243" s="19">
        <f t="shared" si="152"/>
        <v>0</v>
      </c>
      <c r="T1243" s="19">
        <f t="shared" si="156"/>
        <v>23761.919999999998</v>
      </c>
      <c r="U1243" s="19">
        <f t="shared" si="157"/>
        <v>27319.68</v>
      </c>
      <c r="V1243" s="21">
        <f t="shared" si="158"/>
        <v>3557.760000000002</v>
      </c>
      <c r="W1243" s="18">
        <f t="shared" si="159"/>
        <v>0.14972527472527483</v>
      </c>
    </row>
    <row r="1244" spans="1:23" x14ac:dyDescent="0.3">
      <c r="A1244" t="s">
        <v>411</v>
      </c>
      <c r="B1244" t="s">
        <v>2909</v>
      </c>
      <c r="C1244" t="s">
        <v>50</v>
      </c>
      <c r="D1244" t="s">
        <v>26</v>
      </c>
      <c r="E1244">
        <v>2021</v>
      </c>
      <c r="F1244">
        <v>138.66</v>
      </c>
      <c r="G1244">
        <v>116.8</v>
      </c>
      <c r="H1244">
        <v>138.66</v>
      </c>
      <c r="I1244">
        <v>3652</v>
      </c>
      <c r="J1244">
        <v>7</v>
      </c>
      <c r="K1244" s="17">
        <f t="shared" si="153"/>
        <v>852.13333333333333</v>
      </c>
      <c r="L1244" t="str">
        <f t="shared" si="154"/>
        <v>Sufficuent Stock</v>
      </c>
      <c r="P1244" s="19">
        <f t="shared" si="155"/>
        <v>0</v>
      </c>
      <c r="R1244" s="19">
        <f t="shared" si="152"/>
        <v>0</v>
      </c>
      <c r="T1244" s="19">
        <f t="shared" si="156"/>
        <v>426553.59999999998</v>
      </c>
      <c r="U1244" s="19">
        <f t="shared" si="157"/>
        <v>506386.32</v>
      </c>
      <c r="V1244" s="21">
        <f t="shared" si="158"/>
        <v>79832.72000000003</v>
      </c>
      <c r="W1244" s="18">
        <f t="shared" si="159"/>
        <v>0.18715753424657541</v>
      </c>
    </row>
    <row r="1245" spans="1:23" x14ac:dyDescent="0.3">
      <c r="A1245" t="s">
        <v>35</v>
      </c>
      <c r="B1245" t="s">
        <v>1868</v>
      </c>
      <c r="C1245" t="s">
        <v>50</v>
      </c>
      <c r="D1245" t="s">
        <v>20</v>
      </c>
      <c r="E1245">
        <v>2021</v>
      </c>
      <c r="F1245">
        <v>399.47</v>
      </c>
      <c r="G1245">
        <v>415.96</v>
      </c>
      <c r="H1245">
        <v>399.47</v>
      </c>
      <c r="I1245">
        <v>3159</v>
      </c>
      <c r="J1245">
        <v>29</v>
      </c>
      <c r="K1245" s="17">
        <f t="shared" si="153"/>
        <v>3053.7</v>
      </c>
      <c r="L1245" t="str">
        <f t="shared" si="154"/>
        <v>High Risk</v>
      </c>
      <c r="P1245" s="19">
        <f t="shared" si="155"/>
        <v>1033</v>
      </c>
      <c r="R1245" s="19">
        <f t="shared" si="152"/>
        <v>412652.51</v>
      </c>
      <c r="T1245" s="19">
        <f t="shared" si="156"/>
        <v>1314017.6399999999</v>
      </c>
      <c r="U1245" s="19">
        <f t="shared" si="157"/>
        <v>1261925.73</v>
      </c>
      <c r="V1245" s="21">
        <f t="shared" si="158"/>
        <v>-52091.909999999916</v>
      </c>
      <c r="W1245" s="18">
        <f t="shared" si="159"/>
        <v>-3.9643234926435171E-2</v>
      </c>
    </row>
    <row r="1246" spans="1:23" x14ac:dyDescent="0.3">
      <c r="A1246" t="s">
        <v>121</v>
      </c>
      <c r="B1246" t="s">
        <v>2634</v>
      </c>
      <c r="C1246" t="s">
        <v>23</v>
      </c>
      <c r="D1246" t="s">
        <v>26</v>
      </c>
      <c r="E1246">
        <v>2021</v>
      </c>
      <c r="F1246">
        <v>121.81</v>
      </c>
      <c r="G1246">
        <v>113.98</v>
      </c>
      <c r="H1246">
        <v>121.81</v>
      </c>
      <c r="I1246">
        <v>1243</v>
      </c>
      <c r="J1246">
        <v>30</v>
      </c>
      <c r="K1246" s="17">
        <f t="shared" si="153"/>
        <v>1243</v>
      </c>
      <c r="L1246" t="str">
        <f t="shared" si="154"/>
        <v>Sufficuent Stock</v>
      </c>
      <c r="P1246" s="19">
        <f t="shared" si="155"/>
        <v>0</v>
      </c>
      <c r="R1246" s="19">
        <f t="shared" si="152"/>
        <v>0</v>
      </c>
      <c r="T1246" s="19">
        <f t="shared" si="156"/>
        <v>141677.14000000001</v>
      </c>
      <c r="U1246" s="19">
        <f t="shared" si="157"/>
        <v>151409.83000000002</v>
      </c>
      <c r="V1246" s="21">
        <f t="shared" si="158"/>
        <v>9732.6900000000023</v>
      </c>
      <c r="W1246" s="18">
        <f t="shared" si="159"/>
        <v>6.8696262502193378E-2</v>
      </c>
    </row>
    <row r="1247" spans="1:23" x14ac:dyDescent="0.3">
      <c r="A1247" t="s">
        <v>246</v>
      </c>
      <c r="B1247" t="s">
        <v>247</v>
      </c>
      <c r="C1247" t="s">
        <v>12</v>
      </c>
      <c r="D1247" t="s">
        <v>69</v>
      </c>
      <c r="E1247">
        <v>2025</v>
      </c>
      <c r="F1247">
        <v>91.57</v>
      </c>
      <c r="G1247">
        <v>86.78</v>
      </c>
      <c r="H1247">
        <v>91.57</v>
      </c>
      <c r="I1247">
        <v>2959</v>
      </c>
      <c r="J1247">
        <v>30</v>
      </c>
      <c r="K1247" s="17">
        <f t="shared" si="153"/>
        <v>2959</v>
      </c>
      <c r="L1247" t="str">
        <f t="shared" si="154"/>
        <v>High Risk</v>
      </c>
      <c r="P1247" s="19">
        <f t="shared" si="155"/>
        <v>934</v>
      </c>
      <c r="R1247" s="19">
        <f t="shared" si="152"/>
        <v>85526.37999999999</v>
      </c>
      <c r="T1247" s="19">
        <f t="shared" si="156"/>
        <v>256782.02</v>
      </c>
      <c r="U1247" s="19">
        <f t="shared" si="157"/>
        <v>270955.63</v>
      </c>
      <c r="V1247" s="21">
        <f t="shared" si="158"/>
        <v>14173.610000000015</v>
      </c>
      <c r="W1247" s="18">
        <f t="shared" si="159"/>
        <v>5.5197050011523453E-2</v>
      </c>
    </row>
    <row r="1248" spans="1:23" x14ac:dyDescent="0.3">
      <c r="A1248" t="s">
        <v>363</v>
      </c>
      <c r="B1248" t="s">
        <v>3309</v>
      </c>
      <c r="C1248" t="s">
        <v>16</v>
      </c>
      <c r="D1248" t="s">
        <v>13</v>
      </c>
      <c r="E1248">
        <v>2028</v>
      </c>
      <c r="F1248">
        <v>269.2</v>
      </c>
      <c r="G1248">
        <v>235.95</v>
      </c>
      <c r="H1248">
        <v>269.2</v>
      </c>
      <c r="I1248">
        <v>2551</v>
      </c>
      <c r="J1248">
        <v>90</v>
      </c>
      <c r="K1248" s="17">
        <f t="shared" si="153"/>
        <v>7653</v>
      </c>
      <c r="L1248" t="str">
        <f t="shared" si="154"/>
        <v>High Risk</v>
      </c>
      <c r="P1248" s="19">
        <f t="shared" si="155"/>
        <v>5625</v>
      </c>
      <c r="R1248" s="19">
        <f t="shared" si="152"/>
        <v>1514250</v>
      </c>
      <c r="T1248" s="19">
        <f t="shared" si="156"/>
        <v>601908.44999999995</v>
      </c>
      <c r="U1248" s="19">
        <f t="shared" si="157"/>
        <v>686729.2</v>
      </c>
      <c r="V1248" s="21">
        <f t="shared" si="158"/>
        <v>84820.75</v>
      </c>
      <c r="W1248" s="18">
        <f t="shared" si="159"/>
        <v>0.14091968637423183</v>
      </c>
    </row>
    <row r="1249" spans="1:23" x14ac:dyDescent="0.3">
      <c r="A1249" t="s">
        <v>136</v>
      </c>
      <c r="B1249" t="s">
        <v>137</v>
      </c>
      <c r="C1249" t="s">
        <v>12</v>
      </c>
      <c r="D1249" t="s">
        <v>13</v>
      </c>
      <c r="E1249">
        <v>2030</v>
      </c>
      <c r="F1249">
        <v>454.4</v>
      </c>
      <c r="G1249">
        <v>453.92</v>
      </c>
      <c r="H1249">
        <v>454.4</v>
      </c>
      <c r="I1249">
        <v>3365</v>
      </c>
      <c r="J1249">
        <v>62</v>
      </c>
      <c r="K1249" s="17">
        <f t="shared" si="153"/>
        <v>6954.3333333333339</v>
      </c>
      <c r="L1249" t="str">
        <f t="shared" si="154"/>
        <v>High Risk</v>
      </c>
      <c r="P1249" s="19">
        <f t="shared" si="155"/>
        <v>4925</v>
      </c>
      <c r="R1249" s="19">
        <f t="shared" si="152"/>
        <v>2237920</v>
      </c>
      <c r="T1249" s="19">
        <f t="shared" si="156"/>
        <v>1527440.8</v>
      </c>
      <c r="U1249" s="19">
        <f t="shared" si="157"/>
        <v>1529056</v>
      </c>
      <c r="V1249" s="21">
        <f t="shared" si="158"/>
        <v>1615.1999999999534</v>
      </c>
      <c r="W1249" s="18">
        <f t="shared" si="159"/>
        <v>1.0574550581599978E-3</v>
      </c>
    </row>
    <row r="1250" spans="1:23" x14ac:dyDescent="0.3">
      <c r="A1250" t="s">
        <v>123</v>
      </c>
      <c r="B1250" t="s">
        <v>3372</v>
      </c>
      <c r="C1250" t="s">
        <v>23</v>
      </c>
      <c r="D1250" t="s">
        <v>26</v>
      </c>
      <c r="E1250">
        <v>2030</v>
      </c>
      <c r="F1250">
        <v>491.55</v>
      </c>
      <c r="G1250">
        <v>482.43</v>
      </c>
      <c r="H1250">
        <v>491.55</v>
      </c>
      <c r="I1250">
        <v>911</v>
      </c>
      <c r="J1250">
        <v>9</v>
      </c>
      <c r="K1250" s="17">
        <f t="shared" si="153"/>
        <v>273.3</v>
      </c>
      <c r="L1250" t="str">
        <f t="shared" si="154"/>
        <v>Sufficuent Stock</v>
      </c>
      <c r="P1250" s="19">
        <f t="shared" si="155"/>
        <v>0</v>
      </c>
      <c r="R1250" s="19">
        <f t="shared" si="152"/>
        <v>0</v>
      </c>
      <c r="T1250" s="19">
        <f t="shared" si="156"/>
        <v>439493.73</v>
      </c>
      <c r="U1250" s="19">
        <f t="shared" si="157"/>
        <v>447802.05</v>
      </c>
      <c r="V1250" s="21">
        <f t="shared" si="158"/>
        <v>8308.320000000007</v>
      </c>
      <c r="W1250" s="18">
        <f t="shared" si="159"/>
        <v>1.8904296996455461E-2</v>
      </c>
    </row>
    <row r="1251" spans="1:23" x14ac:dyDescent="0.3">
      <c r="A1251" t="s">
        <v>123</v>
      </c>
      <c r="B1251" t="s">
        <v>3170</v>
      </c>
      <c r="C1251" t="s">
        <v>16</v>
      </c>
      <c r="D1251" t="s">
        <v>13</v>
      </c>
      <c r="E1251">
        <v>2032</v>
      </c>
      <c r="F1251">
        <v>104.46</v>
      </c>
      <c r="G1251">
        <v>96</v>
      </c>
      <c r="H1251">
        <v>104.46</v>
      </c>
      <c r="I1251">
        <v>3994</v>
      </c>
      <c r="J1251">
        <v>12</v>
      </c>
      <c r="K1251" s="17">
        <f t="shared" si="153"/>
        <v>1597.6</v>
      </c>
      <c r="L1251" t="str">
        <f t="shared" si="154"/>
        <v>Sufficuent Stock</v>
      </c>
      <c r="P1251" s="19">
        <f t="shared" si="155"/>
        <v>0</v>
      </c>
      <c r="R1251" s="19">
        <f t="shared" si="152"/>
        <v>0</v>
      </c>
      <c r="T1251" s="19">
        <f t="shared" si="156"/>
        <v>383424</v>
      </c>
      <c r="U1251" s="19">
        <f t="shared" si="157"/>
        <v>417213.24</v>
      </c>
      <c r="V1251" s="21">
        <f t="shared" si="158"/>
        <v>33789.239999999991</v>
      </c>
      <c r="W1251" s="18">
        <f t="shared" si="159"/>
        <v>8.8124999999999981E-2</v>
      </c>
    </row>
    <row r="1252" spans="1:23" x14ac:dyDescent="0.3">
      <c r="A1252" t="s">
        <v>368</v>
      </c>
      <c r="B1252" t="s">
        <v>2600</v>
      </c>
      <c r="C1252" t="s">
        <v>12</v>
      </c>
      <c r="D1252" t="s">
        <v>13</v>
      </c>
      <c r="E1252">
        <v>2033</v>
      </c>
      <c r="F1252">
        <v>219.72</v>
      </c>
      <c r="G1252">
        <v>222.02</v>
      </c>
      <c r="H1252">
        <v>219.72</v>
      </c>
      <c r="I1252">
        <v>939</v>
      </c>
      <c r="J1252">
        <v>8</v>
      </c>
      <c r="K1252" s="17">
        <f t="shared" si="153"/>
        <v>250.4</v>
      </c>
      <c r="L1252" t="str">
        <f t="shared" si="154"/>
        <v>Sufficuent Stock</v>
      </c>
      <c r="P1252" s="19">
        <f t="shared" si="155"/>
        <v>0</v>
      </c>
      <c r="R1252" s="19">
        <f t="shared" si="152"/>
        <v>0</v>
      </c>
      <c r="T1252" s="19">
        <f t="shared" si="156"/>
        <v>208476.78</v>
      </c>
      <c r="U1252" s="19">
        <f t="shared" si="157"/>
        <v>206317.08</v>
      </c>
      <c r="V1252" s="21">
        <f t="shared" si="158"/>
        <v>-2159.7000000000116</v>
      </c>
      <c r="W1252" s="18">
        <f t="shared" si="159"/>
        <v>-1.035942707864162E-2</v>
      </c>
    </row>
    <row r="1253" spans="1:23" x14ac:dyDescent="0.3">
      <c r="A1253" t="s">
        <v>960</v>
      </c>
      <c r="B1253" t="s">
        <v>2434</v>
      </c>
      <c r="C1253" t="s">
        <v>37</v>
      </c>
      <c r="D1253" t="s">
        <v>13</v>
      </c>
      <c r="E1253">
        <v>2035</v>
      </c>
      <c r="F1253">
        <v>58.36</v>
      </c>
      <c r="G1253">
        <v>62.7</v>
      </c>
      <c r="H1253">
        <v>58.36</v>
      </c>
      <c r="I1253">
        <v>2914</v>
      </c>
      <c r="J1253">
        <v>44</v>
      </c>
      <c r="K1253" s="17">
        <f t="shared" si="153"/>
        <v>4273.8666666666668</v>
      </c>
      <c r="L1253" t="str">
        <f t="shared" si="154"/>
        <v>High Risk</v>
      </c>
      <c r="P1253" s="19">
        <f t="shared" si="155"/>
        <v>2239</v>
      </c>
      <c r="R1253" s="19">
        <f t="shared" si="152"/>
        <v>130668.04</v>
      </c>
      <c r="T1253" s="19">
        <f t="shared" si="156"/>
        <v>182707.80000000002</v>
      </c>
      <c r="U1253" s="19">
        <f t="shared" si="157"/>
        <v>170061.04</v>
      </c>
      <c r="V1253" s="21">
        <f t="shared" si="158"/>
        <v>-12646.760000000009</v>
      </c>
      <c r="W1253" s="18">
        <f t="shared" si="159"/>
        <v>-6.9218500797448207E-2</v>
      </c>
    </row>
    <row r="1254" spans="1:23" x14ac:dyDescent="0.3">
      <c r="A1254" t="s">
        <v>1033</v>
      </c>
      <c r="B1254" t="s">
        <v>2736</v>
      </c>
      <c r="C1254" t="s">
        <v>50</v>
      </c>
      <c r="D1254" t="s">
        <v>69</v>
      </c>
      <c r="E1254">
        <v>2036</v>
      </c>
      <c r="F1254">
        <v>161.1</v>
      </c>
      <c r="G1254">
        <v>170.47</v>
      </c>
      <c r="H1254">
        <v>161.1</v>
      </c>
      <c r="I1254">
        <v>3298</v>
      </c>
      <c r="J1254">
        <v>34</v>
      </c>
      <c r="K1254" s="17">
        <f t="shared" si="153"/>
        <v>3737.7333333333336</v>
      </c>
      <c r="L1254" t="str">
        <f t="shared" si="154"/>
        <v>High Risk</v>
      </c>
      <c r="P1254" s="19">
        <f t="shared" si="155"/>
        <v>1702</v>
      </c>
      <c r="R1254" s="19">
        <f t="shared" si="152"/>
        <v>274192.2</v>
      </c>
      <c r="T1254" s="19">
        <f t="shared" si="156"/>
        <v>562210.05999999994</v>
      </c>
      <c r="U1254" s="19">
        <f t="shared" si="157"/>
        <v>531307.79999999993</v>
      </c>
      <c r="V1254" s="21">
        <f t="shared" si="158"/>
        <v>-30902.260000000009</v>
      </c>
      <c r="W1254" s="18">
        <f t="shared" si="159"/>
        <v>-5.496568311139792E-2</v>
      </c>
    </row>
    <row r="1255" spans="1:23" x14ac:dyDescent="0.3">
      <c r="A1255" t="s">
        <v>1477</v>
      </c>
      <c r="B1255" t="s">
        <v>2043</v>
      </c>
      <c r="C1255" t="s">
        <v>50</v>
      </c>
      <c r="D1255" t="s">
        <v>69</v>
      </c>
      <c r="E1255">
        <v>2039</v>
      </c>
      <c r="F1255">
        <v>311.72000000000003</v>
      </c>
      <c r="G1255">
        <v>294.11</v>
      </c>
      <c r="H1255">
        <v>311.72000000000003</v>
      </c>
      <c r="I1255">
        <v>2003</v>
      </c>
      <c r="J1255">
        <v>16</v>
      </c>
      <c r="K1255" s="17">
        <f t="shared" si="153"/>
        <v>1068.2666666666667</v>
      </c>
      <c r="L1255" t="str">
        <f t="shared" si="154"/>
        <v>Sufficuent Stock</v>
      </c>
      <c r="P1255" s="19">
        <f t="shared" si="155"/>
        <v>0</v>
      </c>
      <c r="R1255" s="19">
        <f t="shared" si="152"/>
        <v>0</v>
      </c>
      <c r="T1255" s="19">
        <f t="shared" si="156"/>
        <v>589102.33000000007</v>
      </c>
      <c r="U1255" s="19">
        <f t="shared" si="157"/>
        <v>624375.16</v>
      </c>
      <c r="V1255" s="21">
        <f t="shared" si="158"/>
        <v>35272.829999999958</v>
      </c>
      <c r="W1255" s="18">
        <f t="shared" si="159"/>
        <v>5.9875556764475799E-2</v>
      </c>
    </row>
    <row r="1256" spans="1:23" x14ac:dyDescent="0.3">
      <c r="A1256" t="s">
        <v>398</v>
      </c>
      <c r="B1256" t="s">
        <v>634</v>
      </c>
      <c r="C1256" t="s">
        <v>50</v>
      </c>
      <c r="D1256" t="s">
        <v>20</v>
      </c>
      <c r="E1256">
        <v>2039</v>
      </c>
      <c r="F1256">
        <v>56.3</v>
      </c>
      <c r="G1256">
        <v>52.19</v>
      </c>
      <c r="H1256">
        <v>56.3</v>
      </c>
      <c r="I1256">
        <v>2839</v>
      </c>
      <c r="J1256">
        <v>68</v>
      </c>
      <c r="K1256" s="17">
        <f t="shared" si="153"/>
        <v>6435.0666666666675</v>
      </c>
      <c r="L1256" t="str">
        <f t="shared" si="154"/>
        <v>High Risk</v>
      </c>
      <c r="P1256" s="19">
        <f t="shared" si="155"/>
        <v>4397</v>
      </c>
      <c r="R1256" s="19">
        <f t="shared" si="152"/>
        <v>247551.09999999998</v>
      </c>
      <c r="T1256" s="19">
        <f t="shared" si="156"/>
        <v>148167.41</v>
      </c>
      <c r="U1256" s="19">
        <f t="shared" si="157"/>
        <v>159835.69999999998</v>
      </c>
      <c r="V1256" s="21">
        <f t="shared" si="158"/>
        <v>11668.289999999979</v>
      </c>
      <c r="W1256" s="18">
        <f t="shared" si="159"/>
        <v>7.8750718528453584E-2</v>
      </c>
    </row>
    <row r="1257" spans="1:23" x14ac:dyDescent="0.3">
      <c r="A1257" t="s">
        <v>470</v>
      </c>
      <c r="B1257" t="s">
        <v>1962</v>
      </c>
      <c r="C1257" t="s">
        <v>12</v>
      </c>
      <c r="D1257" t="s">
        <v>69</v>
      </c>
      <c r="E1257">
        <v>2040</v>
      </c>
      <c r="F1257">
        <v>101.56</v>
      </c>
      <c r="G1257">
        <v>95.65</v>
      </c>
      <c r="H1257">
        <v>101.56</v>
      </c>
      <c r="I1257">
        <v>3811</v>
      </c>
      <c r="J1257">
        <v>30</v>
      </c>
      <c r="K1257" s="17">
        <f t="shared" si="153"/>
        <v>3811</v>
      </c>
      <c r="L1257" t="str">
        <f t="shared" si="154"/>
        <v>High Risk</v>
      </c>
      <c r="P1257" s="19">
        <f t="shared" si="155"/>
        <v>1771</v>
      </c>
      <c r="R1257" s="19">
        <f t="shared" si="152"/>
        <v>179862.76</v>
      </c>
      <c r="T1257" s="19">
        <f t="shared" si="156"/>
        <v>364522.15</v>
      </c>
      <c r="U1257" s="19">
        <f t="shared" si="157"/>
        <v>387045.16000000003</v>
      </c>
      <c r="V1257" s="21">
        <f t="shared" si="158"/>
        <v>22523.010000000009</v>
      </c>
      <c r="W1257" s="18">
        <f t="shared" si="159"/>
        <v>6.1787767903816015E-2</v>
      </c>
    </row>
    <row r="1258" spans="1:23" x14ac:dyDescent="0.3">
      <c r="A1258" t="s">
        <v>500</v>
      </c>
      <c r="B1258" t="s">
        <v>2300</v>
      </c>
      <c r="C1258" t="s">
        <v>16</v>
      </c>
      <c r="D1258" t="s">
        <v>26</v>
      </c>
      <c r="E1258">
        <v>2040</v>
      </c>
      <c r="F1258">
        <v>29.05</v>
      </c>
      <c r="G1258">
        <v>28.88</v>
      </c>
      <c r="H1258">
        <v>29.05</v>
      </c>
      <c r="I1258">
        <v>435</v>
      </c>
      <c r="J1258">
        <v>16</v>
      </c>
      <c r="K1258" s="17">
        <f t="shared" si="153"/>
        <v>232</v>
      </c>
      <c r="L1258" t="str">
        <f t="shared" si="154"/>
        <v>Sufficuent Stock</v>
      </c>
      <c r="P1258" s="19">
        <f t="shared" si="155"/>
        <v>0</v>
      </c>
      <c r="R1258" s="19">
        <f t="shared" si="152"/>
        <v>0</v>
      </c>
      <c r="T1258" s="19">
        <f t="shared" si="156"/>
        <v>12562.8</v>
      </c>
      <c r="U1258" s="19">
        <f t="shared" si="157"/>
        <v>12636.75</v>
      </c>
      <c r="V1258" s="21">
        <f t="shared" si="158"/>
        <v>73.950000000000728</v>
      </c>
      <c r="W1258" s="18">
        <f t="shared" si="159"/>
        <v>5.8864265927978422E-3</v>
      </c>
    </row>
    <row r="1259" spans="1:23" x14ac:dyDescent="0.3">
      <c r="A1259" t="s">
        <v>398</v>
      </c>
      <c r="B1259" t="s">
        <v>514</v>
      </c>
      <c r="C1259" t="s">
        <v>12</v>
      </c>
      <c r="D1259" t="s">
        <v>20</v>
      </c>
      <c r="E1259">
        <v>2042</v>
      </c>
      <c r="F1259">
        <v>56.27</v>
      </c>
      <c r="G1259">
        <v>58.25</v>
      </c>
      <c r="H1259">
        <v>56.27</v>
      </c>
      <c r="I1259">
        <v>1392</v>
      </c>
      <c r="J1259">
        <v>54</v>
      </c>
      <c r="K1259" s="17">
        <f t="shared" si="153"/>
        <v>2505.6</v>
      </c>
      <c r="L1259" t="str">
        <f t="shared" si="154"/>
        <v>High Risk</v>
      </c>
      <c r="P1259" s="19">
        <f t="shared" si="155"/>
        <v>464</v>
      </c>
      <c r="R1259" s="19">
        <f t="shared" si="152"/>
        <v>26109.280000000002</v>
      </c>
      <c r="T1259" s="19">
        <f t="shared" si="156"/>
        <v>81084</v>
      </c>
      <c r="U1259" s="19">
        <f t="shared" si="157"/>
        <v>78327.840000000011</v>
      </c>
      <c r="V1259" s="21">
        <f t="shared" si="158"/>
        <v>-2756.1599999999889</v>
      </c>
      <c r="W1259" s="18">
        <f t="shared" si="159"/>
        <v>-3.3991416309012742E-2</v>
      </c>
    </row>
    <row r="1260" spans="1:23" x14ac:dyDescent="0.3">
      <c r="A1260" t="s">
        <v>855</v>
      </c>
      <c r="B1260" t="s">
        <v>935</v>
      </c>
      <c r="C1260" t="s">
        <v>16</v>
      </c>
      <c r="D1260" t="s">
        <v>69</v>
      </c>
      <c r="E1260">
        <v>2043</v>
      </c>
      <c r="F1260">
        <v>54.57</v>
      </c>
      <c r="G1260">
        <v>59.12</v>
      </c>
      <c r="H1260">
        <v>54.57</v>
      </c>
      <c r="I1260">
        <v>1914</v>
      </c>
      <c r="J1260">
        <v>81</v>
      </c>
      <c r="K1260" s="17">
        <f t="shared" si="153"/>
        <v>5167.8</v>
      </c>
      <c r="L1260" t="str">
        <f t="shared" si="154"/>
        <v>High Risk</v>
      </c>
      <c r="P1260" s="19">
        <f t="shared" si="155"/>
        <v>3125</v>
      </c>
      <c r="R1260" s="19">
        <f t="shared" si="152"/>
        <v>170531.25</v>
      </c>
      <c r="T1260" s="19">
        <f t="shared" si="156"/>
        <v>113155.68</v>
      </c>
      <c r="U1260" s="19">
        <f t="shared" si="157"/>
        <v>104446.98</v>
      </c>
      <c r="V1260" s="21">
        <f t="shared" si="158"/>
        <v>-8708.6999999999971</v>
      </c>
      <c r="W1260" s="18">
        <f t="shared" si="159"/>
        <v>-7.6962110960757765E-2</v>
      </c>
    </row>
    <row r="1261" spans="1:23" x14ac:dyDescent="0.3">
      <c r="A1261" t="s">
        <v>829</v>
      </c>
      <c r="B1261" t="s">
        <v>3182</v>
      </c>
      <c r="C1261" t="s">
        <v>50</v>
      </c>
      <c r="D1261" t="s">
        <v>26</v>
      </c>
      <c r="E1261">
        <v>2043</v>
      </c>
      <c r="F1261">
        <v>165.78</v>
      </c>
      <c r="G1261">
        <v>159.88999999999999</v>
      </c>
      <c r="H1261">
        <v>165.78</v>
      </c>
      <c r="I1261">
        <v>825</v>
      </c>
      <c r="J1261">
        <v>73</v>
      </c>
      <c r="K1261" s="17">
        <f t="shared" si="153"/>
        <v>2007.5</v>
      </c>
      <c r="L1261" t="str">
        <f t="shared" si="154"/>
        <v>Sufficuent Stock</v>
      </c>
      <c r="P1261" s="19">
        <f t="shared" si="155"/>
        <v>0</v>
      </c>
      <c r="R1261" s="19">
        <f t="shared" si="152"/>
        <v>0</v>
      </c>
      <c r="T1261" s="19">
        <f t="shared" si="156"/>
        <v>131909.25</v>
      </c>
      <c r="U1261" s="19">
        <f t="shared" si="157"/>
        <v>136768.5</v>
      </c>
      <c r="V1261" s="21">
        <f t="shared" si="158"/>
        <v>4859.25</v>
      </c>
      <c r="W1261" s="18">
        <f t="shared" si="159"/>
        <v>3.6837826005378695E-2</v>
      </c>
    </row>
    <row r="1262" spans="1:23" x14ac:dyDescent="0.3">
      <c r="A1262" t="s">
        <v>952</v>
      </c>
      <c r="B1262" t="s">
        <v>2069</v>
      </c>
      <c r="C1262" t="s">
        <v>37</v>
      </c>
      <c r="D1262" t="s">
        <v>26</v>
      </c>
      <c r="E1262">
        <v>2049</v>
      </c>
      <c r="F1262">
        <v>504.3</v>
      </c>
      <c r="G1262">
        <v>436.01</v>
      </c>
      <c r="H1262">
        <v>504.3</v>
      </c>
      <c r="I1262">
        <v>1600</v>
      </c>
      <c r="J1262">
        <v>20</v>
      </c>
      <c r="K1262" s="17">
        <f t="shared" si="153"/>
        <v>1066.6666666666667</v>
      </c>
      <c r="L1262" t="str">
        <f t="shared" si="154"/>
        <v>Sufficuent Stock</v>
      </c>
      <c r="P1262" s="19">
        <f t="shared" si="155"/>
        <v>0</v>
      </c>
      <c r="R1262" s="19">
        <f t="shared" si="152"/>
        <v>0</v>
      </c>
      <c r="T1262" s="19">
        <f t="shared" si="156"/>
        <v>697616</v>
      </c>
      <c r="U1262" s="19">
        <f t="shared" si="157"/>
        <v>806880</v>
      </c>
      <c r="V1262" s="21">
        <f t="shared" si="158"/>
        <v>109264</v>
      </c>
      <c r="W1262" s="18">
        <f t="shared" si="159"/>
        <v>0.15662484805394372</v>
      </c>
    </row>
    <row r="1263" spans="1:23" x14ac:dyDescent="0.3">
      <c r="A1263" t="s">
        <v>293</v>
      </c>
      <c r="B1263" t="s">
        <v>2565</v>
      </c>
      <c r="C1263" t="s">
        <v>23</v>
      </c>
      <c r="D1263" t="s">
        <v>20</v>
      </c>
      <c r="E1263">
        <v>2051</v>
      </c>
      <c r="F1263">
        <v>331.33</v>
      </c>
      <c r="G1263">
        <v>323.85000000000002</v>
      </c>
      <c r="H1263">
        <v>331.33</v>
      </c>
      <c r="I1263">
        <v>1159</v>
      </c>
      <c r="J1263">
        <v>77</v>
      </c>
      <c r="K1263" s="17">
        <f t="shared" si="153"/>
        <v>2974.7666666666664</v>
      </c>
      <c r="L1263" t="str">
        <f t="shared" si="154"/>
        <v>High Risk</v>
      </c>
      <c r="P1263" s="19">
        <f t="shared" si="155"/>
        <v>924</v>
      </c>
      <c r="R1263" s="19">
        <f t="shared" si="152"/>
        <v>306148.92</v>
      </c>
      <c r="T1263" s="19">
        <f t="shared" si="156"/>
        <v>375342.15</v>
      </c>
      <c r="U1263" s="19">
        <f t="shared" si="157"/>
        <v>384011.47</v>
      </c>
      <c r="V1263" s="21">
        <f t="shared" si="158"/>
        <v>8669.3199999999488</v>
      </c>
      <c r="W1263" s="18">
        <f t="shared" si="159"/>
        <v>2.3097112860892249E-2</v>
      </c>
    </row>
    <row r="1264" spans="1:23" x14ac:dyDescent="0.3">
      <c r="A1264" t="s">
        <v>1325</v>
      </c>
      <c r="B1264" t="s">
        <v>2065</v>
      </c>
      <c r="C1264" t="s">
        <v>16</v>
      </c>
      <c r="D1264" t="s">
        <v>26</v>
      </c>
      <c r="E1264">
        <v>2051</v>
      </c>
      <c r="F1264">
        <v>138.1</v>
      </c>
      <c r="G1264">
        <v>139.58000000000001</v>
      </c>
      <c r="H1264">
        <v>138.1</v>
      </c>
      <c r="I1264">
        <v>3013</v>
      </c>
      <c r="J1264">
        <v>41</v>
      </c>
      <c r="K1264" s="17">
        <f t="shared" si="153"/>
        <v>4117.7666666666664</v>
      </c>
      <c r="L1264" t="str">
        <f t="shared" si="154"/>
        <v>High Risk</v>
      </c>
      <c r="P1264" s="19">
        <f t="shared" si="155"/>
        <v>2067</v>
      </c>
      <c r="R1264" s="19">
        <f t="shared" si="152"/>
        <v>285452.7</v>
      </c>
      <c r="T1264" s="19">
        <f t="shared" si="156"/>
        <v>420554.54000000004</v>
      </c>
      <c r="U1264" s="19">
        <f t="shared" si="157"/>
        <v>416095.3</v>
      </c>
      <c r="V1264" s="21">
        <f t="shared" si="158"/>
        <v>-4459.2400000000489</v>
      </c>
      <c r="W1264" s="18">
        <f t="shared" si="159"/>
        <v>-1.0603238286287548E-2</v>
      </c>
    </row>
    <row r="1265" spans="1:23" x14ac:dyDescent="0.3">
      <c r="A1265" t="s">
        <v>171</v>
      </c>
      <c r="B1265" t="s">
        <v>172</v>
      </c>
      <c r="C1265" t="s">
        <v>16</v>
      </c>
      <c r="D1265" t="s">
        <v>69</v>
      </c>
      <c r="E1265">
        <v>2052</v>
      </c>
      <c r="F1265">
        <v>71.709999999999994</v>
      </c>
      <c r="G1265">
        <v>64</v>
      </c>
      <c r="H1265">
        <v>71.709999999999994</v>
      </c>
      <c r="I1265">
        <v>1879</v>
      </c>
      <c r="J1265">
        <v>74</v>
      </c>
      <c r="K1265" s="17">
        <f t="shared" si="153"/>
        <v>4634.8666666666668</v>
      </c>
      <c r="L1265" t="str">
        <f t="shared" si="154"/>
        <v>High Risk</v>
      </c>
      <c r="P1265" s="19">
        <f t="shared" si="155"/>
        <v>2583</v>
      </c>
      <c r="R1265" s="19">
        <f t="shared" si="152"/>
        <v>185226.93</v>
      </c>
      <c r="T1265" s="19">
        <f t="shared" si="156"/>
        <v>120256</v>
      </c>
      <c r="U1265" s="19">
        <f t="shared" si="157"/>
        <v>134743.09</v>
      </c>
      <c r="V1265" s="21">
        <f t="shared" si="158"/>
        <v>14487.089999999997</v>
      </c>
      <c r="W1265" s="18">
        <f t="shared" si="159"/>
        <v>0.12046874999999997</v>
      </c>
    </row>
    <row r="1266" spans="1:23" x14ac:dyDescent="0.3">
      <c r="A1266" t="s">
        <v>455</v>
      </c>
      <c r="B1266" t="s">
        <v>2643</v>
      </c>
      <c r="C1266" t="s">
        <v>37</v>
      </c>
      <c r="D1266" t="s">
        <v>13</v>
      </c>
      <c r="E1266">
        <v>2052</v>
      </c>
      <c r="F1266">
        <v>331.66</v>
      </c>
      <c r="G1266">
        <v>304.36</v>
      </c>
      <c r="H1266">
        <v>331.66</v>
      </c>
      <c r="I1266">
        <v>1563</v>
      </c>
      <c r="J1266">
        <v>14</v>
      </c>
      <c r="K1266" s="17">
        <f t="shared" si="153"/>
        <v>729.4</v>
      </c>
      <c r="L1266" t="str">
        <f t="shared" si="154"/>
        <v>Sufficuent Stock</v>
      </c>
      <c r="P1266" s="19">
        <f t="shared" si="155"/>
        <v>0</v>
      </c>
      <c r="R1266" s="19">
        <f t="shared" si="152"/>
        <v>0</v>
      </c>
      <c r="T1266" s="19">
        <f t="shared" si="156"/>
        <v>475714.68</v>
      </c>
      <c r="U1266" s="19">
        <f t="shared" si="157"/>
        <v>518384.58</v>
      </c>
      <c r="V1266" s="21">
        <f t="shared" si="158"/>
        <v>42669.900000000023</v>
      </c>
      <c r="W1266" s="18">
        <f t="shared" si="159"/>
        <v>8.9696412143514315E-2</v>
      </c>
    </row>
    <row r="1267" spans="1:23" x14ac:dyDescent="0.3">
      <c r="A1267" t="s">
        <v>290</v>
      </c>
      <c r="B1267" t="s">
        <v>1426</v>
      </c>
      <c r="C1267" t="s">
        <v>12</v>
      </c>
      <c r="D1267" t="s">
        <v>20</v>
      </c>
      <c r="E1267">
        <v>2053</v>
      </c>
      <c r="F1267">
        <v>425.42</v>
      </c>
      <c r="G1267">
        <v>432.79</v>
      </c>
      <c r="H1267">
        <v>425.42</v>
      </c>
      <c r="I1267">
        <v>84</v>
      </c>
      <c r="J1267">
        <v>20</v>
      </c>
      <c r="K1267" s="17">
        <f t="shared" si="153"/>
        <v>56</v>
      </c>
      <c r="L1267" t="str">
        <f t="shared" si="154"/>
        <v>Sufficuent Stock</v>
      </c>
      <c r="P1267" s="19">
        <f t="shared" si="155"/>
        <v>0</v>
      </c>
      <c r="R1267" s="19">
        <f t="shared" si="152"/>
        <v>0</v>
      </c>
      <c r="T1267" s="19">
        <f t="shared" si="156"/>
        <v>36354.36</v>
      </c>
      <c r="U1267" s="19">
        <f t="shared" si="157"/>
        <v>35735.279999999999</v>
      </c>
      <c r="V1267" s="21">
        <f t="shared" si="158"/>
        <v>-619.08000000000175</v>
      </c>
      <c r="W1267" s="18">
        <f t="shared" si="159"/>
        <v>-1.7029044109152291E-2</v>
      </c>
    </row>
    <row r="1268" spans="1:23" x14ac:dyDescent="0.3">
      <c r="A1268" t="s">
        <v>119</v>
      </c>
      <c r="B1268" t="s">
        <v>1475</v>
      </c>
      <c r="C1268" t="s">
        <v>16</v>
      </c>
      <c r="D1268" t="s">
        <v>17</v>
      </c>
      <c r="E1268">
        <v>2056</v>
      </c>
      <c r="F1268">
        <v>17.89</v>
      </c>
      <c r="G1268">
        <v>19.07</v>
      </c>
      <c r="H1268">
        <v>17.89</v>
      </c>
      <c r="I1268">
        <v>2445</v>
      </c>
      <c r="J1268">
        <v>79</v>
      </c>
      <c r="K1268" s="17">
        <f t="shared" si="153"/>
        <v>6438.5</v>
      </c>
      <c r="L1268" t="str">
        <f t="shared" si="154"/>
        <v>High Risk</v>
      </c>
      <c r="P1268" s="19">
        <f t="shared" si="155"/>
        <v>4383</v>
      </c>
      <c r="R1268" s="19">
        <f t="shared" si="152"/>
        <v>78411.87</v>
      </c>
      <c r="T1268" s="19">
        <f t="shared" si="156"/>
        <v>46626.15</v>
      </c>
      <c r="U1268" s="19">
        <f t="shared" si="157"/>
        <v>43741.05</v>
      </c>
      <c r="V1268" s="21">
        <f t="shared" si="158"/>
        <v>-2885.0999999999985</v>
      </c>
      <c r="W1268" s="18">
        <f t="shared" si="159"/>
        <v>-6.1877294179339244E-2</v>
      </c>
    </row>
    <row r="1269" spans="1:23" x14ac:dyDescent="0.3">
      <c r="A1269" t="s">
        <v>92</v>
      </c>
      <c r="B1269" t="s">
        <v>1327</v>
      </c>
      <c r="C1269" t="s">
        <v>37</v>
      </c>
      <c r="D1269" t="s">
        <v>69</v>
      </c>
      <c r="E1269">
        <v>2057</v>
      </c>
      <c r="F1269">
        <v>243.56</v>
      </c>
      <c r="G1269">
        <v>269.45</v>
      </c>
      <c r="H1269">
        <v>243.56</v>
      </c>
      <c r="I1269">
        <v>2376</v>
      </c>
      <c r="J1269">
        <v>78</v>
      </c>
      <c r="K1269" s="17">
        <f t="shared" si="153"/>
        <v>6177.6</v>
      </c>
      <c r="L1269" t="str">
        <f t="shared" si="154"/>
        <v>High Risk</v>
      </c>
      <c r="P1269" s="19">
        <f t="shared" si="155"/>
        <v>4121</v>
      </c>
      <c r="R1269" s="19">
        <f t="shared" si="152"/>
        <v>1003710.76</v>
      </c>
      <c r="T1269" s="19">
        <f t="shared" si="156"/>
        <v>640213.19999999995</v>
      </c>
      <c r="U1269" s="19">
        <f t="shared" si="157"/>
        <v>578698.56000000006</v>
      </c>
      <c r="V1269" s="21">
        <f t="shared" si="158"/>
        <v>-61514.639999999898</v>
      </c>
      <c r="W1269" s="18">
        <f t="shared" si="159"/>
        <v>-9.6084616812024348E-2</v>
      </c>
    </row>
    <row r="1270" spans="1:23" x14ac:dyDescent="0.3">
      <c r="A1270" t="s">
        <v>270</v>
      </c>
      <c r="B1270" t="s">
        <v>271</v>
      </c>
      <c r="C1270" t="s">
        <v>37</v>
      </c>
      <c r="D1270" t="s">
        <v>26</v>
      </c>
      <c r="E1270">
        <v>2057</v>
      </c>
      <c r="F1270">
        <v>66.209999999999994</v>
      </c>
      <c r="G1270">
        <v>59.82</v>
      </c>
      <c r="H1270">
        <v>66.209999999999994</v>
      </c>
      <c r="I1270">
        <v>1439</v>
      </c>
      <c r="J1270">
        <v>5</v>
      </c>
      <c r="K1270" s="17">
        <f t="shared" si="153"/>
        <v>239.83333333333334</v>
      </c>
      <c r="L1270" t="str">
        <f t="shared" si="154"/>
        <v>Sufficuent Stock</v>
      </c>
      <c r="P1270" s="19">
        <f t="shared" si="155"/>
        <v>0</v>
      </c>
      <c r="R1270" s="19">
        <f t="shared" si="152"/>
        <v>0</v>
      </c>
      <c r="T1270" s="19">
        <f t="shared" si="156"/>
        <v>86080.98</v>
      </c>
      <c r="U1270" s="19">
        <f t="shared" si="157"/>
        <v>95276.189999999988</v>
      </c>
      <c r="V1270" s="21">
        <f t="shared" si="158"/>
        <v>9195.2099999999919</v>
      </c>
      <c r="W1270" s="18">
        <f t="shared" si="159"/>
        <v>0.10682046138415237</v>
      </c>
    </row>
    <row r="1271" spans="1:23" x14ac:dyDescent="0.3">
      <c r="A1271" t="s">
        <v>38</v>
      </c>
      <c r="B1271" t="s">
        <v>131</v>
      </c>
      <c r="C1271" t="s">
        <v>12</v>
      </c>
      <c r="D1271" t="s">
        <v>20</v>
      </c>
      <c r="E1271">
        <v>2059</v>
      </c>
      <c r="F1271">
        <v>365.23</v>
      </c>
      <c r="G1271">
        <v>351.16</v>
      </c>
      <c r="H1271">
        <v>365.23</v>
      </c>
      <c r="I1271">
        <v>437</v>
      </c>
      <c r="J1271">
        <v>5</v>
      </c>
      <c r="K1271" s="17">
        <f t="shared" si="153"/>
        <v>72.833333333333329</v>
      </c>
      <c r="L1271" t="str">
        <f t="shared" si="154"/>
        <v>Sufficuent Stock</v>
      </c>
      <c r="P1271" s="19">
        <f t="shared" si="155"/>
        <v>0</v>
      </c>
      <c r="R1271" s="19">
        <f t="shared" si="152"/>
        <v>0</v>
      </c>
      <c r="T1271" s="19">
        <f t="shared" si="156"/>
        <v>153456.92000000001</v>
      </c>
      <c r="U1271" s="19">
        <f t="shared" si="157"/>
        <v>159605.51</v>
      </c>
      <c r="V1271" s="21">
        <f t="shared" si="158"/>
        <v>6148.5899999999965</v>
      </c>
      <c r="W1271" s="18">
        <f t="shared" si="159"/>
        <v>4.0067205832099301E-2</v>
      </c>
    </row>
    <row r="1272" spans="1:23" x14ac:dyDescent="0.3">
      <c r="A1272" t="s">
        <v>825</v>
      </c>
      <c r="B1272" t="s">
        <v>826</v>
      </c>
      <c r="C1272" t="s">
        <v>37</v>
      </c>
      <c r="D1272" t="s">
        <v>69</v>
      </c>
      <c r="E1272">
        <v>2061</v>
      </c>
      <c r="F1272">
        <v>348.79</v>
      </c>
      <c r="G1272">
        <v>297.45999999999998</v>
      </c>
      <c r="H1272">
        <v>348.79</v>
      </c>
      <c r="I1272">
        <v>2547</v>
      </c>
      <c r="J1272">
        <v>9</v>
      </c>
      <c r="K1272" s="17">
        <f t="shared" si="153"/>
        <v>764.1</v>
      </c>
      <c r="L1272" t="str">
        <f t="shared" si="154"/>
        <v>Sufficuent Stock</v>
      </c>
      <c r="P1272" s="19">
        <f t="shared" si="155"/>
        <v>0</v>
      </c>
      <c r="R1272" s="19">
        <f t="shared" si="152"/>
        <v>0</v>
      </c>
      <c r="T1272" s="19">
        <f t="shared" si="156"/>
        <v>757630.62</v>
      </c>
      <c r="U1272" s="19">
        <f t="shared" si="157"/>
        <v>888368.13</v>
      </c>
      <c r="V1272" s="21">
        <f t="shared" si="158"/>
        <v>130737.51000000001</v>
      </c>
      <c r="W1272" s="18">
        <f t="shared" si="159"/>
        <v>0.17256101660727494</v>
      </c>
    </row>
    <row r="1273" spans="1:23" x14ac:dyDescent="0.3">
      <c r="A1273" t="s">
        <v>1276</v>
      </c>
      <c r="B1273" t="s">
        <v>3060</v>
      </c>
      <c r="C1273" t="s">
        <v>37</v>
      </c>
      <c r="D1273" t="s">
        <v>26</v>
      </c>
      <c r="E1273">
        <v>2061</v>
      </c>
      <c r="F1273">
        <v>316.18</v>
      </c>
      <c r="G1273">
        <v>310.49</v>
      </c>
      <c r="H1273">
        <v>316.18</v>
      </c>
      <c r="I1273">
        <v>2356</v>
      </c>
      <c r="J1273">
        <v>63</v>
      </c>
      <c r="K1273" s="17">
        <f t="shared" si="153"/>
        <v>4947.5999999999995</v>
      </c>
      <c r="L1273" t="str">
        <f t="shared" si="154"/>
        <v>High Risk</v>
      </c>
      <c r="P1273" s="19">
        <f t="shared" si="155"/>
        <v>2887</v>
      </c>
      <c r="R1273" s="19">
        <f t="shared" si="152"/>
        <v>912811.66</v>
      </c>
      <c r="T1273" s="19">
        <f t="shared" si="156"/>
        <v>731514.44000000006</v>
      </c>
      <c r="U1273" s="19">
        <f t="shared" si="157"/>
        <v>744920.08</v>
      </c>
      <c r="V1273" s="21">
        <f t="shared" si="158"/>
        <v>13405.639999999898</v>
      </c>
      <c r="W1273" s="18">
        <f t="shared" si="159"/>
        <v>1.8325872008760204E-2</v>
      </c>
    </row>
    <row r="1274" spans="1:23" x14ac:dyDescent="0.3">
      <c r="A1274" t="s">
        <v>340</v>
      </c>
      <c r="B1274" t="s">
        <v>2457</v>
      </c>
      <c r="C1274" t="s">
        <v>12</v>
      </c>
      <c r="D1274" t="s">
        <v>26</v>
      </c>
      <c r="E1274">
        <v>2064</v>
      </c>
      <c r="F1274">
        <v>58.63</v>
      </c>
      <c r="G1274">
        <v>54.76</v>
      </c>
      <c r="H1274">
        <v>58.63</v>
      </c>
      <c r="I1274">
        <v>2757</v>
      </c>
      <c r="J1274">
        <v>65</v>
      </c>
      <c r="K1274" s="17">
        <f t="shared" si="153"/>
        <v>5973.5</v>
      </c>
      <c r="L1274" t="str">
        <f t="shared" si="154"/>
        <v>High Risk</v>
      </c>
      <c r="P1274" s="19">
        <f t="shared" si="155"/>
        <v>3910</v>
      </c>
      <c r="R1274" s="19">
        <f t="shared" si="152"/>
        <v>229243.30000000002</v>
      </c>
      <c r="T1274" s="19">
        <f t="shared" si="156"/>
        <v>150973.32</v>
      </c>
      <c r="U1274" s="19">
        <f t="shared" si="157"/>
        <v>161642.91</v>
      </c>
      <c r="V1274" s="21">
        <f t="shared" si="158"/>
        <v>10669.589999999997</v>
      </c>
      <c r="W1274" s="18">
        <f t="shared" si="159"/>
        <v>7.0672023374726056E-2</v>
      </c>
    </row>
    <row r="1275" spans="1:23" x14ac:dyDescent="0.3">
      <c r="A1275" t="s">
        <v>61</v>
      </c>
      <c r="B1275" t="s">
        <v>2898</v>
      </c>
      <c r="C1275" t="s">
        <v>16</v>
      </c>
      <c r="D1275" t="s">
        <v>17</v>
      </c>
      <c r="E1275">
        <v>2065</v>
      </c>
      <c r="F1275">
        <v>248.24</v>
      </c>
      <c r="G1275">
        <v>269.08</v>
      </c>
      <c r="H1275">
        <v>248.24</v>
      </c>
      <c r="I1275">
        <v>3218</v>
      </c>
      <c r="J1275">
        <v>55</v>
      </c>
      <c r="K1275" s="17">
        <f t="shared" si="153"/>
        <v>5899.666666666667</v>
      </c>
      <c r="L1275" t="str">
        <f t="shared" si="154"/>
        <v>High Risk</v>
      </c>
      <c r="P1275" s="19">
        <f t="shared" si="155"/>
        <v>3835</v>
      </c>
      <c r="R1275" s="19">
        <f t="shared" si="152"/>
        <v>952000.4</v>
      </c>
      <c r="T1275" s="19">
        <f t="shared" si="156"/>
        <v>865899.44</v>
      </c>
      <c r="U1275" s="19">
        <f t="shared" si="157"/>
        <v>798836.32000000007</v>
      </c>
      <c r="V1275" s="21">
        <f t="shared" si="158"/>
        <v>-67063.119999999879</v>
      </c>
      <c r="W1275" s="18">
        <f t="shared" si="159"/>
        <v>-7.7449085773747456E-2</v>
      </c>
    </row>
    <row r="1276" spans="1:23" x14ac:dyDescent="0.3">
      <c r="A1276" t="s">
        <v>434</v>
      </c>
      <c r="B1276" t="s">
        <v>2941</v>
      </c>
      <c r="C1276" t="s">
        <v>23</v>
      </c>
      <c r="D1276" t="s">
        <v>69</v>
      </c>
      <c r="E1276">
        <v>2066</v>
      </c>
      <c r="F1276">
        <v>227.88</v>
      </c>
      <c r="G1276">
        <v>199.95</v>
      </c>
      <c r="H1276">
        <v>227.88</v>
      </c>
      <c r="I1276">
        <v>3566</v>
      </c>
      <c r="J1276">
        <v>33</v>
      </c>
      <c r="K1276" s="17">
        <f t="shared" si="153"/>
        <v>3922.6</v>
      </c>
      <c r="L1276" t="str">
        <f t="shared" si="154"/>
        <v>High Risk</v>
      </c>
      <c r="P1276" s="19">
        <f t="shared" si="155"/>
        <v>1857</v>
      </c>
      <c r="R1276" s="19">
        <f t="shared" si="152"/>
        <v>423173.16</v>
      </c>
      <c r="T1276" s="19">
        <f t="shared" si="156"/>
        <v>713021.7</v>
      </c>
      <c r="U1276" s="19">
        <f t="shared" si="157"/>
        <v>812620.08</v>
      </c>
      <c r="V1276" s="21">
        <f t="shared" si="158"/>
        <v>99598.38</v>
      </c>
      <c r="W1276" s="18">
        <f t="shared" si="159"/>
        <v>0.1396849212303076</v>
      </c>
    </row>
    <row r="1277" spans="1:23" x14ac:dyDescent="0.3">
      <c r="A1277" t="s">
        <v>915</v>
      </c>
      <c r="B1277" t="s">
        <v>1662</v>
      </c>
      <c r="C1277" t="s">
        <v>50</v>
      </c>
      <c r="D1277" t="s">
        <v>13</v>
      </c>
      <c r="E1277">
        <v>2071</v>
      </c>
      <c r="F1277">
        <v>81.900000000000006</v>
      </c>
      <c r="G1277">
        <v>77.790000000000006</v>
      </c>
      <c r="H1277">
        <v>81.900000000000006</v>
      </c>
      <c r="I1277">
        <v>1517</v>
      </c>
      <c r="J1277">
        <v>51</v>
      </c>
      <c r="K1277" s="17">
        <f t="shared" si="153"/>
        <v>2578.9</v>
      </c>
      <c r="L1277" t="str">
        <f t="shared" si="154"/>
        <v>High Risk</v>
      </c>
      <c r="P1277" s="19">
        <f t="shared" si="155"/>
        <v>508</v>
      </c>
      <c r="R1277" s="19">
        <f t="shared" si="152"/>
        <v>41605.200000000004</v>
      </c>
      <c r="T1277" s="19">
        <f t="shared" si="156"/>
        <v>118007.43000000001</v>
      </c>
      <c r="U1277" s="19">
        <f t="shared" si="157"/>
        <v>124242.3</v>
      </c>
      <c r="V1277" s="21">
        <f t="shared" si="158"/>
        <v>6234.8699999999953</v>
      </c>
      <c r="W1277" s="18">
        <f t="shared" si="159"/>
        <v>5.2834554569996098E-2</v>
      </c>
    </row>
    <row r="1278" spans="1:23" x14ac:dyDescent="0.3">
      <c r="A1278" t="s">
        <v>55</v>
      </c>
      <c r="B1278" t="s">
        <v>3250</v>
      </c>
      <c r="C1278" t="s">
        <v>37</v>
      </c>
      <c r="D1278" t="s">
        <v>13</v>
      </c>
      <c r="E1278">
        <v>2071</v>
      </c>
      <c r="F1278">
        <v>81.14</v>
      </c>
      <c r="G1278">
        <v>82.84</v>
      </c>
      <c r="H1278">
        <v>81.14</v>
      </c>
      <c r="I1278">
        <v>3573</v>
      </c>
      <c r="J1278">
        <v>70</v>
      </c>
      <c r="K1278" s="17">
        <f t="shared" si="153"/>
        <v>8337</v>
      </c>
      <c r="L1278" t="str">
        <f t="shared" si="154"/>
        <v>High Risk</v>
      </c>
      <c r="P1278" s="19">
        <f t="shared" si="155"/>
        <v>6266</v>
      </c>
      <c r="R1278" s="19">
        <f t="shared" si="152"/>
        <v>508423.24</v>
      </c>
      <c r="T1278" s="19">
        <f t="shared" si="156"/>
        <v>295987.32</v>
      </c>
      <c r="U1278" s="19">
        <f t="shared" si="157"/>
        <v>289913.22000000003</v>
      </c>
      <c r="V1278" s="21">
        <f t="shared" si="158"/>
        <v>-6074.0999999999767</v>
      </c>
      <c r="W1278" s="18">
        <f t="shared" si="159"/>
        <v>-2.0521487204249077E-2</v>
      </c>
    </row>
    <row r="1279" spans="1:23" x14ac:dyDescent="0.3">
      <c r="A1279" t="s">
        <v>165</v>
      </c>
      <c r="B1279" t="s">
        <v>2288</v>
      </c>
      <c r="C1279" t="s">
        <v>12</v>
      </c>
      <c r="D1279" t="s">
        <v>20</v>
      </c>
      <c r="E1279">
        <v>2073</v>
      </c>
      <c r="F1279">
        <v>400.61</v>
      </c>
      <c r="G1279">
        <v>353.91</v>
      </c>
      <c r="H1279">
        <v>400.61</v>
      </c>
      <c r="I1279">
        <v>2364</v>
      </c>
      <c r="J1279">
        <v>63</v>
      </c>
      <c r="K1279" s="17">
        <f t="shared" si="153"/>
        <v>4964.3999999999996</v>
      </c>
      <c r="L1279" t="str">
        <f t="shared" si="154"/>
        <v>High Risk</v>
      </c>
      <c r="P1279" s="19">
        <f t="shared" si="155"/>
        <v>2892</v>
      </c>
      <c r="R1279" s="19">
        <f t="shared" si="152"/>
        <v>1158564.1200000001</v>
      </c>
      <c r="T1279" s="19">
        <f t="shared" si="156"/>
        <v>836643.24000000011</v>
      </c>
      <c r="U1279" s="19">
        <f t="shared" si="157"/>
        <v>947042.04</v>
      </c>
      <c r="V1279" s="21">
        <f t="shared" si="158"/>
        <v>110398.79999999993</v>
      </c>
      <c r="W1279" s="18">
        <f t="shared" si="159"/>
        <v>0.13195445169675896</v>
      </c>
    </row>
    <row r="1280" spans="1:23" x14ac:dyDescent="0.3">
      <c r="A1280" t="s">
        <v>581</v>
      </c>
      <c r="B1280" t="s">
        <v>3311</v>
      </c>
      <c r="C1280" t="s">
        <v>50</v>
      </c>
      <c r="D1280" t="s">
        <v>26</v>
      </c>
      <c r="E1280">
        <v>2076</v>
      </c>
      <c r="F1280">
        <v>437.39</v>
      </c>
      <c r="G1280">
        <v>472.13</v>
      </c>
      <c r="H1280">
        <v>437.39</v>
      </c>
      <c r="I1280">
        <v>3319</v>
      </c>
      <c r="J1280">
        <v>25</v>
      </c>
      <c r="K1280" s="17">
        <f t="shared" si="153"/>
        <v>2765.8333333333335</v>
      </c>
      <c r="L1280" t="str">
        <f t="shared" si="154"/>
        <v>High Risk</v>
      </c>
      <c r="P1280" s="19">
        <f t="shared" si="155"/>
        <v>690</v>
      </c>
      <c r="R1280" s="19">
        <f t="shared" si="152"/>
        <v>301799.09999999998</v>
      </c>
      <c r="T1280" s="19">
        <f t="shared" si="156"/>
        <v>1566999.47</v>
      </c>
      <c r="U1280" s="19">
        <f t="shared" si="157"/>
        <v>1451697.41</v>
      </c>
      <c r="V1280" s="21">
        <f t="shared" si="158"/>
        <v>-115302.06000000006</v>
      </c>
      <c r="W1280" s="18">
        <f t="shared" si="159"/>
        <v>-7.3581428843750699E-2</v>
      </c>
    </row>
    <row r="1281" spans="1:23" x14ac:dyDescent="0.3">
      <c r="A1281" t="s">
        <v>446</v>
      </c>
      <c r="B1281" t="s">
        <v>3033</v>
      </c>
      <c r="C1281" t="s">
        <v>50</v>
      </c>
      <c r="D1281" t="s">
        <v>26</v>
      </c>
      <c r="E1281">
        <v>2077</v>
      </c>
      <c r="F1281">
        <v>274.3</v>
      </c>
      <c r="G1281">
        <v>273.82</v>
      </c>
      <c r="H1281">
        <v>274.3</v>
      </c>
      <c r="I1281">
        <v>1618</v>
      </c>
      <c r="J1281">
        <v>43</v>
      </c>
      <c r="K1281" s="17">
        <f t="shared" si="153"/>
        <v>2319.1333333333332</v>
      </c>
      <c r="L1281" t="str">
        <f t="shared" si="154"/>
        <v>High Risk</v>
      </c>
      <c r="P1281" s="19">
        <f t="shared" si="155"/>
        <v>243</v>
      </c>
      <c r="R1281" s="19">
        <f t="shared" si="152"/>
        <v>66654.900000000009</v>
      </c>
      <c r="T1281" s="19">
        <f t="shared" si="156"/>
        <v>443040.76</v>
      </c>
      <c r="U1281" s="19">
        <f t="shared" si="157"/>
        <v>443817.4</v>
      </c>
      <c r="V1281" s="21">
        <f t="shared" si="158"/>
        <v>776.64000000001397</v>
      </c>
      <c r="W1281" s="18">
        <f t="shared" si="159"/>
        <v>1.7529764078592091E-3</v>
      </c>
    </row>
    <row r="1282" spans="1:23" x14ac:dyDescent="0.3">
      <c r="A1282" t="s">
        <v>387</v>
      </c>
      <c r="B1282" t="s">
        <v>1586</v>
      </c>
      <c r="C1282" t="s">
        <v>16</v>
      </c>
      <c r="D1282" t="s">
        <v>20</v>
      </c>
      <c r="E1282">
        <v>2079</v>
      </c>
      <c r="F1282">
        <v>340.1</v>
      </c>
      <c r="G1282">
        <v>371.35</v>
      </c>
      <c r="H1282">
        <v>340.1</v>
      </c>
      <c r="I1282">
        <v>1908</v>
      </c>
      <c r="J1282">
        <v>56</v>
      </c>
      <c r="K1282" s="17">
        <f t="shared" si="153"/>
        <v>3561.6</v>
      </c>
      <c r="L1282" t="str">
        <f t="shared" si="154"/>
        <v>High Risk</v>
      </c>
      <c r="P1282" s="19">
        <f t="shared" si="155"/>
        <v>1483</v>
      </c>
      <c r="R1282" s="19">
        <f t="shared" ref="R1282:R1345" si="160">P1282*H1282</f>
        <v>504368.30000000005</v>
      </c>
      <c r="T1282" s="19">
        <f t="shared" si="156"/>
        <v>708535.8</v>
      </c>
      <c r="U1282" s="19">
        <f t="shared" si="157"/>
        <v>648910.80000000005</v>
      </c>
      <c r="V1282" s="21">
        <f t="shared" si="158"/>
        <v>-59625</v>
      </c>
      <c r="W1282" s="18">
        <f t="shared" si="159"/>
        <v>-8.4152416857412135E-2</v>
      </c>
    </row>
    <row r="1283" spans="1:23" x14ac:dyDescent="0.3">
      <c r="A1283" t="s">
        <v>129</v>
      </c>
      <c r="B1283" t="s">
        <v>1683</v>
      </c>
      <c r="C1283" t="s">
        <v>16</v>
      </c>
      <c r="D1283" t="s">
        <v>26</v>
      </c>
      <c r="E1283">
        <v>2083</v>
      </c>
      <c r="F1283">
        <v>364.67</v>
      </c>
      <c r="G1283">
        <v>304.27999999999997</v>
      </c>
      <c r="H1283">
        <v>364.67</v>
      </c>
      <c r="I1283">
        <v>3446</v>
      </c>
      <c r="J1283">
        <v>82</v>
      </c>
      <c r="K1283" s="17">
        <f t="shared" ref="K1283:K1346" si="161">(I1283/30)*J1283</f>
        <v>9419.0666666666657</v>
      </c>
      <c r="L1283" t="str">
        <f t="shared" ref="L1283:L1346" si="162">IF(E1283&lt;K1283,"High Risk","Sufficuent Stock")</f>
        <v>High Risk</v>
      </c>
      <c r="P1283" s="19">
        <f t="shared" ref="P1283:P1346" si="163">ROUNDUP(MAX(0,K1283-E1283),0)</f>
        <v>7337</v>
      </c>
      <c r="R1283" s="19">
        <f t="shared" si="160"/>
        <v>2675583.79</v>
      </c>
      <c r="T1283" s="19">
        <f t="shared" ref="T1283:T1346" si="164">I1283*G1283</f>
        <v>1048548.8799999999</v>
      </c>
      <c r="U1283" s="19">
        <f t="shared" ref="U1283:U1346" si="165">I1283*H1283</f>
        <v>1256652.82</v>
      </c>
      <c r="V1283" s="21">
        <f t="shared" ref="V1283:V1346" si="166">U1283-T1283</f>
        <v>208103.94000000018</v>
      </c>
      <c r="W1283" s="18">
        <f t="shared" ref="W1283:W1346" si="167">IFERROR(V1283/T1283,0)</f>
        <v>0.19846851584067327</v>
      </c>
    </row>
    <row r="1284" spans="1:23" x14ac:dyDescent="0.3">
      <c r="A1284" t="s">
        <v>498</v>
      </c>
      <c r="B1284" t="s">
        <v>499</v>
      </c>
      <c r="C1284" t="s">
        <v>12</v>
      </c>
      <c r="D1284" t="s">
        <v>17</v>
      </c>
      <c r="E1284">
        <v>2084</v>
      </c>
      <c r="F1284">
        <v>163.44</v>
      </c>
      <c r="G1284">
        <v>141.56</v>
      </c>
      <c r="H1284">
        <v>163.44</v>
      </c>
      <c r="I1284">
        <v>672</v>
      </c>
      <c r="J1284">
        <v>5</v>
      </c>
      <c r="K1284" s="17">
        <f t="shared" si="161"/>
        <v>112</v>
      </c>
      <c r="L1284" t="str">
        <f t="shared" si="162"/>
        <v>Sufficuent Stock</v>
      </c>
      <c r="P1284" s="19">
        <f t="shared" si="163"/>
        <v>0</v>
      </c>
      <c r="R1284" s="19">
        <f t="shared" si="160"/>
        <v>0</v>
      </c>
      <c r="T1284" s="19">
        <f t="shared" si="164"/>
        <v>95128.320000000007</v>
      </c>
      <c r="U1284" s="19">
        <f t="shared" si="165"/>
        <v>109831.67999999999</v>
      </c>
      <c r="V1284" s="21">
        <f t="shared" si="166"/>
        <v>14703.359999999986</v>
      </c>
      <c r="W1284" s="18">
        <f t="shared" si="167"/>
        <v>0.15456343599886957</v>
      </c>
    </row>
    <row r="1285" spans="1:23" x14ac:dyDescent="0.3">
      <c r="A1285" t="s">
        <v>696</v>
      </c>
      <c r="B1285" t="s">
        <v>697</v>
      </c>
      <c r="C1285" t="s">
        <v>23</v>
      </c>
      <c r="D1285" t="s">
        <v>69</v>
      </c>
      <c r="E1285">
        <v>2086</v>
      </c>
      <c r="F1285">
        <v>478.27</v>
      </c>
      <c r="G1285">
        <v>401.74</v>
      </c>
      <c r="H1285">
        <v>478.27</v>
      </c>
      <c r="I1285">
        <v>604</v>
      </c>
      <c r="J1285">
        <v>74</v>
      </c>
      <c r="K1285" s="17">
        <f t="shared" si="161"/>
        <v>1489.8666666666666</v>
      </c>
      <c r="L1285" t="str">
        <f t="shared" si="162"/>
        <v>Sufficuent Stock</v>
      </c>
      <c r="P1285" s="19">
        <f t="shared" si="163"/>
        <v>0</v>
      </c>
      <c r="R1285" s="19">
        <f t="shared" si="160"/>
        <v>0</v>
      </c>
      <c r="T1285" s="19">
        <f t="shared" si="164"/>
        <v>242650.96</v>
      </c>
      <c r="U1285" s="19">
        <f t="shared" si="165"/>
        <v>288875.08</v>
      </c>
      <c r="V1285" s="21">
        <f t="shared" si="166"/>
        <v>46224.120000000024</v>
      </c>
      <c r="W1285" s="18">
        <f t="shared" si="167"/>
        <v>0.19049634091701112</v>
      </c>
    </row>
    <row r="1286" spans="1:23" x14ac:dyDescent="0.3">
      <c r="A1286" t="s">
        <v>143</v>
      </c>
      <c r="B1286" t="s">
        <v>914</v>
      </c>
      <c r="C1286" t="s">
        <v>50</v>
      </c>
      <c r="D1286" t="s">
        <v>26</v>
      </c>
      <c r="E1286">
        <v>2091</v>
      </c>
      <c r="F1286">
        <v>491.97</v>
      </c>
      <c r="G1286">
        <v>417.93</v>
      </c>
      <c r="H1286">
        <v>491.97</v>
      </c>
      <c r="I1286">
        <v>3659</v>
      </c>
      <c r="J1286">
        <v>5</v>
      </c>
      <c r="K1286" s="17">
        <f t="shared" si="161"/>
        <v>609.83333333333337</v>
      </c>
      <c r="L1286" t="str">
        <f t="shared" si="162"/>
        <v>Sufficuent Stock</v>
      </c>
      <c r="P1286" s="19">
        <f t="shared" si="163"/>
        <v>0</v>
      </c>
      <c r="R1286" s="19">
        <f t="shared" si="160"/>
        <v>0</v>
      </c>
      <c r="T1286" s="19">
        <f t="shared" si="164"/>
        <v>1529205.87</v>
      </c>
      <c r="U1286" s="19">
        <f t="shared" si="165"/>
        <v>1800118.2300000002</v>
      </c>
      <c r="V1286" s="21">
        <f t="shared" si="166"/>
        <v>270912.3600000001</v>
      </c>
      <c r="W1286" s="18">
        <f t="shared" si="167"/>
        <v>0.17715885435359993</v>
      </c>
    </row>
    <row r="1287" spans="1:23" x14ac:dyDescent="0.3">
      <c r="A1287" t="s">
        <v>151</v>
      </c>
      <c r="B1287" t="s">
        <v>2056</v>
      </c>
      <c r="C1287" t="s">
        <v>16</v>
      </c>
      <c r="D1287" t="s">
        <v>69</v>
      </c>
      <c r="E1287">
        <v>2093</v>
      </c>
      <c r="F1287">
        <v>63.27</v>
      </c>
      <c r="G1287">
        <v>69.16</v>
      </c>
      <c r="H1287">
        <v>63.27</v>
      </c>
      <c r="I1287">
        <v>1418</v>
      </c>
      <c r="J1287">
        <v>82</v>
      </c>
      <c r="K1287" s="17">
        <f t="shared" si="161"/>
        <v>3875.8666666666668</v>
      </c>
      <c r="L1287" t="str">
        <f t="shared" si="162"/>
        <v>High Risk</v>
      </c>
      <c r="P1287" s="19">
        <f t="shared" si="163"/>
        <v>1783</v>
      </c>
      <c r="R1287" s="19">
        <f t="shared" si="160"/>
        <v>112810.41</v>
      </c>
      <c r="T1287" s="19">
        <f t="shared" si="164"/>
        <v>98068.87999999999</v>
      </c>
      <c r="U1287" s="19">
        <f t="shared" si="165"/>
        <v>89716.86</v>
      </c>
      <c r="V1287" s="21">
        <f t="shared" si="166"/>
        <v>-8352.0199999999895</v>
      </c>
      <c r="W1287" s="18">
        <f t="shared" si="167"/>
        <v>-8.516483516483507E-2</v>
      </c>
    </row>
    <row r="1288" spans="1:23" x14ac:dyDescent="0.3">
      <c r="A1288" t="s">
        <v>1014</v>
      </c>
      <c r="B1288" t="s">
        <v>1015</v>
      </c>
      <c r="C1288" t="s">
        <v>50</v>
      </c>
      <c r="D1288" t="s">
        <v>69</v>
      </c>
      <c r="E1288">
        <v>2096</v>
      </c>
      <c r="F1288">
        <v>368.3</v>
      </c>
      <c r="G1288">
        <v>308.41000000000003</v>
      </c>
      <c r="H1288">
        <v>368.3</v>
      </c>
      <c r="I1288">
        <v>3415</v>
      </c>
      <c r="J1288">
        <v>18</v>
      </c>
      <c r="K1288" s="17">
        <f t="shared" si="161"/>
        <v>2049</v>
      </c>
      <c r="L1288" t="str">
        <f t="shared" si="162"/>
        <v>Sufficuent Stock</v>
      </c>
      <c r="P1288" s="19">
        <f t="shared" si="163"/>
        <v>0</v>
      </c>
      <c r="R1288" s="19">
        <f t="shared" si="160"/>
        <v>0</v>
      </c>
      <c r="T1288" s="19">
        <f t="shared" si="164"/>
        <v>1053220.1500000001</v>
      </c>
      <c r="U1288" s="19">
        <f t="shared" si="165"/>
        <v>1257744.5</v>
      </c>
      <c r="V1288" s="21">
        <f t="shared" si="166"/>
        <v>204524.34999999986</v>
      </c>
      <c r="W1288" s="18">
        <f t="shared" si="167"/>
        <v>0.19418955286793538</v>
      </c>
    </row>
    <row r="1289" spans="1:23" x14ac:dyDescent="0.3">
      <c r="A1289" t="s">
        <v>1335</v>
      </c>
      <c r="B1289" t="s">
        <v>3132</v>
      </c>
      <c r="C1289" t="s">
        <v>50</v>
      </c>
      <c r="D1289" t="s">
        <v>17</v>
      </c>
      <c r="E1289">
        <v>2099</v>
      </c>
      <c r="F1289">
        <v>431.7</v>
      </c>
      <c r="G1289">
        <v>438.92</v>
      </c>
      <c r="H1289">
        <v>431.7</v>
      </c>
      <c r="I1289">
        <v>2430</v>
      </c>
      <c r="J1289">
        <v>5</v>
      </c>
      <c r="K1289" s="17">
        <f t="shared" si="161"/>
        <v>405</v>
      </c>
      <c r="L1289" t="str">
        <f t="shared" si="162"/>
        <v>Sufficuent Stock</v>
      </c>
      <c r="P1289" s="19">
        <f t="shared" si="163"/>
        <v>0</v>
      </c>
      <c r="R1289" s="19">
        <f t="shared" si="160"/>
        <v>0</v>
      </c>
      <c r="T1289" s="19">
        <f t="shared" si="164"/>
        <v>1066575.6000000001</v>
      </c>
      <c r="U1289" s="19">
        <f t="shared" si="165"/>
        <v>1049031</v>
      </c>
      <c r="V1289" s="21">
        <f t="shared" si="166"/>
        <v>-17544.600000000093</v>
      </c>
      <c r="W1289" s="18">
        <f t="shared" si="167"/>
        <v>-1.6449466873234387E-2</v>
      </c>
    </row>
    <row r="1290" spans="1:23" x14ac:dyDescent="0.3">
      <c r="A1290" t="s">
        <v>347</v>
      </c>
      <c r="B1290" t="s">
        <v>1441</v>
      </c>
      <c r="C1290" t="s">
        <v>16</v>
      </c>
      <c r="D1290" t="s">
        <v>13</v>
      </c>
      <c r="E1290">
        <v>2100</v>
      </c>
      <c r="F1290">
        <v>252.46</v>
      </c>
      <c r="G1290">
        <v>242.06</v>
      </c>
      <c r="H1290">
        <v>252.46</v>
      </c>
      <c r="I1290">
        <v>3032</v>
      </c>
      <c r="J1290">
        <v>81</v>
      </c>
      <c r="K1290" s="17">
        <f t="shared" si="161"/>
        <v>8186.4</v>
      </c>
      <c r="L1290" t="str">
        <f t="shared" si="162"/>
        <v>High Risk</v>
      </c>
      <c r="P1290" s="19">
        <f t="shared" si="163"/>
        <v>6087</v>
      </c>
      <c r="R1290" s="19">
        <f t="shared" si="160"/>
        <v>1536724.02</v>
      </c>
      <c r="T1290" s="19">
        <f t="shared" si="164"/>
        <v>733925.92</v>
      </c>
      <c r="U1290" s="19">
        <f t="shared" si="165"/>
        <v>765458.72</v>
      </c>
      <c r="V1290" s="21">
        <f t="shared" si="166"/>
        <v>31532.79999999993</v>
      </c>
      <c r="W1290" s="18">
        <f t="shared" si="167"/>
        <v>4.2964554242749635E-2</v>
      </c>
    </row>
    <row r="1291" spans="1:23" x14ac:dyDescent="0.3">
      <c r="A1291" t="s">
        <v>688</v>
      </c>
      <c r="B1291" t="s">
        <v>2191</v>
      </c>
      <c r="C1291" t="s">
        <v>16</v>
      </c>
      <c r="D1291" t="s">
        <v>13</v>
      </c>
      <c r="E1291">
        <v>2101</v>
      </c>
      <c r="F1291">
        <v>180.19</v>
      </c>
      <c r="G1291">
        <v>164.52</v>
      </c>
      <c r="H1291">
        <v>180.19</v>
      </c>
      <c r="I1291">
        <v>757</v>
      </c>
      <c r="J1291">
        <v>27</v>
      </c>
      <c r="K1291" s="17">
        <f t="shared" si="161"/>
        <v>681.30000000000007</v>
      </c>
      <c r="L1291" t="str">
        <f t="shared" si="162"/>
        <v>Sufficuent Stock</v>
      </c>
      <c r="P1291" s="19">
        <f t="shared" si="163"/>
        <v>0</v>
      </c>
      <c r="R1291" s="19">
        <f t="shared" si="160"/>
        <v>0</v>
      </c>
      <c r="T1291" s="19">
        <f t="shared" si="164"/>
        <v>124541.64000000001</v>
      </c>
      <c r="U1291" s="19">
        <f t="shared" si="165"/>
        <v>136403.82999999999</v>
      </c>
      <c r="V1291" s="21">
        <f t="shared" si="166"/>
        <v>11862.189999999973</v>
      </c>
      <c r="W1291" s="18">
        <f t="shared" si="167"/>
        <v>9.5246778507172156E-2</v>
      </c>
    </row>
    <row r="1292" spans="1:23" x14ac:dyDescent="0.3">
      <c r="A1292" t="s">
        <v>338</v>
      </c>
      <c r="B1292" t="s">
        <v>847</v>
      </c>
      <c r="C1292" t="s">
        <v>16</v>
      </c>
      <c r="D1292" t="s">
        <v>69</v>
      </c>
      <c r="E1292">
        <v>2105</v>
      </c>
      <c r="F1292">
        <v>479</v>
      </c>
      <c r="G1292">
        <v>480.96</v>
      </c>
      <c r="H1292">
        <v>479</v>
      </c>
      <c r="I1292">
        <v>1709</v>
      </c>
      <c r="J1292">
        <v>54</v>
      </c>
      <c r="K1292" s="17">
        <f t="shared" si="161"/>
        <v>3076.2000000000003</v>
      </c>
      <c r="L1292" t="str">
        <f t="shared" si="162"/>
        <v>High Risk</v>
      </c>
      <c r="P1292" s="19">
        <f t="shared" si="163"/>
        <v>972</v>
      </c>
      <c r="R1292" s="19">
        <f t="shared" si="160"/>
        <v>465588</v>
      </c>
      <c r="T1292" s="19">
        <f t="shared" si="164"/>
        <v>821960.64</v>
      </c>
      <c r="U1292" s="19">
        <f t="shared" si="165"/>
        <v>818611</v>
      </c>
      <c r="V1292" s="21">
        <f t="shared" si="166"/>
        <v>-3349.640000000014</v>
      </c>
      <c r="W1292" s="18">
        <f t="shared" si="167"/>
        <v>-4.0751829673985529E-3</v>
      </c>
    </row>
    <row r="1293" spans="1:23" x14ac:dyDescent="0.3">
      <c r="A1293" t="s">
        <v>42</v>
      </c>
      <c r="B1293" t="s">
        <v>1339</v>
      </c>
      <c r="C1293" t="s">
        <v>50</v>
      </c>
      <c r="D1293" t="s">
        <v>20</v>
      </c>
      <c r="E1293">
        <v>2108</v>
      </c>
      <c r="F1293">
        <v>448.97</v>
      </c>
      <c r="G1293">
        <v>432.38</v>
      </c>
      <c r="H1293">
        <v>448.97</v>
      </c>
      <c r="I1293">
        <v>1499</v>
      </c>
      <c r="J1293">
        <v>67</v>
      </c>
      <c r="K1293" s="17">
        <f t="shared" si="161"/>
        <v>3347.7666666666669</v>
      </c>
      <c r="L1293" t="str">
        <f t="shared" si="162"/>
        <v>High Risk</v>
      </c>
      <c r="P1293" s="19">
        <f t="shared" si="163"/>
        <v>1240</v>
      </c>
      <c r="R1293" s="19">
        <f t="shared" si="160"/>
        <v>556722.80000000005</v>
      </c>
      <c r="T1293" s="19">
        <f t="shared" si="164"/>
        <v>648137.62</v>
      </c>
      <c r="U1293" s="19">
        <f t="shared" si="165"/>
        <v>673006.03</v>
      </c>
      <c r="V1293" s="21">
        <f t="shared" si="166"/>
        <v>24868.410000000033</v>
      </c>
      <c r="W1293" s="18">
        <f t="shared" si="167"/>
        <v>3.8369027244553454E-2</v>
      </c>
    </row>
    <row r="1294" spans="1:23" x14ac:dyDescent="0.3">
      <c r="A1294" t="s">
        <v>427</v>
      </c>
      <c r="B1294" t="s">
        <v>648</v>
      </c>
      <c r="C1294" t="s">
        <v>16</v>
      </c>
      <c r="D1294" t="s">
        <v>20</v>
      </c>
      <c r="E1294">
        <v>2114</v>
      </c>
      <c r="F1294">
        <v>323.56</v>
      </c>
      <c r="G1294">
        <v>326.86</v>
      </c>
      <c r="H1294">
        <v>323.56</v>
      </c>
      <c r="I1294">
        <v>3421</v>
      </c>
      <c r="J1294">
        <v>62</v>
      </c>
      <c r="K1294" s="17">
        <f t="shared" si="161"/>
        <v>7070.0666666666666</v>
      </c>
      <c r="L1294" t="str">
        <f t="shared" si="162"/>
        <v>High Risk</v>
      </c>
      <c r="P1294" s="19">
        <f t="shared" si="163"/>
        <v>4957</v>
      </c>
      <c r="R1294" s="19">
        <f t="shared" si="160"/>
        <v>1603886.92</v>
      </c>
      <c r="T1294" s="19">
        <f t="shared" si="164"/>
        <v>1118188.06</v>
      </c>
      <c r="U1294" s="19">
        <f t="shared" si="165"/>
        <v>1106898.76</v>
      </c>
      <c r="V1294" s="21">
        <f t="shared" si="166"/>
        <v>-11289.300000000047</v>
      </c>
      <c r="W1294" s="18">
        <f t="shared" si="167"/>
        <v>-1.0096065593832262E-2</v>
      </c>
    </row>
    <row r="1295" spans="1:23" x14ac:dyDescent="0.3">
      <c r="A1295" t="s">
        <v>90</v>
      </c>
      <c r="B1295" t="s">
        <v>2132</v>
      </c>
      <c r="C1295" t="s">
        <v>16</v>
      </c>
      <c r="D1295" t="s">
        <v>26</v>
      </c>
      <c r="E1295">
        <v>2114</v>
      </c>
      <c r="F1295">
        <v>389.63</v>
      </c>
      <c r="G1295">
        <v>390.75</v>
      </c>
      <c r="H1295">
        <v>389.63</v>
      </c>
      <c r="I1295">
        <v>2900</v>
      </c>
      <c r="J1295">
        <v>13</v>
      </c>
      <c r="K1295" s="17">
        <f t="shared" si="161"/>
        <v>1256.6666666666667</v>
      </c>
      <c r="L1295" t="str">
        <f t="shared" si="162"/>
        <v>Sufficuent Stock</v>
      </c>
      <c r="P1295" s="19">
        <f t="shared" si="163"/>
        <v>0</v>
      </c>
      <c r="R1295" s="19">
        <f t="shared" si="160"/>
        <v>0</v>
      </c>
      <c r="T1295" s="19">
        <f t="shared" si="164"/>
        <v>1133175</v>
      </c>
      <c r="U1295" s="19">
        <f t="shared" si="165"/>
        <v>1129927</v>
      </c>
      <c r="V1295" s="21">
        <f t="shared" si="166"/>
        <v>-3248</v>
      </c>
      <c r="W1295" s="18">
        <f t="shared" si="167"/>
        <v>-2.8662827895073574E-3</v>
      </c>
    </row>
    <row r="1296" spans="1:23" x14ac:dyDescent="0.3">
      <c r="A1296" t="s">
        <v>1074</v>
      </c>
      <c r="B1296" t="s">
        <v>1075</v>
      </c>
      <c r="C1296" t="s">
        <v>37</v>
      </c>
      <c r="D1296" t="s">
        <v>17</v>
      </c>
      <c r="E1296">
        <v>2114</v>
      </c>
      <c r="F1296">
        <v>239.09</v>
      </c>
      <c r="G1296">
        <v>238.01</v>
      </c>
      <c r="H1296">
        <v>239.09</v>
      </c>
      <c r="I1296">
        <v>1531</v>
      </c>
      <c r="J1296">
        <v>68</v>
      </c>
      <c r="K1296" s="17">
        <f t="shared" si="161"/>
        <v>3470.2666666666664</v>
      </c>
      <c r="L1296" t="str">
        <f t="shared" si="162"/>
        <v>High Risk</v>
      </c>
      <c r="P1296" s="19">
        <f t="shared" si="163"/>
        <v>1357</v>
      </c>
      <c r="R1296" s="19">
        <f t="shared" si="160"/>
        <v>324445.13</v>
      </c>
      <c r="T1296" s="19">
        <f t="shared" si="164"/>
        <v>364393.31</v>
      </c>
      <c r="U1296" s="19">
        <f t="shared" si="165"/>
        <v>366046.79</v>
      </c>
      <c r="V1296" s="21">
        <f t="shared" si="166"/>
        <v>1653.4799999999814</v>
      </c>
      <c r="W1296" s="18">
        <f t="shared" si="167"/>
        <v>4.5376244695600511E-3</v>
      </c>
    </row>
    <row r="1297" spans="1:23" x14ac:dyDescent="0.3">
      <c r="A1297" t="s">
        <v>2201</v>
      </c>
      <c r="B1297" t="s">
        <v>2247</v>
      </c>
      <c r="C1297" t="s">
        <v>12</v>
      </c>
      <c r="D1297" t="s">
        <v>17</v>
      </c>
      <c r="E1297">
        <v>2115</v>
      </c>
      <c r="F1297">
        <v>553.84</v>
      </c>
      <c r="G1297">
        <v>463.29</v>
      </c>
      <c r="H1297">
        <v>553.84</v>
      </c>
      <c r="I1297">
        <v>3839</v>
      </c>
      <c r="J1297">
        <v>24</v>
      </c>
      <c r="K1297" s="17">
        <f t="shared" si="161"/>
        <v>3071.2</v>
      </c>
      <c r="L1297" t="str">
        <f t="shared" si="162"/>
        <v>High Risk</v>
      </c>
      <c r="P1297" s="19">
        <f t="shared" si="163"/>
        <v>957</v>
      </c>
      <c r="R1297" s="19">
        <f t="shared" si="160"/>
        <v>530024.88</v>
      </c>
      <c r="T1297" s="19">
        <f t="shared" si="164"/>
        <v>1778570.31</v>
      </c>
      <c r="U1297" s="19">
        <f t="shared" si="165"/>
        <v>2126191.7600000002</v>
      </c>
      <c r="V1297" s="21">
        <f t="shared" si="166"/>
        <v>347621.45000000019</v>
      </c>
      <c r="W1297" s="18">
        <f t="shared" si="167"/>
        <v>0.19544993416650489</v>
      </c>
    </row>
    <row r="1298" spans="1:23" x14ac:dyDescent="0.3">
      <c r="A1298" t="s">
        <v>927</v>
      </c>
      <c r="B1298" t="s">
        <v>2054</v>
      </c>
      <c r="C1298" t="s">
        <v>37</v>
      </c>
      <c r="D1298" t="s">
        <v>69</v>
      </c>
      <c r="E1298">
        <v>2116</v>
      </c>
      <c r="F1298">
        <v>163.09</v>
      </c>
      <c r="G1298">
        <v>152.87</v>
      </c>
      <c r="H1298">
        <v>163.09</v>
      </c>
      <c r="I1298">
        <v>3850</v>
      </c>
      <c r="J1298">
        <v>36</v>
      </c>
      <c r="K1298" s="17">
        <f t="shared" si="161"/>
        <v>4620</v>
      </c>
      <c r="L1298" t="str">
        <f t="shared" si="162"/>
        <v>High Risk</v>
      </c>
      <c r="P1298" s="19">
        <f t="shared" si="163"/>
        <v>2504</v>
      </c>
      <c r="R1298" s="19">
        <f t="shared" si="160"/>
        <v>408377.36</v>
      </c>
      <c r="T1298" s="19">
        <f t="shared" si="164"/>
        <v>588549.5</v>
      </c>
      <c r="U1298" s="19">
        <f t="shared" si="165"/>
        <v>627896.5</v>
      </c>
      <c r="V1298" s="21">
        <f t="shared" si="166"/>
        <v>39347</v>
      </c>
      <c r="W1298" s="18">
        <f t="shared" si="167"/>
        <v>6.6854189834499908E-2</v>
      </c>
    </row>
    <row r="1299" spans="1:23" x14ac:dyDescent="0.3">
      <c r="A1299" t="s">
        <v>709</v>
      </c>
      <c r="B1299" t="s">
        <v>809</v>
      </c>
      <c r="C1299" t="s">
        <v>37</v>
      </c>
      <c r="D1299" t="s">
        <v>26</v>
      </c>
      <c r="E1299">
        <v>2119</v>
      </c>
      <c r="F1299">
        <v>166.06</v>
      </c>
      <c r="G1299">
        <v>171.22</v>
      </c>
      <c r="H1299">
        <v>166.06</v>
      </c>
      <c r="I1299">
        <v>2606</v>
      </c>
      <c r="J1299">
        <v>51</v>
      </c>
      <c r="K1299" s="17">
        <f t="shared" si="161"/>
        <v>4430.2</v>
      </c>
      <c r="L1299" t="str">
        <f t="shared" si="162"/>
        <v>High Risk</v>
      </c>
      <c r="P1299" s="19">
        <f t="shared" si="163"/>
        <v>2312</v>
      </c>
      <c r="R1299" s="19">
        <f t="shared" si="160"/>
        <v>383930.72000000003</v>
      </c>
      <c r="T1299" s="19">
        <f t="shared" si="164"/>
        <v>446199.32</v>
      </c>
      <c r="U1299" s="19">
        <f t="shared" si="165"/>
        <v>432752.36</v>
      </c>
      <c r="V1299" s="21">
        <f t="shared" si="166"/>
        <v>-13446.960000000021</v>
      </c>
      <c r="W1299" s="18">
        <f t="shared" si="167"/>
        <v>-3.0136666277304099E-2</v>
      </c>
    </row>
    <row r="1300" spans="1:23" x14ac:dyDescent="0.3">
      <c r="A1300" t="s">
        <v>462</v>
      </c>
      <c r="B1300" t="s">
        <v>1106</v>
      </c>
      <c r="C1300" t="s">
        <v>37</v>
      </c>
      <c r="D1300" t="s">
        <v>17</v>
      </c>
      <c r="E1300">
        <v>2122</v>
      </c>
      <c r="F1300">
        <v>163.76</v>
      </c>
      <c r="G1300">
        <v>174.2</v>
      </c>
      <c r="H1300">
        <v>163.76</v>
      </c>
      <c r="I1300">
        <v>1418</v>
      </c>
      <c r="J1300">
        <v>45</v>
      </c>
      <c r="K1300" s="17">
        <f t="shared" si="161"/>
        <v>2127</v>
      </c>
      <c r="L1300" t="str">
        <f t="shared" si="162"/>
        <v>High Risk</v>
      </c>
      <c r="P1300" s="19">
        <f t="shared" si="163"/>
        <v>5</v>
      </c>
      <c r="R1300" s="19">
        <f t="shared" si="160"/>
        <v>818.8</v>
      </c>
      <c r="T1300" s="19">
        <f t="shared" si="164"/>
        <v>247015.59999999998</v>
      </c>
      <c r="U1300" s="19">
        <f t="shared" si="165"/>
        <v>232211.68</v>
      </c>
      <c r="V1300" s="21">
        <f t="shared" si="166"/>
        <v>-14803.919999999984</v>
      </c>
      <c r="W1300" s="18">
        <f t="shared" si="167"/>
        <v>-5.9931113662456889E-2</v>
      </c>
    </row>
    <row r="1301" spans="1:23" x14ac:dyDescent="0.3">
      <c r="A1301" t="s">
        <v>995</v>
      </c>
      <c r="B1301" t="s">
        <v>1949</v>
      </c>
      <c r="C1301" t="s">
        <v>23</v>
      </c>
      <c r="D1301" t="s">
        <v>69</v>
      </c>
      <c r="E1301">
        <v>2123</v>
      </c>
      <c r="F1301">
        <v>24.35</v>
      </c>
      <c r="G1301">
        <v>21.4</v>
      </c>
      <c r="H1301">
        <v>24.35</v>
      </c>
      <c r="I1301">
        <v>438</v>
      </c>
      <c r="J1301">
        <v>57</v>
      </c>
      <c r="K1301" s="17">
        <f t="shared" si="161"/>
        <v>832.19999999999993</v>
      </c>
      <c r="L1301" t="str">
        <f t="shared" si="162"/>
        <v>Sufficuent Stock</v>
      </c>
      <c r="P1301" s="19">
        <f t="shared" si="163"/>
        <v>0</v>
      </c>
      <c r="R1301" s="19">
        <f t="shared" si="160"/>
        <v>0</v>
      </c>
      <c r="T1301" s="19">
        <f t="shared" si="164"/>
        <v>9373.1999999999989</v>
      </c>
      <c r="U1301" s="19">
        <f t="shared" si="165"/>
        <v>10665.300000000001</v>
      </c>
      <c r="V1301" s="21">
        <f t="shared" si="166"/>
        <v>1292.1000000000022</v>
      </c>
      <c r="W1301" s="18">
        <f t="shared" si="167"/>
        <v>0.13785046728971986</v>
      </c>
    </row>
    <row r="1302" spans="1:23" x14ac:dyDescent="0.3">
      <c r="A1302" t="s">
        <v>896</v>
      </c>
      <c r="B1302" t="s">
        <v>897</v>
      </c>
      <c r="C1302" t="s">
        <v>37</v>
      </c>
      <c r="D1302" t="s">
        <v>26</v>
      </c>
      <c r="E1302">
        <v>2123</v>
      </c>
      <c r="F1302">
        <v>256.85000000000002</v>
      </c>
      <c r="G1302">
        <v>218.47</v>
      </c>
      <c r="H1302">
        <v>256.85000000000002</v>
      </c>
      <c r="I1302">
        <v>255</v>
      </c>
      <c r="J1302">
        <v>62</v>
      </c>
      <c r="K1302" s="17">
        <f t="shared" si="161"/>
        <v>527</v>
      </c>
      <c r="L1302" t="str">
        <f t="shared" si="162"/>
        <v>Sufficuent Stock</v>
      </c>
      <c r="P1302" s="19">
        <f t="shared" si="163"/>
        <v>0</v>
      </c>
      <c r="R1302" s="19">
        <f t="shared" si="160"/>
        <v>0</v>
      </c>
      <c r="T1302" s="19">
        <f t="shared" si="164"/>
        <v>55709.85</v>
      </c>
      <c r="U1302" s="19">
        <f t="shared" si="165"/>
        <v>65496.750000000007</v>
      </c>
      <c r="V1302" s="21">
        <f t="shared" si="166"/>
        <v>9786.9000000000087</v>
      </c>
      <c r="W1302" s="18">
        <f t="shared" si="167"/>
        <v>0.17567629422804062</v>
      </c>
    </row>
    <row r="1303" spans="1:23" x14ac:dyDescent="0.3">
      <c r="A1303" t="s">
        <v>229</v>
      </c>
      <c r="B1303" t="s">
        <v>2735</v>
      </c>
      <c r="C1303" t="s">
        <v>23</v>
      </c>
      <c r="D1303" t="s">
        <v>26</v>
      </c>
      <c r="E1303">
        <v>2124</v>
      </c>
      <c r="F1303">
        <v>363.82</v>
      </c>
      <c r="G1303">
        <v>306.14</v>
      </c>
      <c r="H1303">
        <v>363.82</v>
      </c>
      <c r="I1303">
        <v>490</v>
      </c>
      <c r="J1303">
        <v>57</v>
      </c>
      <c r="K1303" s="17">
        <f t="shared" si="161"/>
        <v>930.99999999999989</v>
      </c>
      <c r="L1303" t="str">
        <f t="shared" si="162"/>
        <v>Sufficuent Stock</v>
      </c>
      <c r="P1303" s="19">
        <f t="shared" si="163"/>
        <v>0</v>
      </c>
      <c r="R1303" s="19">
        <f t="shared" si="160"/>
        <v>0</v>
      </c>
      <c r="T1303" s="19">
        <f t="shared" si="164"/>
        <v>150008.6</v>
      </c>
      <c r="U1303" s="19">
        <f t="shared" si="165"/>
        <v>178271.8</v>
      </c>
      <c r="V1303" s="21">
        <f t="shared" si="166"/>
        <v>28263.199999999983</v>
      </c>
      <c r="W1303" s="18">
        <f t="shared" si="167"/>
        <v>0.18841053112954845</v>
      </c>
    </row>
    <row r="1304" spans="1:23" x14ac:dyDescent="0.3">
      <c r="A1304" t="s">
        <v>612</v>
      </c>
      <c r="B1304" t="s">
        <v>3242</v>
      </c>
      <c r="C1304" t="s">
        <v>23</v>
      </c>
      <c r="D1304" t="s">
        <v>69</v>
      </c>
      <c r="E1304">
        <v>2124</v>
      </c>
      <c r="F1304">
        <v>385.62</v>
      </c>
      <c r="G1304">
        <v>338.03</v>
      </c>
      <c r="H1304">
        <v>385.62</v>
      </c>
      <c r="I1304">
        <v>497</v>
      </c>
      <c r="J1304">
        <v>78</v>
      </c>
      <c r="K1304" s="17">
        <f t="shared" si="161"/>
        <v>1292.2</v>
      </c>
      <c r="L1304" t="str">
        <f t="shared" si="162"/>
        <v>Sufficuent Stock</v>
      </c>
      <c r="P1304" s="19">
        <f t="shared" si="163"/>
        <v>0</v>
      </c>
      <c r="R1304" s="19">
        <f t="shared" si="160"/>
        <v>0</v>
      </c>
      <c r="T1304" s="19">
        <f t="shared" si="164"/>
        <v>168000.90999999997</v>
      </c>
      <c r="U1304" s="19">
        <f t="shared" si="165"/>
        <v>191653.14</v>
      </c>
      <c r="V1304" s="21">
        <f t="shared" si="166"/>
        <v>23652.23000000004</v>
      </c>
      <c r="W1304" s="18">
        <f t="shared" si="167"/>
        <v>0.14078632074076292</v>
      </c>
    </row>
    <row r="1305" spans="1:23" x14ac:dyDescent="0.3">
      <c r="A1305" t="s">
        <v>566</v>
      </c>
      <c r="B1305" t="s">
        <v>2410</v>
      </c>
      <c r="C1305" t="s">
        <v>16</v>
      </c>
      <c r="D1305" t="s">
        <v>13</v>
      </c>
      <c r="E1305">
        <v>2126</v>
      </c>
      <c r="F1305">
        <v>262.89999999999998</v>
      </c>
      <c r="G1305">
        <v>245.08</v>
      </c>
      <c r="H1305">
        <v>262.89999999999998</v>
      </c>
      <c r="I1305">
        <v>3849</v>
      </c>
      <c r="J1305">
        <v>30</v>
      </c>
      <c r="K1305" s="17">
        <f t="shared" si="161"/>
        <v>3849.0000000000005</v>
      </c>
      <c r="L1305" t="str">
        <f t="shared" si="162"/>
        <v>High Risk</v>
      </c>
      <c r="P1305" s="19">
        <f t="shared" si="163"/>
        <v>1723</v>
      </c>
      <c r="R1305" s="19">
        <f t="shared" si="160"/>
        <v>452976.69999999995</v>
      </c>
      <c r="T1305" s="19">
        <f t="shared" si="164"/>
        <v>943312.92</v>
      </c>
      <c r="U1305" s="19">
        <f t="shared" si="165"/>
        <v>1011902.0999999999</v>
      </c>
      <c r="V1305" s="21">
        <f t="shared" si="166"/>
        <v>68589.179999999818</v>
      </c>
      <c r="W1305" s="18">
        <f t="shared" si="167"/>
        <v>7.2710951526032117E-2</v>
      </c>
    </row>
    <row r="1306" spans="1:23" x14ac:dyDescent="0.3">
      <c r="A1306" t="s">
        <v>855</v>
      </c>
      <c r="B1306" t="s">
        <v>2871</v>
      </c>
      <c r="C1306" t="s">
        <v>37</v>
      </c>
      <c r="D1306" t="s">
        <v>13</v>
      </c>
      <c r="E1306">
        <v>2127</v>
      </c>
      <c r="F1306">
        <v>312.67</v>
      </c>
      <c r="G1306">
        <v>269.08999999999997</v>
      </c>
      <c r="H1306">
        <v>312.67</v>
      </c>
      <c r="I1306">
        <v>1855</v>
      </c>
      <c r="J1306">
        <v>70</v>
      </c>
      <c r="K1306" s="17">
        <f t="shared" si="161"/>
        <v>4328.3333333333339</v>
      </c>
      <c r="L1306" t="str">
        <f t="shared" si="162"/>
        <v>High Risk</v>
      </c>
      <c r="P1306" s="19">
        <f t="shared" si="163"/>
        <v>2202</v>
      </c>
      <c r="R1306" s="19">
        <f t="shared" si="160"/>
        <v>688499.34000000008</v>
      </c>
      <c r="T1306" s="19">
        <f t="shared" si="164"/>
        <v>499161.94999999995</v>
      </c>
      <c r="U1306" s="19">
        <f t="shared" si="165"/>
        <v>580002.85</v>
      </c>
      <c r="V1306" s="21">
        <f t="shared" si="166"/>
        <v>80840.900000000023</v>
      </c>
      <c r="W1306" s="18">
        <f t="shared" si="167"/>
        <v>0.16195324984206033</v>
      </c>
    </row>
    <row r="1307" spans="1:23" x14ac:dyDescent="0.3">
      <c r="A1307" t="s">
        <v>86</v>
      </c>
      <c r="B1307" t="s">
        <v>1261</v>
      </c>
      <c r="C1307" t="s">
        <v>16</v>
      </c>
      <c r="D1307" t="s">
        <v>20</v>
      </c>
      <c r="E1307">
        <v>2133</v>
      </c>
      <c r="F1307">
        <v>437.48</v>
      </c>
      <c r="G1307">
        <v>473.96</v>
      </c>
      <c r="H1307">
        <v>437.48</v>
      </c>
      <c r="I1307">
        <v>1010</v>
      </c>
      <c r="J1307">
        <v>26</v>
      </c>
      <c r="K1307" s="17">
        <f t="shared" si="161"/>
        <v>875.33333333333326</v>
      </c>
      <c r="L1307" t="str">
        <f t="shared" si="162"/>
        <v>Sufficuent Stock</v>
      </c>
      <c r="P1307" s="19">
        <f t="shared" si="163"/>
        <v>0</v>
      </c>
      <c r="R1307" s="19">
        <f t="shared" si="160"/>
        <v>0</v>
      </c>
      <c r="T1307" s="19">
        <f t="shared" si="164"/>
        <v>478699.6</v>
      </c>
      <c r="U1307" s="19">
        <f t="shared" si="165"/>
        <v>441854.80000000005</v>
      </c>
      <c r="V1307" s="21">
        <f t="shared" si="166"/>
        <v>-36844.79999999993</v>
      </c>
      <c r="W1307" s="18">
        <f t="shared" si="167"/>
        <v>-7.6968520550257269E-2</v>
      </c>
    </row>
    <row r="1308" spans="1:23" x14ac:dyDescent="0.3">
      <c r="A1308" t="s">
        <v>74</v>
      </c>
      <c r="B1308" t="s">
        <v>968</v>
      </c>
      <c r="C1308" t="s">
        <v>12</v>
      </c>
      <c r="D1308" t="s">
        <v>13</v>
      </c>
      <c r="E1308">
        <v>2138</v>
      </c>
      <c r="F1308">
        <v>70.37</v>
      </c>
      <c r="G1308">
        <v>67.67</v>
      </c>
      <c r="H1308">
        <v>70.37</v>
      </c>
      <c r="I1308">
        <v>218</v>
      </c>
      <c r="J1308">
        <v>51</v>
      </c>
      <c r="K1308" s="17">
        <f t="shared" si="161"/>
        <v>370.6</v>
      </c>
      <c r="L1308" t="str">
        <f t="shared" si="162"/>
        <v>Sufficuent Stock</v>
      </c>
      <c r="P1308" s="19">
        <f t="shared" si="163"/>
        <v>0</v>
      </c>
      <c r="R1308" s="19">
        <f t="shared" si="160"/>
        <v>0</v>
      </c>
      <c r="T1308" s="19">
        <f t="shared" si="164"/>
        <v>14752.06</v>
      </c>
      <c r="U1308" s="19">
        <f t="shared" si="165"/>
        <v>15340.660000000002</v>
      </c>
      <c r="V1308" s="21">
        <f t="shared" si="166"/>
        <v>588.60000000000218</v>
      </c>
      <c r="W1308" s="18">
        <f t="shared" si="167"/>
        <v>3.9899512339293779E-2</v>
      </c>
    </row>
    <row r="1309" spans="1:23" x14ac:dyDescent="0.3">
      <c r="A1309" t="s">
        <v>838</v>
      </c>
      <c r="B1309" t="s">
        <v>1143</v>
      </c>
      <c r="C1309" t="s">
        <v>16</v>
      </c>
      <c r="D1309" t="s">
        <v>17</v>
      </c>
      <c r="E1309">
        <v>2139</v>
      </c>
      <c r="F1309">
        <v>547.53</v>
      </c>
      <c r="G1309">
        <v>464.48</v>
      </c>
      <c r="H1309">
        <v>547.53</v>
      </c>
      <c r="I1309">
        <v>2590</v>
      </c>
      <c r="J1309">
        <v>57</v>
      </c>
      <c r="K1309" s="17">
        <f t="shared" si="161"/>
        <v>4921</v>
      </c>
      <c r="L1309" t="str">
        <f t="shared" si="162"/>
        <v>High Risk</v>
      </c>
      <c r="P1309" s="19">
        <f t="shared" si="163"/>
        <v>2782</v>
      </c>
      <c r="R1309" s="19">
        <f t="shared" si="160"/>
        <v>1523228.46</v>
      </c>
      <c r="T1309" s="19">
        <f t="shared" si="164"/>
        <v>1203003.2</v>
      </c>
      <c r="U1309" s="19">
        <f t="shared" si="165"/>
        <v>1418102.7</v>
      </c>
      <c r="V1309" s="21">
        <f t="shared" si="166"/>
        <v>215099.5</v>
      </c>
      <c r="W1309" s="18">
        <f t="shared" si="167"/>
        <v>0.17880210127454357</v>
      </c>
    </row>
    <row r="1310" spans="1:23" x14ac:dyDescent="0.3">
      <c r="A1310" t="s">
        <v>240</v>
      </c>
      <c r="B1310" t="s">
        <v>2856</v>
      </c>
      <c r="C1310" t="s">
        <v>50</v>
      </c>
      <c r="D1310" t="s">
        <v>26</v>
      </c>
      <c r="E1310">
        <v>2143</v>
      </c>
      <c r="F1310">
        <v>31.02</v>
      </c>
      <c r="G1310">
        <v>28.16</v>
      </c>
      <c r="H1310">
        <v>31.02</v>
      </c>
      <c r="I1310">
        <v>2942</v>
      </c>
      <c r="J1310">
        <v>5</v>
      </c>
      <c r="K1310" s="17">
        <f t="shared" si="161"/>
        <v>490.33333333333331</v>
      </c>
      <c r="L1310" t="str">
        <f t="shared" si="162"/>
        <v>Sufficuent Stock</v>
      </c>
      <c r="P1310" s="19">
        <f t="shared" si="163"/>
        <v>0</v>
      </c>
      <c r="R1310" s="19">
        <f t="shared" si="160"/>
        <v>0</v>
      </c>
      <c r="T1310" s="19">
        <f t="shared" si="164"/>
        <v>82846.720000000001</v>
      </c>
      <c r="U1310" s="19">
        <f t="shared" si="165"/>
        <v>91260.84</v>
      </c>
      <c r="V1310" s="21">
        <f t="shared" si="166"/>
        <v>8414.1199999999953</v>
      </c>
      <c r="W1310" s="18">
        <f t="shared" si="167"/>
        <v>0.10156249999999994</v>
      </c>
    </row>
    <row r="1311" spans="1:23" x14ac:dyDescent="0.3">
      <c r="A1311" t="s">
        <v>1060</v>
      </c>
      <c r="B1311" t="s">
        <v>2657</v>
      </c>
      <c r="C1311" t="s">
        <v>37</v>
      </c>
      <c r="D1311" t="s">
        <v>20</v>
      </c>
      <c r="E1311">
        <v>2147</v>
      </c>
      <c r="F1311">
        <v>331.74</v>
      </c>
      <c r="G1311">
        <v>355.98</v>
      </c>
      <c r="H1311">
        <v>331.74</v>
      </c>
      <c r="I1311">
        <v>1752</v>
      </c>
      <c r="J1311">
        <v>11</v>
      </c>
      <c r="K1311" s="17">
        <f t="shared" si="161"/>
        <v>642.4</v>
      </c>
      <c r="L1311" t="str">
        <f t="shared" si="162"/>
        <v>Sufficuent Stock</v>
      </c>
      <c r="P1311" s="19">
        <f t="shared" si="163"/>
        <v>0</v>
      </c>
      <c r="R1311" s="19">
        <f t="shared" si="160"/>
        <v>0</v>
      </c>
      <c r="T1311" s="19">
        <f t="shared" si="164"/>
        <v>623676.96000000008</v>
      </c>
      <c r="U1311" s="19">
        <f t="shared" si="165"/>
        <v>581208.48</v>
      </c>
      <c r="V1311" s="21">
        <f t="shared" si="166"/>
        <v>-42468.480000000098</v>
      </c>
      <c r="W1311" s="18">
        <f t="shared" si="167"/>
        <v>-6.8093713129951272E-2</v>
      </c>
    </row>
    <row r="1312" spans="1:23" x14ac:dyDescent="0.3">
      <c r="A1312" t="s">
        <v>65</v>
      </c>
      <c r="B1312" t="s">
        <v>66</v>
      </c>
      <c r="C1312" t="s">
        <v>50</v>
      </c>
      <c r="D1312" t="s">
        <v>17</v>
      </c>
      <c r="E1312">
        <v>2147</v>
      </c>
      <c r="F1312">
        <v>139.08000000000001</v>
      </c>
      <c r="G1312">
        <v>131.93</v>
      </c>
      <c r="H1312">
        <v>139.08000000000001</v>
      </c>
      <c r="I1312">
        <v>705</v>
      </c>
      <c r="J1312">
        <v>51</v>
      </c>
      <c r="K1312" s="17">
        <f t="shared" si="161"/>
        <v>1198.5</v>
      </c>
      <c r="L1312" t="str">
        <f t="shared" si="162"/>
        <v>Sufficuent Stock</v>
      </c>
      <c r="P1312" s="19">
        <f t="shared" si="163"/>
        <v>0</v>
      </c>
      <c r="R1312" s="19">
        <f t="shared" si="160"/>
        <v>0</v>
      </c>
      <c r="T1312" s="19">
        <f t="shared" si="164"/>
        <v>93010.650000000009</v>
      </c>
      <c r="U1312" s="19">
        <f t="shared" si="165"/>
        <v>98051.400000000009</v>
      </c>
      <c r="V1312" s="21">
        <f t="shared" si="166"/>
        <v>5040.75</v>
      </c>
      <c r="W1312" s="18">
        <f t="shared" si="167"/>
        <v>5.419540665504434E-2</v>
      </c>
    </row>
    <row r="1313" spans="1:23" x14ac:dyDescent="0.3">
      <c r="A1313" t="s">
        <v>186</v>
      </c>
      <c r="B1313" t="s">
        <v>441</v>
      </c>
      <c r="C1313" t="s">
        <v>16</v>
      </c>
      <c r="D1313" t="s">
        <v>17</v>
      </c>
      <c r="E1313">
        <v>2151</v>
      </c>
      <c r="F1313">
        <v>365.2</v>
      </c>
      <c r="G1313">
        <v>322.04000000000002</v>
      </c>
      <c r="H1313">
        <v>365.2</v>
      </c>
      <c r="I1313">
        <v>1822</v>
      </c>
      <c r="J1313">
        <v>72</v>
      </c>
      <c r="K1313" s="17">
        <f t="shared" si="161"/>
        <v>4372.8</v>
      </c>
      <c r="L1313" t="str">
        <f t="shared" si="162"/>
        <v>High Risk</v>
      </c>
      <c r="P1313" s="19">
        <f t="shared" si="163"/>
        <v>2222</v>
      </c>
      <c r="R1313" s="19">
        <f t="shared" si="160"/>
        <v>811474.4</v>
      </c>
      <c r="T1313" s="19">
        <f t="shared" si="164"/>
        <v>586756.88</v>
      </c>
      <c r="U1313" s="19">
        <f t="shared" si="165"/>
        <v>665394.4</v>
      </c>
      <c r="V1313" s="21">
        <f t="shared" si="166"/>
        <v>78637.520000000019</v>
      </c>
      <c r="W1313" s="18">
        <f t="shared" si="167"/>
        <v>0.13402061855670105</v>
      </c>
    </row>
    <row r="1314" spans="1:23" x14ac:dyDescent="0.3">
      <c r="A1314" t="s">
        <v>57</v>
      </c>
      <c r="B1314" t="s">
        <v>528</v>
      </c>
      <c r="C1314" t="s">
        <v>23</v>
      </c>
      <c r="D1314" t="s">
        <v>17</v>
      </c>
      <c r="E1314">
        <v>2151</v>
      </c>
      <c r="F1314">
        <v>28.46</v>
      </c>
      <c r="G1314">
        <v>25.4</v>
      </c>
      <c r="H1314">
        <v>28.46</v>
      </c>
      <c r="I1314">
        <v>3125</v>
      </c>
      <c r="J1314">
        <v>48</v>
      </c>
      <c r="K1314" s="17">
        <f t="shared" si="161"/>
        <v>5000</v>
      </c>
      <c r="L1314" t="str">
        <f t="shared" si="162"/>
        <v>High Risk</v>
      </c>
      <c r="P1314" s="19">
        <f t="shared" si="163"/>
        <v>2849</v>
      </c>
      <c r="R1314" s="19">
        <f t="shared" si="160"/>
        <v>81082.540000000008</v>
      </c>
      <c r="T1314" s="19">
        <f t="shared" si="164"/>
        <v>79375</v>
      </c>
      <c r="U1314" s="19">
        <f t="shared" si="165"/>
        <v>88937.5</v>
      </c>
      <c r="V1314" s="21">
        <f t="shared" si="166"/>
        <v>9562.5</v>
      </c>
      <c r="W1314" s="18">
        <f t="shared" si="167"/>
        <v>0.1204724409448819</v>
      </c>
    </row>
    <row r="1315" spans="1:23" x14ac:dyDescent="0.3">
      <c r="A1315" t="s">
        <v>2050</v>
      </c>
      <c r="B1315" t="s">
        <v>2439</v>
      </c>
      <c r="C1315" t="s">
        <v>23</v>
      </c>
      <c r="D1315" t="s">
        <v>69</v>
      </c>
      <c r="E1315">
        <v>2153</v>
      </c>
      <c r="F1315">
        <v>15.49</v>
      </c>
      <c r="G1315">
        <v>15.48</v>
      </c>
      <c r="H1315">
        <v>15.49</v>
      </c>
      <c r="I1315">
        <v>1403</v>
      </c>
      <c r="J1315">
        <v>62</v>
      </c>
      <c r="K1315" s="17">
        <f t="shared" si="161"/>
        <v>2899.5333333333333</v>
      </c>
      <c r="L1315" t="str">
        <f t="shared" si="162"/>
        <v>High Risk</v>
      </c>
      <c r="P1315" s="19">
        <f t="shared" si="163"/>
        <v>747</v>
      </c>
      <c r="R1315" s="19">
        <f t="shared" si="160"/>
        <v>11571.03</v>
      </c>
      <c r="T1315" s="19">
        <f t="shared" si="164"/>
        <v>21718.440000000002</v>
      </c>
      <c r="U1315" s="19">
        <f t="shared" si="165"/>
        <v>21732.47</v>
      </c>
      <c r="V1315" s="21">
        <f t="shared" si="166"/>
        <v>14.029999999998836</v>
      </c>
      <c r="W1315" s="18">
        <f t="shared" si="167"/>
        <v>6.4599483204129003E-4</v>
      </c>
    </row>
    <row r="1316" spans="1:23" x14ac:dyDescent="0.3">
      <c r="A1316" t="s">
        <v>605</v>
      </c>
      <c r="B1316" t="s">
        <v>3061</v>
      </c>
      <c r="C1316" t="s">
        <v>12</v>
      </c>
      <c r="D1316" t="s">
        <v>17</v>
      </c>
      <c r="E1316">
        <v>2153</v>
      </c>
      <c r="F1316">
        <v>327.61</v>
      </c>
      <c r="G1316">
        <v>352.96</v>
      </c>
      <c r="H1316">
        <v>327.61</v>
      </c>
      <c r="I1316">
        <v>1335</v>
      </c>
      <c r="J1316">
        <v>77</v>
      </c>
      <c r="K1316" s="17">
        <f t="shared" si="161"/>
        <v>3426.5</v>
      </c>
      <c r="L1316" t="str">
        <f t="shared" si="162"/>
        <v>High Risk</v>
      </c>
      <c r="P1316" s="19">
        <f t="shared" si="163"/>
        <v>1274</v>
      </c>
      <c r="R1316" s="19">
        <f t="shared" si="160"/>
        <v>417375.14</v>
      </c>
      <c r="T1316" s="19">
        <f t="shared" si="164"/>
        <v>471201.6</v>
      </c>
      <c r="U1316" s="19">
        <f t="shared" si="165"/>
        <v>437359.35000000003</v>
      </c>
      <c r="V1316" s="21">
        <f t="shared" si="166"/>
        <v>-33842.249999999942</v>
      </c>
      <c r="W1316" s="18">
        <f t="shared" si="167"/>
        <v>-7.1821169537624546E-2</v>
      </c>
    </row>
    <row r="1317" spans="1:23" x14ac:dyDescent="0.3">
      <c r="A1317" t="s">
        <v>59</v>
      </c>
      <c r="B1317" t="s">
        <v>987</v>
      </c>
      <c r="C1317" t="s">
        <v>12</v>
      </c>
      <c r="D1317" t="s">
        <v>13</v>
      </c>
      <c r="E1317">
        <v>2156</v>
      </c>
      <c r="F1317">
        <v>144.47999999999999</v>
      </c>
      <c r="G1317">
        <v>121.51</v>
      </c>
      <c r="H1317">
        <v>144.47999999999999</v>
      </c>
      <c r="I1317">
        <v>2572</v>
      </c>
      <c r="J1317">
        <v>28</v>
      </c>
      <c r="K1317" s="17">
        <f t="shared" si="161"/>
        <v>2400.5333333333333</v>
      </c>
      <c r="L1317" t="str">
        <f t="shared" si="162"/>
        <v>High Risk</v>
      </c>
      <c r="P1317" s="19">
        <f t="shared" si="163"/>
        <v>245</v>
      </c>
      <c r="R1317" s="19">
        <f t="shared" si="160"/>
        <v>35397.599999999999</v>
      </c>
      <c r="T1317" s="19">
        <f t="shared" si="164"/>
        <v>312523.72000000003</v>
      </c>
      <c r="U1317" s="19">
        <f t="shared" si="165"/>
        <v>371602.56</v>
      </c>
      <c r="V1317" s="21">
        <f t="shared" si="166"/>
        <v>59078.839999999967</v>
      </c>
      <c r="W1317" s="18">
        <f t="shared" si="167"/>
        <v>0.18903793926425796</v>
      </c>
    </row>
    <row r="1318" spans="1:23" x14ac:dyDescent="0.3">
      <c r="A1318" t="s">
        <v>1500</v>
      </c>
      <c r="B1318" t="s">
        <v>2412</v>
      </c>
      <c r="C1318" t="s">
        <v>12</v>
      </c>
      <c r="D1318" t="s">
        <v>17</v>
      </c>
      <c r="E1318">
        <v>2159</v>
      </c>
      <c r="F1318">
        <v>284.19</v>
      </c>
      <c r="G1318">
        <v>295.32</v>
      </c>
      <c r="H1318">
        <v>284.19</v>
      </c>
      <c r="I1318">
        <v>2394</v>
      </c>
      <c r="J1318">
        <v>41</v>
      </c>
      <c r="K1318" s="17">
        <f t="shared" si="161"/>
        <v>3271.7999999999997</v>
      </c>
      <c r="L1318" t="str">
        <f t="shared" si="162"/>
        <v>High Risk</v>
      </c>
      <c r="P1318" s="19">
        <f t="shared" si="163"/>
        <v>1113</v>
      </c>
      <c r="R1318" s="19">
        <f t="shared" si="160"/>
        <v>316303.46999999997</v>
      </c>
      <c r="T1318" s="19">
        <f t="shared" si="164"/>
        <v>706996.08</v>
      </c>
      <c r="U1318" s="19">
        <f t="shared" si="165"/>
        <v>680350.86</v>
      </c>
      <c r="V1318" s="21">
        <f t="shared" si="166"/>
        <v>-26645.219999999972</v>
      </c>
      <c r="W1318" s="18">
        <f t="shared" si="167"/>
        <v>-3.7687931735067008E-2</v>
      </c>
    </row>
    <row r="1319" spans="1:23" x14ac:dyDescent="0.3">
      <c r="A1319" t="s">
        <v>1489</v>
      </c>
      <c r="B1319" t="s">
        <v>1989</v>
      </c>
      <c r="C1319" t="s">
        <v>16</v>
      </c>
      <c r="D1319" t="s">
        <v>17</v>
      </c>
      <c r="E1319">
        <v>2161</v>
      </c>
      <c r="F1319">
        <v>154.68</v>
      </c>
      <c r="G1319">
        <v>148.88</v>
      </c>
      <c r="H1319">
        <v>154.68</v>
      </c>
      <c r="I1319">
        <v>1396</v>
      </c>
      <c r="J1319">
        <v>90</v>
      </c>
      <c r="K1319" s="17">
        <f t="shared" si="161"/>
        <v>4188</v>
      </c>
      <c r="L1319" t="str">
        <f t="shared" si="162"/>
        <v>High Risk</v>
      </c>
      <c r="P1319" s="19">
        <f t="shared" si="163"/>
        <v>2027</v>
      </c>
      <c r="R1319" s="19">
        <f t="shared" si="160"/>
        <v>313536.36</v>
      </c>
      <c r="T1319" s="19">
        <f t="shared" si="164"/>
        <v>207836.47999999998</v>
      </c>
      <c r="U1319" s="19">
        <f t="shared" si="165"/>
        <v>215933.28</v>
      </c>
      <c r="V1319" s="21">
        <f t="shared" si="166"/>
        <v>8096.8000000000175</v>
      </c>
      <c r="W1319" s="18">
        <f t="shared" si="167"/>
        <v>3.8957549704460054E-2</v>
      </c>
    </row>
    <row r="1320" spans="1:23" x14ac:dyDescent="0.3">
      <c r="A1320" t="s">
        <v>222</v>
      </c>
      <c r="B1320" t="s">
        <v>1131</v>
      </c>
      <c r="C1320" t="s">
        <v>50</v>
      </c>
      <c r="D1320" t="s">
        <v>17</v>
      </c>
      <c r="E1320">
        <v>2162</v>
      </c>
      <c r="F1320">
        <v>55.69</v>
      </c>
      <c r="G1320">
        <v>61.02</v>
      </c>
      <c r="H1320">
        <v>55.69</v>
      </c>
      <c r="I1320">
        <v>3059</v>
      </c>
      <c r="J1320">
        <v>26</v>
      </c>
      <c r="K1320" s="17">
        <f t="shared" si="161"/>
        <v>2651.1333333333332</v>
      </c>
      <c r="L1320" t="str">
        <f t="shared" si="162"/>
        <v>High Risk</v>
      </c>
      <c r="P1320" s="19">
        <f t="shared" si="163"/>
        <v>490</v>
      </c>
      <c r="R1320" s="19">
        <f t="shared" si="160"/>
        <v>27288.1</v>
      </c>
      <c r="T1320" s="19">
        <f t="shared" si="164"/>
        <v>186660.18000000002</v>
      </c>
      <c r="U1320" s="19">
        <f t="shared" si="165"/>
        <v>170355.71</v>
      </c>
      <c r="V1320" s="21">
        <f t="shared" si="166"/>
        <v>-16304.47000000003</v>
      </c>
      <c r="W1320" s="18">
        <f t="shared" si="167"/>
        <v>-8.734841035726007E-2</v>
      </c>
    </row>
    <row r="1321" spans="1:23" x14ac:dyDescent="0.3">
      <c r="A1321" t="s">
        <v>692</v>
      </c>
      <c r="B1321" t="s">
        <v>1314</v>
      </c>
      <c r="C1321" t="s">
        <v>12</v>
      </c>
      <c r="D1321" t="s">
        <v>26</v>
      </c>
      <c r="E1321">
        <v>2162</v>
      </c>
      <c r="F1321">
        <v>423.39</v>
      </c>
      <c r="G1321">
        <v>368.65</v>
      </c>
      <c r="H1321">
        <v>423.39</v>
      </c>
      <c r="I1321">
        <v>1314</v>
      </c>
      <c r="J1321">
        <v>6</v>
      </c>
      <c r="K1321" s="17">
        <f t="shared" si="161"/>
        <v>262.79999999999995</v>
      </c>
      <c r="L1321" t="str">
        <f t="shared" si="162"/>
        <v>Sufficuent Stock</v>
      </c>
      <c r="P1321" s="19">
        <f t="shared" si="163"/>
        <v>0</v>
      </c>
      <c r="R1321" s="19">
        <f t="shared" si="160"/>
        <v>0</v>
      </c>
      <c r="T1321" s="19">
        <f t="shared" si="164"/>
        <v>484406.1</v>
      </c>
      <c r="U1321" s="19">
        <f t="shared" si="165"/>
        <v>556334.46</v>
      </c>
      <c r="V1321" s="21">
        <f t="shared" si="166"/>
        <v>71928.359999999986</v>
      </c>
      <c r="W1321" s="18">
        <f t="shared" si="167"/>
        <v>0.14848772548487724</v>
      </c>
    </row>
    <row r="1322" spans="1:23" x14ac:dyDescent="0.3">
      <c r="A1322" t="s">
        <v>363</v>
      </c>
      <c r="B1322" t="s">
        <v>1873</v>
      </c>
      <c r="C1322" t="s">
        <v>12</v>
      </c>
      <c r="D1322" t="s">
        <v>26</v>
      </c>
      <c r="E1322">
        <v>2163</v>
      </c>
      <c r="F1322">
        <v>189.32</v>
      </c>
      <c r="G1322">
        <v>185.8</v>
      </c>
      <c r="H1322">
        <v>189.32</v>
      </c>
      <c r="I1322">
        <v>3268</v>
      </c>
      <c r="J1322">
        <v>64</v>
      </c>
      <c r="K1322" s="17">
        <f t="shared" si="161"/>
        <v>6971.7333333333336</v>
      </c>
      <c r="L1322" t="str">
        <f t="shared" si="162"/>
        <v>High Risk</v>
      </c>
      <c r="P1322" s="19">
        <f t="shared" si="163"/>
        <v>4809</v>
      </c>
      <c r="R1322" s="19">
        <f t="shared" si="160"/>
        <v>910439.88</v>
      </c>
      <c r="T1322" s="19">
        <f t="shared" si="164"/>
        <v>607194.4</v>
      </c>
      <c r="U1322" s="19">
        <f t="shared" si="165"/>
        <v>618697.76</v>
      </c>
      <c r="V1322" s="21">
        <f t="shared" si="166"/>
        <v>11503.359999999986</v>
      </c>
      <c r="W1322" s="18">
        <f t="shared" si="167"/>
        <v>1.8945102260495131E-2</v>
      </c>
    </row>
    <row r="1323" spans="1:23" x14ac:dyDescent="0.3">
      <c r="A1323" t="s">
        <v>273</v>
      </c>
      <c r="B1323" t="s">
        <v>274</v>
      </c>
      <c r="C1323" t="s">
        <v>50</v>
      </c>
      <c r="D1323" t="s">
        <v>26</v>
      </c>
      <c r="E1323">
        <v>2163</v>
      </c>
      <c r="F1323">
        <v>312.92</v>
      </c>
      <c r="G1323">
        <v>273.45999999999998</v>
      </c>
      <c r="H1323">
        <v>312.92</v>
      </c>
      <c r="I1323">
        <v>126</v>
      </c>
      <c r="J1323">
        <v>68</v>
      </c>
      <c r="K1323" s="17">
        <f t="shared" si="161"/>
        <v>285.60000000000002</v>
      </c>
      <c r="L1323" t="str">
        <f t="shared" si="162"/>
        <v>Sufficuent Stock</v>
      </c>
      <c r="P1323" s="19">
        <f t="shared" si="163"/>
        <v>0</v>
      </c>
      <c r="R1323" s="19">
        <f t="shared" si="160"/>
        <v>0</v>
      </c>
      <c r="T1323" s="19">
        <f t="shared" si="164"/>
        <v>34455.96</v>
      </c>
      <c r="U1323" s="19">
        <f t="shared" si="165"/>
        <v>39427.920000000006</v>
      </c>
      <c r="V1323" s="21">
        <f t="shared" si="166"/>
        <v>4971.9600000000064</v>
      </c>
      <c r="W1323" s="18">
        <f t="shared" si="167"/>
        <v>0.14429898339793773</v>
      </c>
    </row>
    <row r="1324" spans="1:23" x14ac:dyDescent="0.3">
      <c r="A1324" t="s">
        <v>798</v>
      </c>
      <c r="B1324" t="s">
        <v>3295</v>
      </c>
      <c r="C1324" t="s">
        <v>12</v>
      </c>
      <c r="D1324" t="s">
        <v>69</v>
      </c>
      <c r="E1324">
        <v>2164</v>
      </c>
      <c r="F1324">
        <v>362.76</v>
      </c>
      <c r="G1324">
        <v>402.35</v>
      </c>
      <c r="H1324">
        <v>362.76</v>
      </c>
      <c r="I1324">
        <v>997</v>
      </c>
      <c r="J1324">
        <v>39</v>
      </c>
      <c r="K1324" s="17">
        <f t="shared" si="161"/>
        <v>1296.1000000000001</v>
      </c>
      <c r="L1324" t="str">
        <f t="shared" si="162"/>
        <v>Sufficuent Stock</v>
      </c>
      <c r="P1324" s="19">
        <f t="shared" si="163"/>
        <v>0</v>
      </c>
      <c r="R1324" s="19">
        <f t="shared" si="160"/>
        <v>0</v>
      </c>
      <c r="T1324" s="19">
        <f t="shared" si="164"/>
        <v>401142.95</v>
      </c>
      <c r="U1324" s="19">
        <f t="shared" si="165"/>
        <v>361671.72</v>
      </c>
      <c r="V1324" s="21">
        <f t="shared" si="166"/>
        <v>-39471.23000000004</v>
      </c>
      <c r="W1324" s="18">
        <f t="shared" si="167"/>
        <v>-9.8396918106126607E-2</v>
      </c>
    </row>
    <row r="1325" spans="1:23" x14ac:dyDescent="0.3">
      <c r="A1325" t="s">
        <v>755</v>
      </c>
      <c r="B1325" t="s">
        <v>1999</v>
      </c>
      <c r="C1325" t="s">
        <v>37</v>
      </c>
      <c r="D1325" t="s">
        <v>17</v>
      </c>
      <c r="E1325">
        <v>2167</v>
      </c>
      <c r="F1325">
        <v>82.04</v>
      </c>
      <c r="G1325">
        <v>84.05</v>
      </c>
      <c r="H1325">
        <v>82.04</v>
      </c>
      <c r="I1325">
        <v>3752</v>
      </c>
      <c r="J1325">
        <v>49</v>
      </c>
      <c r="K1325" s="17">
        <f t="shared" si="161"/>
        <v>6128.2666666666664</v>
      </c>
      <c r="L1325" t="str">
        <f t="shared" si="162"/>
        <v>High Risk</v>
      </c>
      <c r="P1325" s="19">
        <f t="shared" si="163"/>
        <v>3962</v>
      </c>
      <c r="R1325" s="19">
        <f t="shared" si="160"/>
        <v>325042.48000000004</v>
      </c>
      <c r="T1325" s="19">
        <f t="shared" si="164"/>
        <v>315355.59999999998</v>
      </c>
      <c r="U1325" s="19">
        <f t="shared" si="165"/>
        <v>307814.08</v>
      </c>
      <c r="V1325" s="21">
        <f t="shared" si="166"/>
        <v>-7541.5199999999604</v>
      </c>
      <c r="W1325" s="18">
        <f t="shared" si="167"/>
        <v>-2.391433670434253E-2</v>
      </c>
    </row>
    <row r="1326" spans="1:23" x14ac:dyDescent="0.3">
      <c r="A1326" t="s">
        <v>673</v>
      </c>
      <c r="B1326" t="s">
        <v>1625</v>
      </c>
      <c r="C1326" t="s">
        <v>23</v>
      </c>
      <c r="D1326" t="s">
        <v>20</v>
      </c>
      <c r="E1326">
        <v>2168</v>
      </c>
      <c r="F1326">
        <v>117.86</v>
      </c>
      <c r="G1326">
        <v>117.5</v>
      </c>
      <c r="H1326">
        <v>117.86</v>
      </c>
      <c r="I1326">
        <v>223</v>
      </c>
      <c r="J1326">
        <v>10</v>
      </c>
      <c r="K1326" s="17">
        <f t="shared" si="161"/>
        <v>74.333333333333343</v>
      </c>
      <c r="L1326" t="str">
        <f t="shared" si="162"/>
        <v>Sufficuent Stock</v>
      </c>
      <c r="P1326" s="19">
        <f t="shared" si="163"/>
        <v>0</v>
      </c>
      <c r="R1326" s="19">
        <f t="shared" si="160"/>
        <v>0</v>
      </c>
      <c r="T1326" s="19">
        <f t="shared" si="164"/>
        <v>26202.5</v>
      </c>
      <c r="U1326" s="19">
        <f t="shared" si="165"/>
        <v>26282.78</v>
      </c>
      <c r="V1326" s="21">
        <f t="shared" si="166"/>
        <v>80.279999999998836</v>
      </c>
      <c r="W1326" s="18">
        <f t="shared" si="167"/>
        <v>3.0638297872339982E-3</v>
      </c>
    </row>
    <row r="1327" spans="1:23" x14ac:dyDescent="0.3">
      <c r="A1327" t="s">
        <v>295</v>
      </c>
      <c r="B1327" t="s">
        <v>911</v>
      </c>
      <c r="C1327" t="s">
        <v>12</v>
      </c>
      <c r="D1327" t="s">
        <v>17</v>
      </c>
      <c r="E1327">
        <v>2170</v>
      </c>
      <c r="F1327">
        <v>108.2</v>
      </c>
      <c r="G1327">
        <v>95.99</v>
      </c>
      <c r="H1327">
        <v>108.2</v>
      </c>
      <c r="I1327">
        <v>342</v>
      </c>
      <c r="J1327">
        <v>39</v>
      </c>
      <c r="K1327" s="17">
        <f t="shared" si="161"/>
        <v>444.6</v>
      </c>
      <c r="L1327" t="str">
        <f t="shared" si="162"/>
        <v>Sufficuent Stock</v>
      </c>
      <c r="P1327" s="19">
        <f t="shared" si="163"/>
        <v>0</v>
      </c>
      <c r="R1327" s="19">
        <f t="shared" si="160"/>
        <v>0</v>
      </c>
      <c r="T1327" s="19">
        <f t="shared" si="164"/>
        <v>32828.58</v>
      </c>
      <c r="U1327" s="19">
        <f t="shared" si="165"/>
        <v>37004.400000000001</v>
      </c>
      <c r="V1327" s="21">
        <f t="shared" si="166"/>
        <v>4175.82</v>
      </c>
      <c r="W1327" s="18">
        <f t="shared" si="167"/>
        <v>0.12720075007813311</v>
      </c>
    </row>
    <row r="1328" spans="1:23" x14ac:dyDescent="0.3">
      <c r="A1328" t="s">
        <v>1445</v>
      </c>
      <c r="B1328" t="s">
        <v>1817</v>
      </c>
      <c r="C1328" t="s">
        <v>37</v>
      </c>
      <c r="D1328" t="s">
        <v>26</v>
      </c>
      <c r="E1328">
        <v>2172</v>
      </c>
      <c r="F1328">
        <v>471.46</v>
      </c>
      <c r="G1328">
        <v>411.11</v>
      </c>
      <c r="H1328">
        <v>471.46</v>
      </c>
      <c r="I1328">
        <v>991</v>
      </c>
      <c r="J1328">
        <v>69</v>
      </c>
      <c r="K1328" s="17">
        <f t="shared" si="161"/>
        <v>2279.2999999999997</v>
      </c>
      <c r="L1328" t="str">
        <f t="shared" si="162"/>
        <v>High Risk</v>
      </c>
      <c r="P1328" s="19">
        <f t="shared" si="163"/>
        <v>108</v>
      </c>
      <c r="R1328" s="19">
        <f t="shared" si="160"/>
        <v>50917.68</v>
      </c>
      <c r="T1328" s="19">
        <f t="shared" si="164"/>
        <v>407410.01</v>
      </c>
      <c r="U1328" s="19">
        <f t="shared" si="165"/>
        <v>467216.86</v>
      </c>
      <c r="V1328" s="21">
        <f t="shared" si="166"/>
        <v>59806.849999999977</v>
      </c>
      <c r="W1328" s="18">
        <f t="shared" si="167"/>
        <v>0.1467976940478217</v>
      </c>
    </row>
    <row r="1329" spans="1:23" x14ac:dyDescent="0.3">
      <c r="A1329" t="s">
        <v>1076</v>
      </c>
      <c r="B1329" t="s">
        <v>1297</v>
      </c>
      <c r="C1329" t="s">
        <v>12</v>
      </c>
      <c r="D1329" t="s">
        <v>20</v>
      </c>
      <c r="E1329">
        <v>2177</v>
      </c>
      <c r="F1329">
        <v>337.63</v>
      </c>
      <c r="G1329">
        <v>321.05</v>
      </c>
      <c r="H1329">
        <v>337.63</v>
      </c>
      <c r="I1329">
        <v>1012</v>
      </c>
      <c r="J1329">
        <v>28</v>
      </c>
      <c r="K1329" s="17">
        <f t="shared" si="161"/>
        <v>944.5333333333333</v>
      </c>
      <c r="L1329" t="str">
        <f t="shared" si="162"/>
        <v>Sufficuent Stock</v>
      </c>
      <c r="P1329" s="19">
        <f t="shared" si="163"/>
        <v>0</v>
      </c>
      <c r="R1329" s="19">
        <f t="shared" si="160"/>
        <v>0</v>
      </c>
      <c r="T1329" s="19">
        <f t="shared" si="164"/>
        <v>324902.60000000003</v>
      </c>
      <c r="U1329" s="19">
        <f t="shared" si="165"/>
        <v>341681.56</v>
      </c>
      <c r="V1329" s="21">
        <f t="shared" si="166"/>
        <v>16778.959999999963</v>
      </c>
      <c r="W1329" s="18">
        <f t="shared" si="167"/>
        <v>5.1643046254477375E-2</v>
      </c>
    </row>
    <row r="1330" spans="1:23" x14ac:dyDescent="0.3">
      <c r="A1330" t="s">
        <v>1121</v>
      </c>
      <c r="B1330" t="s">
        <v>1302</v>
      </c>
      <c r="C1330" t="s">
        <v>50</v>
      </c>
      <c r="D1330" t="s">
        <v>20</v>
      </c>
      <c r="E1330">
        <v>2178</v>
      </c>
      <c r="F1330">
        <v>33.270000000000003</v>
      </c>
      <c r="G1330">
        <v>29.9</v>
      </c>
      <c r="H1330">
        <v>33.270000000000003</v>
      </c>
      <c r="I1330">
        <v>3623</v>
      </c>
      <c r="J1330">
        <v>73</v>
      </c>
      <c r="K1330" s="17">
        <f t="shared" si="161"/>
        <v>8815.9666666666672</v>
      </c>
      <c r="L1330" t="str">
        <f t="shared" si="162"/>
        <v>High Risk</v>
      </c>
      <c r="P1330" s="19">
        <f t="shared" si="163"/>
        <v>6638</v>
      </c>
      <c r="R1330" s="19">
        <f t="shared" si="160"/>
        <v>220846.26</v>
      </c>
      <c r="T1330" s="19">
        <f t="shared" si="164"/>
        <v>108327.7</v>
      </c>
      <c r="U1330" s="19">
        <f t="shared" si="165"/>
        <v>120537.21</v>
      </c>
      <c r="V1330" s="21">
        <f t="shared" si="166"/>
        <v>12209.510000000009</v>
      </c>
      <c r="W1330" s="18">
        <f t="shared" si="167"/>
        <v>0.11270903010033453</v>
      </c>
    </row>
    <row r="1331" spans="1:23" x14ac:dyDescent="0.3">
      <c r="A1331" t="s">
        <v>262</v>
      </c>
      <c r="B1331" t="s">
        <v>1200</v>
      </c>
      <c r="C1331" t="s">
        <v>23</v>
      </c>
      <c r="D1331" t="s">
        <v>20</v>
      </c>
      <c r="E1331">
        <v>2181</v>
      </c>
      <c r="F1331">
        <v>214.04</v>
      </c>
      <c r="G1331">
        <v>206.2</v>
      </c>
      <c r="H1331">
        <v>214.04</v>
      </c>
      <c r="I1331">
        <v>520</v>
      </c>
      <c r="J1331">
        <v>70</v>
      </c>
      <c r="K1331" s="17">
        <f t="shared" si="161"/>
        <v>1213.3333333333333</v>
      </c>
      <c r="L1331" t="str">
        <f t="shared" si="162"/>
        <v>Sufficuent Stock</v>
      </c>
      <c r="P1331" s="19">
        <f t="shared" si="163"/>
        <v>0</v>
      </c>
      <c r="R1331" s="19">
        <f t="shared" si="160"/>
        <v>0</v>
      </c>
      <c r="T1331" s="19">
        <f t="shared" si="164"/>
        <v>107224</v>
      </c>
      <c r="U1331" s="19">
        <f t="shared" si="165"/>
        <v>111300.8</v>
      </c>
      <c r="V1331" s="21">
        <f t="shared" si="166"/>
        <v>4076.8000000000029</v>
      </c>
      <c r="W1331" s="18">
        <f t="shared" si="167"/>
        <v>3.8021338506304583E-2</v>
      </c>
    </row>
    <row r="1332" spans="1:23" x14ac:dyDescent="0.3">
      <c r="A1332" t="s">
        <v>117</v>
      </c>
      <c r="B1332" t="s">
        <v>118</v>
      </c>
      <c r="C1332" t="s">
        <v>37</v>
      </c>
      <c r="D1332" t="s">
        <v>26</v>
      </c>
      <c r="E1332">
        <v>2184</v>
      </c>
      <c r="F1332">
        <v>60.38</v>
      </c>
      <c r="G1332">
        <v>61.04</v>
      </c>
      <c r="H1332">
        <v>60.38</v>
      </c>
      <c r="I1332">
        <v>3600</v>
      </c>
      <c r="J1332">
        <v>85</v>
      </c>
      <c r="K1332" s="17">
        <f t="shared" si="161"/>
        <v>10200</v>
      </c>
      <c r="L1332" t="str">
        <f t="shared" si="162"/>
        <v>High Risk</v>
      </c>
      <c r="P1332" s="19">
        <f t="shared" si="163"/>
        <v>8016</v>
      </c>
      <c r="R1332" s="19">
        <f t="shared" si="160"/>
        <v>484006.08</v>
      </c>
      <c r="T1332" s="19">
        <f t="shared" si="164"/>
        <v>219744</v>
      </c>
      <c r="U1332" s="19">
        <f t="shared" si="165"/>
        <v>217368</v>
      </c>
      <c r="V1332" s="21">
        <f t="shared" si="166"/>
        <v>-2376</v>
      </c>
      <c r="W1332" s="18">
        <f t="shared" si="167"/>
        <v>-1.0812581913499346E-2</v>
      </c>
    </row>
    <row r="1333" spans="1:23" x14ac:dyDescent="0.3">
      <c r="A1333" t="s">
        <v>979</v>
      </c>
      <c r="B1333" t="s">
        <v>2975</v>
      </c>
      <c r="C1333" t="s">
        <v>12</v>
      </c>
      <c r="D1333" t="s">
        <v>26</v>
      </c>
      <c r="E1333">
        <v>2193</v>
      </c>
      <c r="F1333">
        <v>96.08</v>
      </c>
      <c r="G1333">
        <v>93.44</v>
      </c>
      <c r="H1333">
        <v>96.08</v>
      </c>
      <c r="I1333">
        <v>3634</v>
      </c>
      <c r="J1333">
        <v>16</v>
      </c>
      <c r="K1333" s="17">
        <f t="shared" si="161"/>
        <v>1938.1333333333334</v>
      </c>
      <c r="L1333" t="str">
        <f t="shared" si="162"/>
        <v>Sufficuent Stock</v>
      </c>
      <c r="P1333" s="19">
        <f t="shared" si="163"/>
        <v>0</v>
      </c>
      <c r="R1333" s="19">
        <f t="shared" si="160"/>
        <v>0</v>
      </c>
      <c r="T1333" s="19">
        <f t="shared" si="164"/>
        <v>339560.95999999996</v>
      </c>
      <c r="U1333" s="19">
        <f t="shared" si="165"/>
        <v>349154.72</v>
      </c>
      <c r="V1333" s="21">
        <f t="shared" si="166"/>
        <v>9593.7600000000093</v>
      </c>
      <c r="W1333" s="18">
        <f t="shared" si="167"/>
        <v>2.8253424657534276E-2</v>
      </c>
    </row>
    <row r="1334" spans="1:23" x14ac:dyDescent="0.3">
      <c r="A1334" t="s">
        <v>671</v>
      </c>
      <c r="B1334" t="s">
        <v>3209</v>
      </c>
      <c r="C1334" t="s">
        <v>12</v>
      </c>
      <c r="D1334" t="s">
        <v>13</v>
      </c>
      <c r="E1334">
        <v>2197</v>
      </c>
      <c r="F1334">
        <v>90.31</v>
      </c>
      <c r="G1334">
        <v>93.67</v>
      </c>
      <c r="H1334">
        <v>90.31</v>
      </c>
      <c r="I1334">
        <v>2279</v>
      </c>
      <c r="J1334">
        <v>90</v>
      </c>
      <c r="K1334" s="17">
        <f t="shared" si="161"/>
        <v>6837</v>
      </c>
      <c r="L1334" t="str">
        <f t="shared" si="162"/>
        <v>High Risk</v>
      </c>
      <c r="P1334" s="19">
        <f t="shared" si="163"/>
        <v>4640</v>
      </c>
      <c r="R1334" s="19">
        <f t="shared" si="160"/>
        <v>419038.4</v>
      </c>
      <c r="T1334" s="19">
        <f t="shared" si="164"/>
        <v>213473.93</v>
      </c>
      <c r="U1334" s="19">
        <f t="shared" si="165"/>
        <v>205816.49</v>
      </c>
      <c r="V1334" s="21">
        <f t="shared" si="166"/>
        <v>-7657.4400000000023</v>
      </c>
      <c r="W1334" s="18">
        <f t="shared" si="167"/>
        <v>-3.5870609586847457E-2</v>
      </c>
    </row>
    <row r="1335" spans="1:23" x14ac:dyDescent="0.3">
      <c r="A1335" t="s">
        <v>992</v>
      </c>
      <c r="B1335" t="s">
        <v>3323</v>
      </c>
      <c r="C1335" t="s">
        <v>23</v>
      </c>
      <c r="D1335" t="s">
        <v>17</v>
      </c>
      <c r="E1335">
        <v>2207</v>
      </c>
      <c r="F1335">
        <v>303.61</v>
      </c>
      <c r="G1335">
        <v>320.16000000000003</v>
      </c>
      <c r="H1335">
        <v>303.61</v>
      </c>
      <c r="I1335">
        <v>452</v>
      </c>
      <c r="J1335">
        <v>69</v>
      </c>
      <c r="K1335" s="17">
        <f t="shared" si="161"/>
        <v>1039.5999999999999</v>
      </c>
      <c r="L1335" t="str">
        <f t="shared" si="162"/>
        <v>Sufficuent Stock</v>
      </c>
      <c r="P1335" s="19">
        <f t="shared" si="163"/>
        <v>0</v>
      </c>
      <c r="R1335" s="19">
        <f t="shared" si="160"/>
        <v>0</v>
      </c>
      <c r="T1335" s="19">
        <f t="shared" si="164"/>
        <v>144712.32000000001</v>
      </c>
      <c r="U1335" s="19">
        <f t="shared" si="165"/>
        <v>137231.72</v>
      </c>
      <c r="V1335" s="21">
        <f t="shared" si="166"/>
        <v>-7480.6000000000058</v>
      </c>
      <c r="W1335" s="18">
        <f t="shared" si="167"/>
        <v>-5.1692903548225921E-2</v>
      </c>
    </row>
    <row r="1336" spans="1:23" x14ac:dyDescent="0.3">
      <c r="A1336" t="s">
        <v>782</v>
      </c>
      <c r="B1336" t="s">
        <v>1313</v>
      </c>
      <c r="C1336" t="s">
        <v>23</v>
      </c>
      <c r="D1336" t="s">
        <v>20</v>
      </c>
      <c r="E1336">
        <v>2210</v>
      </c>
      <c r="F1336">
        <v>502.83</v>
      </c>
      <c r="G1336">
        <v>470.85</v>
      </c>
      <c r="H1336">
        <v>502.83</v>
      </c>
      <c r="I1336">
        <v>3484</v>
      </c>
      <c r="J1336">
        <v>36</v>
      </c>
      <c r="K1336" s="17">
        <f t="shared" si="161"/>
        <v>4180.8</v>
      </c>
      <c r="L1336" t="str">
        <f t="shared" si="162"/>
        <v>High Risk</v>
      </c>
      <c r="P1336" s="19">
        <f t="shared" si="163"/>
        <v>1971</v>
      </c>
      <c r="R1336" s="19">
        <f t="shared" si="160"/>
        <v>991077.92999999993</v>
      </c>
      <c r="T1336" s="19">
        <f t="shared" si="164"/>
        <v>1640441.4000000001</v>
      </c>
      <c r="U1336" s="19">
        <f t="shared" si="165"/>
        <v>1751859.72</v>
      </c>
      <c r="V1336" s="21">
        <f t="shared" si="166"/>
        <v>111418.31999999983</v>
      </c>
      <c r="W1336" s="18">
        <f t="shared" si="167"/>
        <v>6.7919719655941277E-2</v>
      </c>
    </row>
    <row r="1337" spans="1:23" x14ac:dyDescent="0.3">
      <c r="A1337" t="s">
        <v>121</v>
      </c>
      <c r="B1337" t="s">
        <v>2997</v>
      </c>
      <c r="C1337" t="s">
        <v>16</v>
      </c>
      <c r="D1337" t="s">
        <v>17</v>
      </c>
      <c r="E1337">
        <v>2211</v>
      </c>
      <c r="F1337">
        <v>511.33</v>
      </c>
      <c r="G1337">
        <v>463.87</v>
      </c>
      <c r="H1337">
        <v>511.33</v>
      </c>
      <c r="I1337">
        <v>2886</v>
      </c>
      <c r="J1337">
        <v>44</v>
      </c>
      <c r="K1337" s="17">
        <f t="shared" si="161"/>
        <v>4232.8</v>
      </c>
      <c r="L1337" t="str">
        <f t="shared" si="162"/>
        <v>High Risk</v>
      </c>
      <c r="P1337" s="19">
        <f t="shared" si="163"/>
        <v>2022</v>
      </c>
      <c r="R1337" s="19">
        <f t="shared" si="160"/>
        <v>1033909.26</v>
      </c>
      <c r="T1337" s="19">
        <f t="shared" si="164"/>
        <v>1338728.82</v>
      </c>
      <c r="U1337" s="19">
        <f t="shared" si="165"/>
        <v>1475698.38</v>
      </c>
      <c r="V1337" s="21">
        <f t="shared" si="166"/>
        <v>136969.55999999982</v>
      </c>
      <c r="W1337" s="18">
        <f t="shared" si="167"/>
        <v>0.10231314808028098</v>
      </c>
    </row>
    <row r="1338" spans="1:23" x14ac:dyDescent="0.3">
      <c r="A1338" t="s">
        <v>1751</v>
      </c>
      <c r="B1338" t="s">
        <v>1752</v>
      </c>
      <c r="C1338" t="s">
        <v>37</v>
      </c>
      <c r="D1338" t="s">
        <v>13</v>
      </c>
      <c r="E1338">
        <v>2212</v>
      </c>
      <c r="F1338">
        <v>248.17</v>
      </c>
      <c r="G1338">
        <v>227.81</v>
      </c>
      <c r="H1338">
        <v>248.17</v>
      </c>
      <c r="I1338">
        <v>2861</v>
      </c>
      <c r="J1338">
        <v>33</v>
      </c>
      <c r="K1338" s="17">
        <f t="shared" si="161"/>
        <v>3147.1</v>
      </c>
      <c r="L1338" t="str">
        <f t="shared" si="162"/>
        <v>High Risk</v>
      </c>
      <c r="P1338" s="19">
        <f t="shared" si="163"/>
        <v>936</v>
      </c>
      <c r="R1338" s="19">
        <f t="shared" si="160"/>
        <v>232287.12</v>
      </c>
      <c r="T1338" s="19">
        <f t="shared" si="164"/>
        <v>651764.41</v>
      </c>
      <c r="U1338" s="19">
        <f t="shared" si="165"/>
        <v>710014.37</v>
      </c>
      <c r="V1338" s="21">
        <f t="shared" si="166"/>
        <v>58249.959999999963</v>
      </c>
      <c r="W1338" s="18">
        <f t="shared" si="167"/>
        <v>8.9372722883104286E-2</v>
      </c>
    </row>
    <row r="1339" spans="1:23" x14ac:dyDescent="0.3">
      <c r="A1339" t="s">
        <v>453</v>
      </c>
      <c r="B1339" t="s">
        <v>2502</v>
      </c>
      <c r="C1339" t="s">
        <v>50</v>
      </c>
      <c r="D1339" t="s">
        <v>17</v>
      </c>
      <c r="E1339">
        <v>2213</v>
      </c>
      <c r="F1339">
        <v>343.89</v>
      </c>
      <c r="G1339">
        <v>355.37</v>
      </c>
      <c r="H1339">
        <v>343.89</v>
      </c>
      <c r="I1339">
        <v>2556</v>
      </c>
      <c r="J1339">
        <v>17</v>
      </c>
      <c r="K1339" s="17">
        <f t="shared" si="161"/>
        <v>1448.4</v>
      </c>
      <c r="L1339" t="str">
        <f t="shared" si="162"/>
        <v>Sufficuent Stock</v>
      </c>
      <c r="P1339" s="19">
        <f t="shared" si="163"/>
        <v>0</v>
      </c>
      <c r="R1339" s="19">
        <f t="shared" si="160"/>
        <v>0</v>
      </c>
      <c r="T1339" s="19">
        <f t="shared" si="164"/>
        <v>908325.72</v>
      </c>
      <c r="U1339" s="19">
        <f t="shared" si="165"/>
        <v>878982.84</v>
      </c>
      <c r="V1339" s="21">
        <f t="shared" si="166"/>
        <v>-29342.880000000005</v>
      </c>
      <c r="W1339" s="18">
        <f t="shared" si="167"/>
        <v>-3.2304358837268204E-2</v>
      </c>
    </row>
    <row r="1340" spans="1:23" x14ac:dyDescent="0.3">
      <c r="A1340" t="s">
        <v>1445</v>
      </c>
      <c r="B1340" t="s">
        <v>2582</v>
      </c>
      <c r="C1340" t="s">
        <v>37</v>
      </c>
      <c r="D1340" t="s">
        <v>26</v>
      </c>
      <c r="E1340">
        <v>2216</v>
      </c>
      <c r="F1340">
        <v>306.38</v>
      </c>
      <c r="G1340">
        <v>293.45</v>
      </c>
      <c r="H1340">
        <v>306.38</v>
      </c>
      <c r="I1340">
        <v>3767</v>
      </c>
      <c r="J1340">
        <v>45</v>
      </c>
      <c r="K1340" s="17">
        <f t="shared" si="161"/>
        <v>5650.5</v>
      </c>
      <c r="L1340" t="str">
        <f t="shared" si="162"/>
        <v>High Risk</v>
      </c>
      <c r="P1340" s="19">
        <f t="shared" si="163"/>
        <v>3435</v>
      </c>
      <c r="R1340" s="19">
        <f t="shared" si="160"/>
        <v>1052415.3</v>
      </c>
      <c r="T1340" s="19">
        <f t="shared" si="164"/>
        <v>1105426.1499999999</v>
      </c>
      <c r="U1340" s="19">
        <f t="shared" si="165"/>
        <v>1154133.46</v>
      </c>
      <c r="V1340" s="21">
        <f t="shared" si="166"/>
        <v>48707.310000000056</v>
      </c>
      <c r="W1340" s="18">
        <f t="shared" si="167"/>
        <v>4.4062020787186969E-2</v>
      </c>
    </row>
    <row r="1341" spans="1:23" x14ac:dyDescent="0.3">
      <c r="A1341" t="s">
        <v>424</v>
      </c>
      <c r="B1341" t="s">
        <v>3105</v>
      </c>
      <c r="C1341" t="s">
        <v>23</v>
      </c>
      <c r="D1341" t="s">
        <v>17</v>
      </c>
      <c r="E1341">
        <v>2218</v>
      </c>
      <c r="F1341">
        <v>180.15</v>
      </c>
      <c r="G1341">
        <v>174.58</v>
      </c>
      <c r="H1341">
        <v>180.15</v>
      </c>
      <c r="I1341">
        <v>3816</v>
      </c>
      <c r="J1341">
        <v>43</v>
      </c>
      <c r="K1341" s="17">
        <f t="shared" si="161"/>
        <v>5469.6</v>
      </c>
      <c r="L1341" t="str">
        <f t="shared" si="162"/>
        <v>High Risk</v>
      </c>
      <c r="P1341" s="19">
        <f t="shared" si="163"/>
        <v>3252</v>
      </c>
      <c r="R1341" s="19">
        <f t="shared" si="160"/>
        <v>585847.80000000005</v>
      </c>
      <c r="T1341" s="19">
        <f t="shared" si="164"/>
        <v>666197.28</v>
      </c>
      <c r="U1341" s="19">
        <f t="shared" si="165"/>
        <v>687452.4</v>
      </c>
      <c r="V1341" s="21">
        <f t="shared" si="166"/>
        <v>21255.119999999995</v>
      </c>
      <c r="W1341" s="18">
        <f t="shared" si="167"/>
        <v>3.1905143773628131E-2</v>
      </c>
    </row>
    <row r="1342" spans="1:23" x14ac:dyDescent="0.3">
      <c r="A1342" t="s">
        <v>430</v>
      </c>
      <c r="B1342" t="s">
        <v>2287</v>
      </c>
      <c r="C1342" t="s">
        <v>23</v>
      </c>
      <c r="D1342" t="s">
        <v>17</v>
      </c>
      <c r="E1342">
        <v>2220</v>
      </c>
      <c r="F1342">
        <v>127.13</v>
      </c>
      <c r="G1342">
        <v>130.07</v>
      </c>
      <c r="H1342">
        <v>127.13</v>
      </c>
      <c r="I1342">
        <v>1872</v>
      </c>
      <c r="J1342">
        <v>63</v>
      </c>
      <c r="K1342" s="17">
        <f t="shared" si="161"/>
        <v>3931.2</v>
      </c>
      <c r="L1342" t="str">
        <f t="shared" si="162"/>
        <v>High Risk</v>
      </c>
      <c r="P1342" s="19">
        <f t="shared" si="163"/>
        <v>1712</v>
      </c>
      <c r="R1342" s="19">
        <f t="shared" si="160"/>
        <v>217646.56</v>
      </c>
      <c r="T1342" s="19">
        <f t="shared" si="164"/>
        <v>243491.03999999998</v>
      </c>
      <c r="U1342" s="19">
        <f t="shared" si="165"/>
        <v>237987.36</v>
      </c>
      <c r="V1342" s="21">
        <f t="shared" si="166"/>
        <v>-5503.679999999993</v>
      </c>
      <c r="W1342" s="18">
        <f t="shared" si="167"/>
        <v>-2.2603213654186181E-2</v>
      </c>
    </row>
    <row r="1343" spans="1:23" x14ac:dyDescent="0.3">
      <c r="A1343" t="s">
        <v>218</v>
      </c>
      <c r="B1343" t="s">
        <v>1419</v>
      </c>
      <c r="C1343" t="s">
        <v>12</v>
      </c>
      <c r="D1343" t="s">
        <v>26</v>
      </c>
      <c r="E1343">
        <v>2220</v>
      </c>
      <c r="F1343">
        <v>399.33</v>
      </c>
      <c r="G1343">
        <v>383.89</v>
      </c>
      <c r="H1343">
        <v>399.33</v>
      </c>
      <c r="I1343">
        <v>717</v>
      </c>
      <c r="J1343">
        <v>75</v>
      </c>
      <c r="K1343" s="17">
        <f t="shared" si="161"/>
        <v>1792.5</v>
      </c>
      <c r="L1343" t="str">
        <f t="shared" si="162"/>
        <v>Sufficuent Stock</v>
      </c>
      <c r="P1343" s="19">
        <f t="shared" si="163"/>
        <v>0</v>
      </c>
      <c r="R1343" s="19">
        <f t="shared" si="160"/>
        <v>0</v>
      </c>
      <c r="T1343" s="19">
        <f t="shared" si="164"/>
        <v>275249.13</v>
      </c>
      <c r="U1343" s="19">
        <f t="shared" si="165"/>
        <v>286319.61</v>
      </c>
      <c r="V1343" s="21">
        <f t="shared" si="166"/>
        <v>11070.479999999981</v>
      </c>
      <c r="W1343" s="18">
        <f t="shared" si="167"/>
        <v>4.021985464586203E-2</v>
      </c>
    </row>
    <row r="1344" spans="1:23" x14ac:dyDescent="0.3">
      <c r="A1344" t="s">
        <v>1074</v>
      </c>
      <c r="B1344" t="s">
        <v>2246</v>
      </c>
      <c r="C1344" t="s">
        <v>50</v>
      </c>
      <c r="D1344" t="s">
        <v>26</v>
      </c>
      <c r="E1344">
        <v>2222</v>
      </c>
      <c r="F1344">
        <v>178.78</v>
      </c>
      <c r="G1344">
        <v>151.05000000000001</v>
      </c>
      <c r="H1344">
        <v>178.78</v>
      </c>
      <c r="I1344">
        <v>387</v>
      </c>
      <c r="J1344">
        <v>57</v>
      </c>
      <c r="K1344" s="17">
        <f t="shared" si="161"/>
        <v>735.30000000000007</v>
      </c>
      <c r="L1344" t="str">
        <f t="shared" si="162"/>
        <v>Sufficuent Stock</v>
      </c>
      <c r="P1344" s="19">
        <f t="shared" si="163"/>
        <v>0</v>
      </c>
      <c r="R1344" s="19">
        <f t="shared" si="160"/>
        <v>0</v>
      </c>
      <c r="T1344" s="19">
        <f t="shared" si="164"/>
        <v>58456.350000000006</v>
      </c>
      <c r="U1344" s="19">
        <f t="shared" si="165"/>
        <v>69187.86</v>
      </c>
      <c r="V1344" s="21">
        <f t="shared" si="166"/>
        <v>10731.509999999995</v>
      </c>
      <c r="W1344" s="18">
        <f t="shared" si="167"/>
        <v>0.18358159549817929</v>
      </c>
    </row>
    <row r="1345" spans="1:23" x14ac:dyDescent="0.3">
      <c r="A1345" t="s">
        <v>235</v>
      </c>
      <c r="B1345" t="s">
        <v>1620</v>
      </c>
      <c r="C1345" t="s">
        <v>50</v>
      </c>
      <c r="D1345" t="s">
        <v>17</v>
      </c>
      <c r="E1345">
        <v>2224</v>
      </c>
      <c r="F1345">
        <v>241.64</v>
      </c>
      <c r="G1345">
        <v>239.56</v>
      </c>
      <c r="H1345">
        <v>241.64</v>
      </c>
      <c r="I1345">
        <v>648</v>
      </c>
      <c r="J1345">
        <v>71</v>
      </c>
      <c r="K1345" s="17">
        <f t="shared" si="161"/>
        <v>1533.6000000000001</v>
      </c>
      <c r="L1345" t="str">
        <f t="shared" si="162"/>
        <v>Sufficuent Stock</v>
      </c>
      <c r="P1345" s="19">
        <f t="shared" si="163"/>
        <v>0</v>
      </c>
      <c r="R1345" s="19">
        <f t="shared" si="160"/>
        <v>0</v>
      </c>
      <c r="T1345" s="19">
        <f t="shared" si="164"/>
        <v>155234.88</v>
      </c>
      <c r="U1345" s="19">
        <f t="shared" si="165"/>
        <v>156582.72</v>
      </c>
      <c r="V1345" s="21">
        <f t="shared" si="166"/>
        <v>1347.8399999999965</v>
      </c>
      <c r="W1345" s="18">
        <f t="shared" si="167"/>
        <v>8.6825847386875713E-3</v>
      </c>
    </row>
    <row r="1346" spans="1:23" x14ac:dyDescent="0.3">
      <c r="A1346" t="s">
        <v>323</v>
      </c>
      <c r="B1346" t="s">
        <v>2327</v>
      </c>
      <c r="C1346" t="s">
        <v>16</v>
      </c>
      <c r="D1346" t="s">
        <v>69</v>
      </c>
      <c r="E1346">
        <v>2226</v>
      </c>
      <c r="F1346">
        <v>376.77</v>
      </c>
      <c r="G1346">
        <v>336.82</v>
      </c>
      <c r="H1346">
        <v>376.77</v>
      </c>
      <c r="I1346">
        <v>1242</v>
      </c>
      <c r="J1346">
        <v>75</v>
      </c>
      <c r="K1346" s="17">
        <f t="shared" si="161"/>
        <v>3105</v>
      </c>
      <c r="L1346" t="str">
        <f t="shared" si="162"/>
        <v>High Risk</v>
      </c>
      <c r="P1346" s="19">
        <f t="shared" si="163"/>
        <v>879</v>
      </c>
      <c r="R1346" s="19">
        <f t="shared" ref="R1346:R1409" si="168">P1346*H1346</f>
        <v>331180.82999999996</v>
      </c>
      <c r="T1346" s="19">
        <f t="shared" si="164"/>
        <v>418330.44</v>
      </c>
      <c r="U1346" s="19">
        <f t="shared" si="165"/>
        <v>467948.33999999997</v>
      </c>
      <c r="V1346" s="21">
        <f t="shared" si="166"/>
        <v>49617.899999999965</v>
      </c>
      <c r="W1346" s="18">
        <f t="shared" si="167"/>
        <v>0.11860934623834681</v>
      </c>
    </row>
    <row r="1347" spans="1:23" x14ac:dyDescent="0.3">
      <c r="A1347" t="s">
        <v>594</v>
      </c>
      <c r="B1347" t="s">
        <v>1187</v>
      </c>
      <c r="C1347" t="s">
        <v>12</v>
      </c>
      <c r="D1347" t="s">
        <v>20</v>
      </c>
      <c r="E1347">
        <v>2226</v>
      </c>
      <c r="F1347">
        <v>331.94</v>
      </c>
      <c r="G1347">
        <v>319.24</v>
      </c>
      <c r="H1347">
        <v>331.94</v>
      </c>
      <c r="I1347">
        <v>2303</v>
      </c>
      <c r="J1347">
        <v>14</v>
      </c>
      <c r="K1347" s="17">
        <f t="shared" ref="K1347:K1410" si="169">(I1347/30)*J1347</f>
        <v>1074.7333333333333</v>
      </c>
      <c r="L1347" t="str">
        <f t="shared" ref="L1347:L1410" si="170">IF(E1347&lt;K1347,"High Risk","Sufficuent Stock")</f>
        <v>Sufficuent Stock</v>
      </c>
      <c r="P1347" s="19">
        <f t="shared" ref="P1347:P1410" si="171">ROUNDUP(MAX(0,K1347-E1347),0)</f>
        <v>0</v>
      </c>
      <c r="R1347" s="19">
        <f t="shared" si="168"/>
        <v>0</v>
      </c>
      <c r="T1347" s="19">
        <f t="shared" ref="T1347:T1410" si="172">I1347*G1347</f>
        <v>735209.72</v>
      </c>
      <c r="U1347" s="19">
        <f t="shared" ref="U1347:U1410" si="173">I1347*H1347</f>
        <v>764457.82</v>
      </c>
      <c r="V1347" s="21">
        <f t="shared" ref="V1347:V1410" si="174">U1347-T1347</f>
        <v>29248.099999999977</v>
      </c>
      <c r="W1347" s="18">
        <f t="shared" ref="W1347:W1410" si="175">IFERROR(V1347/T1347,0)</f>
        <v>3.9781982207743358E-2</v>
      </c>
    </row>
    <row r="1348" spans="1:23" x14ac:dyDescent="0.3">
      <c r="A1348" t="s">
        <v>14</v>
      </c>
      <c r="B1348" t="s">
        <v>15</v>
      </c>
      <c r="C1348" t="s">
        <v>16</v>
      </c>
      <c r="D1348" t="s">
        <v>17</v>
      </c>
      <c r="E1348">
        <v>2226</v>
      </c>
      <c r="F1348">
        <v>267.23</v>
      </c>
      <c r="G1348">
        <v>275.88</v>
      </c>
      <c r="H1348">
        <v>267.23</v>
      </c>
      <c r="I1348">
        <v>1640</v>
      </c>
      <c r="J1348">
        <v>48</v>
      </c>
      <c r="K1348" s="17">
        <f t="shared" si="169"/>
        <v>2624</v>
      </c>
      <c r="L1348" t="str">
        <f t="shared" si="170"/>
        <v>High Risk</v>
      </c>
      <c r="P1348" s="19">
        <f t="shared" si="171"/>
        <v>398</v>
      </c>
      <c r="R1348" s="19">
        <f t="shared" si="168"/>
        <v>106357.54000000001</v>
      </c>
      <c r="T1348" s="19">
        <f t="shared" si="172"/>
        <v>452443.2</v>
      </c>
      <c r="U1348" s="19">
        <f t="shared" si="173"/>
        <v>438257.2</v>
      </c>
      <c r="V1348" s="21">
        <f t="shared" si="174"/>
        <v>-14186</v>
      </c>
      <c r="W1348" s="18">
        <f t="shared" si="175"/>
        <v>-3.1354211976221548E-2</v>
      </c>
    </row>
    <row r="1349" spans="1:23" x14ac:dyDescent="0.3">
      <c r="A1349" t="s">
        <v>132</v>
      </c>
      <c r="B1349" t="s">
        <v>1259</v>
      </c>
      <c r="C1349" t="s">
        <v>23</v>
      </c>
      <c r="D1349" t="s">
        <v>20</v>
      </c>
      <c r="E1349">
        <v>2229</v>
      </c>
      <c r="F1349">
        <v>309.75</v>
      </c>
      <c r="G1349">
        <v>300.60000000000002</v>
      </c>
      <c r="H1349">
        <v>309.75</v>
      </c>
      <c r="I1349">
        <v>2171</v>
      </c>
      <c r="J1349">
        <v>73</v>
      </c>
      <c r="K1349" s="17">
        <f t="shared" si="169"/>
        <v>5282.7666666666664</v>
      </c>
      <c r="L1349" t="str">
        <f t="shared" si="170"/>
        <v>High Risk</v>
      </c>
      <c r="P1349" s="19">
        <f t="shared" si="171"/>
        <v>3054</v>
      </c>
      <c r="R1349" s="19">
        <f t="shared" si="168"/>
        <v>945976.5</v>
      </c>
      <c r="T1349" s="19">
        <f t="shared" si="172"/>
        <v>652602.60000000009</v>
      </c>
      <c r="U1349" s="19">
        <f t="shared" si="173"/>
        <v>672467.25</v>
      </c>
      <c r="V1349" s="21">
        <f t="shared" si="174"/>
        <v>19864.649999999907</v>
      </c>
      <c r="W1349" s="18">
        <f t="shared" si="175"/>
        <v>3.043912175648688E-2</v>
      </c>
    </row>
    <row r="1350" spans="1:23" x14ac:dyDescent="0.3">
      <c r="A1350" t="s">
        <v>98</v>
      </c>
      <c r="B1350" t="s">
        <v>1780</v>
      </c>
      <c r="C1350" t="s">
        <v>23</v>
      </c>
      <c r="D1350" t="s">
        <v>20</v>
      </c>
      <c r="E1350">
        <v>2230</v>
      </c>
      <c r="F1350">
        <v>417.24</v>
      </c>
      <c r="G1350">
        <v>419.95</v>
      </c>
      <c r="H1350">
        <v>417.24</v>
      </c>
      <c r="I1350">
        <v>1634</v>
      </c>
      <c r="J1350">
        <v>47</v>
      </c>
      <c r="K1350" s="17">
        <f t="shared" si="169"/>
        <v>2559.9333333333334</v>
      </c>
      <c r="L1350" t="str">
        <f t="shared" si="170"/>
        <v>High Risk</v>
      </c>
      <c r="P1350" s="19">
        <f t="shared" si="171"/>
        <v>330</v>
      </c>
      <c r="R1350" s="19">
        <f t="shared" si="168"/>
        <v>137689.20000000001</v>
      </c>
      <c r="T1350" s="19">
        <f t="shared" si="172"/>
        <v>686198.29999999993</v>
      </c>
      <c r="U1350" s="19">
        <f t="shared" si="173"/>
        <v>681770.16</v>
      </c>
      <c r="V1350" s="21">
        <f t="shared" si="174"/>
        <v>-4428.1399999998976</v>
      </c>
      <c r="W1350" s="18">
        <f t="shared" si="175"/>
        <v>-6.4531491844265687E-3</v>
      </c>
    </row>
    <row r="1351" spans="1:23" x14ac:dyDescent="0.3">
      <c r="A1351" t="s">
        <v>523</v>
      </c>
      <c r="B1351" t="s">
        <v>1386</v>
      </c>
      <c r="C1351" t="s">
        <v>50</v>
      </c>
      <c r="D1351" t="s">
        <v>26</v>
      </c>
      <c r="E1351">
        <v>2232</v>
      </c>
      <c r="F1351">
        <v>77.89</v>
      </c>
      <c r="G1351">
        <v>65.37</v>
      </c>
      <c r="H1351">
        <v>77.89</v>
      </c>
      <c r="I1351">
        <v>3224</v>
      </c>
      <c r="J1351">
        <v>83</v>
      </c>
      <c r="K1351" s="17">
        <f t="shared" si="169"/>
        <v>8919.7333333333336</v>
      </c>
      <c r="L1351" t="str">
        <f t="shared" si="170"/>
        <v>High Risk</v>
      </c>
      <c r="P1351" s="19">
        <f t="shared" si="171"/>
        <v>6688</v>
      </c>
      <c r="R1351" s="19">
        <f t="shared" si="168"/>
        <v>520928.32</v>
      </c>
      <c r="T1351" s="19">
        <f t="shared" si="172"/>
        <v>210752.88</v>
      </c>
      <c r="U1351" s="19">
        <f t="shared" si="173"/>
        <v>251117.36000000002</v>
      </c>
      <c r="V1351" s="21">
        <f t="shared" si="174"/>
        <v>40364.48000000001</v>
      </c>
      <c r="W1351" s="18">
        <f t="shared" si="175"/>
        <v>0.19152516444852383</v>
      </c>
    </row>
    <row r="1352" spans="1:23" x14ac:dyDescent="0.3">
      <c r="A1352" t="s">
        <v>235</v>
      </c>
      <c r="B1352" t="s">
        <v>2573</v>
      </c>
      <c r="C1352" t="s">
        <v>16</v>
      </c>
      <c r="D1352" t="s">
        <v>20</v>
      </c>
      <c r="E1352">
        <v>2233</v>
      </c>
      <c r="F1352">
        <v>420.43</v>
      </c>
      <c r="G1352">
        <v>422.43</v>
      </c>
      <c r="H1352">
        <v>420.43</v>
      </c>
      <c r="I1352">
        <v>167</v>
      </c>
      <c r="J1352">
        <v>10</v>
      </c>
      <c r="K1352" s="17">
        <f t="shared" si="169"/>
        <v>55.666666666666664</v>
      </c>
      <c r="L1352" t="str">
        <f t="shared" si="170"/>
        <v>Sufficuent Stock</v>
      </c>
      <c r="P1352" s="19">
        <f t="shared" si="171"/>
        <v>0</v>
      </c>
      <c r="R1352" s="19">
        <f t="shared" si="168"/>
        <v>0</v>
      </c>
      <c r="T1352" s="19">
        <f t="shared" si="172"/>
        <v>70545.81</v>
      </c>
      <c r="U1352" s="19">
        <f t="shared" si="173"/>
        <v>70211.81</v>
      </c>
      <c r="V1352" s="21">
        <f t="shared" si="174"/>
        <v>-334</v>
      </c>
      <c r="W1352" s="18">
        <f t="shared" si="175"/>
        <v>-4.7345122268778262E-3</v>
      </c>
    </row>
    <row r="1353" spans="1:23" x14ac:dyDescent="0.3">
      <c r="A1353" t="s">
        <v>46</v>
      </c>
      <c r="B1353" t="s">
        <v>1267</v>
      </c>
      <c r="C1353" t="s">
        <v>16</v>
      </c>
      <c r="D1353" t="s">
        <v>17</v>
      </c>
      <c r="E1353">
        <v>2233</v>
      </c>
      <c r="F1353">
        <v>125.68</v>
      </c>
      <c r="G1353">
        <v>139.08000000000001</v>
      </c>
      <c r="H1353">
        <v>125.68</v>
      </c>
      <c r="I1353">
        <v>1120</v>
      </c>
      <c r="J1353">
        <v>42</v>
      </c>
      <c r="K1353" s="17">
        <f t="shared" si="169"/>
        <v>1568</v>
      </c>
      <c r="L1353" t="str">
        <f t="shared" si="170"/>
        <v>Sufficuent Stock</v>
      </c>
      <c r="P1353" s="19">
        <f t="shared" si="171"/>
        <v>0</v>
      </c>
      <c r="R1353" s="19">
        <f t="shared" si="168"/>
        <v>0</v>
      </c>
      <c r="T1353" s="19">
        <f t="shared" si="172"/>
        <v>155769.60000000001</v>
      </c>
      <c r="U1353" s="19">
        <f t="shared" si="173"/>
        <v>140761.60000000001</v>
      </c>
      <c r="V1353" s="21">
        <f t="shared" si="174"/>
        <v>-15008</v>
      </c>
      <c r="W1353" s="18">
        <f t="shared" si="175"/>
        <v>-9.634742594190393E-2</v>
      </c>
    </row>
    <row r="1354" spans="1:23" x14ac:dyDescent="0.3">
      <c r="A1354" t="s">
        <v>464</v>
      </c>
      <c r="B1354" t="s">
        <v>926</v>
      </c>
      <c r="C1354" t="s">
        <v>37</v>
      </c>
      <c r="D1354" t="s">
        <v>69</v>
      </c>
      <c r="E1354">
        <v>2233</v>
      </c>
      <c r="F1354">
        <v>548.79999999999995</v>
      </c>
      <c r="G1354">
        <v>463.58</v>
      </c>
      <c r="H1354">
        <v>548.79999999999995</v>
      </c>
      <c r="I1354">
        <v>450</v>
      </c>
      <c r="J1354">
        <v>16</v>
      </c>
      <c r="K1354" s="17">
        <f t="shared" si="169"/>
        <v>240</v>
      </c>
      <c r="L1354" t="str">
        <f t="shared" si="170"/>
        <v>Sufficuent Stock</v>
      </c>
      <c r="P1354" s="19">
        <f t="shared" si="171"/>
        <v>0</v>
      </c>
      <c r="R1354" s="19">
        <f t="shared" si="168"/>
        <v>0</v>
      </c>
      <c r="T1354" s="19">
        <f t="shared" si="172"/>
        <v>208611</v>
      </c>
      <c r="U1354" s="19">
        <f t="shared" si="173"/>
        <v>246959.99999999997</v>
      </c>
      <c r="V1354" s="21">
        <f t="shared" si="174"/>
        <v>38348.999999999971</v>
      </c>
      <c r="W1354" s="18">
        <f t="shared" si="175"/>
        <v>0.18383019112127344</v>
      </c>
    </row>
    <row r="1355" spans="1:23" x14ac:dyDescent="0.3">
      <c r="A1355" t="s">
        <v>872</v>
      </c>
      <c r="B1355" t="s">
        <v>2232</v>
      </c>
      <c r="C1355" t="s">
        <v>37</v>
      </c>
      <c r="D1355" t="s">
        <v>20</v>
      </c>
      <c r="E1355">
        <v>2234</v>
      </c>
      <c r="F1355">
        <v>345.87</v>
      </c>
      <c r="G1355">
        <v>357.05</v>
      </c>
      <c r="H1355">
        <v>345.87</v>
      </c>
      <c r="I1355">
        <v>713</v>
      </c>
      <c r="J1355">
        <v>73</v>
      </c>
      <c r="K1355" s="17">
        <f t="shared" si="169"/>
        <v>1734.9666666666667</v>
      </c>
      <c r="L1355" t="str">
        <f t="shared" si="170"/>
        <v>Sufficuent Stock</v>
      </c>
      <c r="P1355" s="19">
        <f t="shared" si="171"/>
        <v>0</v>
      </c>
      <c r="R1355" s="19">
        <f t="shared" si="168"/>
        <v>0</v>
      </c>
      <c r="T1355" s="19">
        <f t="shared" si="172"/>
        <v>254576.65</v>
      </c>
      <c r="U1355" s="19">
        <f t="shared" si="173"/>
        <v>246605.31</v>
      </c>
      <c r="V1355" s="21">
        <f t="shared" si="174"/>
        <v>-7971.3399999999965</v>
      </c>
      <c r="W1355" s="18">
        <f t="shared" si="175"/>
        <v>-3.131214115670073E-2</v>
      </c>
    </row>
    <row r="1356" spans="1:23" x14ac:dyDescent="0.3">
      <c r="A1356" t="s">
        <v>380</v>
      </c>
      <c r="B1356" t="s">
        <v>1469</v>
      </c>
      <c r="C1356" t="s">
        <v>50</v>
      </c>
      <c r="D1356" t="s">
        <v>69</v>
      </c>
      <c r="E1356">
        <v>2234</v>
      </c>
      <c r="F1356">
        <v>508.73</v>
      </c>
      <c r="G1356">
        <v>461.47</v>
      </c>
      <c r="H1356">
        <v>508.73</v>
      </c>
      <c r="I1356">
        <v>2510</v>
      </c>
      <c r="J1356">
        <v>69</v>
      </c>
      <c r="K1356" s="17">
        <f t="shared" si="169"/>
        <v>5773</v>
      </c>
      <c r="L1356" t="str">
        <f t="shared" si="170"/>
        <v>High Risk</v>
      </c>
      <c r="P1356" s="19">
        <f t="shared" si="171"/>
        <v>3539</v>
      </c>
      <c r="R1356" s="19">
        <f t="shared" si="168"/>
        <v>1800395.47</v>
      </c>
      <c r="T1356" s="19">
        <f t="shared" si="172"/>
        <v>1158289.7</v>
      </c>
      <c r="U1356" s="19">
        <f t="shared" si="173"/>
        <v>1276912.3</v>
      </c>
      <c r="V1356" s="21">
        <f t="shared" si="174"/>
        <v>118622.60000000009</v>
      </c>
      <c r="W1356" s="18">
        <f t="shared" si="175"/>
        <v>0.10241185775890099</v>
      </c>
    </row>
    <row r="1357" spans="1:23" x14ac:dyDescent="0.3">
      <c r="A1357" t="s">
        <v>1281</v>
      </c>
      <c r="B1357" t="s">
        <v>3121</v>
      </c>
      <c r="C1357" t="s">
        <v>50</v>
      </c>
      <c r="D1357" t="s">
        <v>26</v>
      </c>
      <c r="E1357">
        <v>2234</v>
      </c>
      <c r="F1357">
        <v>27.76</v>
      </c>
      <c r="G1357">
        <v>28.58</v>
      </c>
      <c r="H1357">
        <v>27.76</v>
      </c>
      <c r="I1357">
        <v>2730</v>
      </c>
      <c r="J1357">
        <v>71</v>
      </c>
      <c r="K1357" s="17">
        <f t="shared" si="169"/>
        <v>6461</v>
      </c>
      <c r="L1357" t="str">
        <f t="shared" si="170"/>
        <v>High Risk</v>
      </c>
      <c r="P1357" s="19">
        <f t="shared" si="171"/>
        <v>4227</v>
      </c>
      <c r="R1357" s="19">
        <f t="shared" si="168"/>
        <v>117341.52</v>
      </c>
      <c r="T1357" s="19">
        <f t="shared" si="172"/>
        <v>78023.399999999994</v>
      </c>
      <c r="U1357" s="19">
        <f t="shared" si="173"/>
        <v>75784.800000000003</v>
      </c>
      <c r="V1357" s="21">
        <f t="shared" si="174"/>
        <v>-2238.5999999999913</v>
      </c>
      <c r="W1357" s="18">
        <f t="shared" si="175"/>
        <v>-2.8691392582225222E-2</v>
      </c>
    </row>
    <row r="1358" spans="1:23" x14ac:dyDescent="0.3">
      <c r="A1358" t="s">
        <v>220</v>
      </c>
      <c r="B1358" t="s">
        <v>221</v>
      </c>
      <c r="C1358" t="s">
        <v>37</v>
      </c>
      <c r="D1358" t="s">
        <v>69</v>
      </c>
      <c r="E1358">
        <v>2237</v>
      </c>
      <c r="F1358">
        <v>236.33</v>
      </c>
      <c r="G1358">
        <v>225.12</v>
      </c>
      <c r="H1358">
        <v>236.33</v>
      </c>
      <c r="I1358">
        <v>531</v>
      </c>
      <c r="J1358">
        <v>6</v>
      </c>
      <c r="K1358" s="17">
        <f t="shared" si="169"/>
        <v>106.19999999999999</v>
      </c>
      <c r="L1358" t="str">
        <f t="shared" si="170"/>
        <v>Sufficuent Stock</v>
      </c>
      <c r="P1358" s="19">
        <f t="shared" si="171"/>
        <v>0</v>
      </c>
      <c r="R1358" s="19">
        <f t="shared" si="168"/>
        <v>0</v>
      </c>
      <c r="T1358" s="19">
        <f t="shared" si="172"/>
        <v>119538.72</v>
      </c>
      <c r="U1358" s="19">
        <f t="shared" si="173"/>
        <v>125491.23000000001</v>
      </c>
      <c r="V1358" s="21">
        <f t="shared" si="174"/>
        <v>5952.5100000000093</v>
      </c>
      <c r="W1358" s="18">
        <f t="shared" si="175"/>
        <v>4.9795664534470582E-2</v>
      </c>
    </row>
    <row r="1359" spans="1:23" x14ac:dyDescent="0.3">
      <c r="A1359" t="s">
        <v>258</v>
      </c>
      <c r="B1359" t="s">
        <v>2421</v>
      </c>
      <c r="C1359" t="s">
        <v>37</v>
      </c>
      <c r="D1359" t="s">
        <v>13</v>
      </c>
      <c r="E1359">
        <v>2237</v>
      </c>
      <c r="F1359">
        <v>42.35</v>
      </c>
      <c r="G1359">
        <v>37.19</v>
      </c>
      <c r="H1359">
        <v>42.35</v>
      </c>
      <c r="I1359">
        <v>1063</v>
      </c>
      <c r="J1359">
        <v>33</v>
      </c>
      <c r="K1359" s="17">
        <f t="shared" si="169"/>
        <v>1169.3</v>
      </c>
      <c r="L1359" t="str">
        <f t="shared" si="170"/>
        <v>Sufficuent Stock</v>
      </c>
      <c r="P1359" s="19">
        <f t="shared" si="171"/>
        <v>0</v>
      </c>
      <c r="R1359" s="19">
        <f t="shared" si="168"/>
        <v>0</v>
      </c>
      <c r="T1359" s="19">
        <f t="shared" si="172"/>
        <v>39532.97</v>
      </c>
      <c r="U1359" s="19">
        <f t="shared" si="173"/>
        <v>45018.05</v>
      </c>
      <c r="V1359" s="21">
        <f t="shared" si="174"/>
        <v>5485.0800000000017</v>
      </c>
      <c r="W1359" s="18">
        <f t="shared" si="175"/>
        <v>0.13874697499327782</v>
      </c>
    </row>
    <row r="1360" spans="1:23" x14ac:dyDescent="0.3">
      <c r="A1360" t="s">
        <v>129</v>
      </c>
      <c r="B1360" t="s">
        <v>1886</v>
      </c>
      <c r="C1360" t="s">
        <v>37</v>
      </c>
      <c r="D1360" t="s">
        <v>17</v>
      </c>
      <c r="E1360">
        <v>2238</v>
      </c>
      <c r="F1360">
        <v>23.35</v>
      </c>
      <c r="G1360">
        <v>24.48</v>
      </c>
      <c r="H1360">
        <v>23.35</v>
      </c>
      <c r="I1360">
        <v>91</v>
      </c>
      <c r="J1360">
        <v>13</v>
      </c>
      <c r="K1360" s="17">
        <f t="shared" si="169"/>
        <v>39.43333333333333</v>
      </c>
      <c r="L1360" t="str">
        <f t="shared" si="170"/>
        <v>Sufficuent Stock</v>
      </c>
      <c r="P1360" s="19">
        <f t="shared" si="171"/>
        <v>0</v>
      </c>
      <c r="R1360" s="19">
        <f t="shared" si="168"/>
        <v>0</v>
      </c>
      <c r="T1360" s="19">
        <f t="shared" si="172"/>
        <v>2227.6799999999998</v>
      </c>
      <c r="U1360" s="19">
        <f t="shared" si="173"/>
        <v>2124.85</v>
      </c>
      <c r="V1360" s="21">
        <f t="shared" si="174"/>
        <v>-102.82999999999993</v>
      </c>
      <c r="W1360" s="18">
        <f t="shared" si="175"/>
        <v>-4.6160130718954216E-2</v>
      </c>
    </row>
    <row r="1361" spans="1:23" x14ac:dyDescent="0.3">
      <c r="A1361" t="s">
        <v>411</v>
      </c>
      <c r="B1361" t="s">
        <v>555</v>
      </c>
      <c r="C1361" t="s">
        <v>16</v>
      </c>
      <c r="D1361" t="s">
        <v>17</v>
      </c>
      <c r="E1361">
        <v>2241</v>
      </c>
      <c r="F1361">
        <v>339.66</v>
      </c>
      <c r="G1361">
        <v>340.25</v>
      </c>
      <c r="H1361">
        <v>339.66</v>
      </c>
      <c r="I1361">
        <v>2089</v>
      </c>
      <c r="J1361">
        <v>74</v>
      </c>
      <c r="K1361" s="17">
        <f t="shared" si="169"/>
        <v>5152.8666666666668</v>
      </c>
      <c r="L1361" t="str">
        <f t="shared" si="170"/>
        <v>High Risk</v>
      </c>
      <c r="P1361" s="19">
        <f t="shared" si="171"/>
        <v>2912</v>
      </c>
      <c r="R1361" s="19">
        <f t="shared" si="168"/>
        <v>989089.92</v>
      </c>
      <c r="T1361" s="19">
        <f t="shared" si="172"/>
        <v>710782.25</v>
      </c>
      <c r="U1361" s="19">
        <f t="shared" si="173"/>
        <v>709549.74000000011</v>
      </c>
      <c r="V1361" s="21">
        <f t="shared" si="174"/>
        <v>-1232.5099999998929</v>
      </c>
      <c r="W1361" s="18">
        <f t="shared" si="175"/>
        <v>-1.7340191036001433E-3</v>
      </c>
    </row>
    <row r="1362" spans="1:23" x14ac:dyDescent="0.3">
      <c r="A1362" t="s">
        <v>979</v>
      </c>
      <c r="B1362" t="s">
        <v>3261</v>
      </c>
      <c r="C1362" t="s">
        <v>50</v>
      </c>
      <c r="D1362" t="s">
        <v>69</v>
      </c>
      <c r="E1362">
        <v>2242</v>
      </c>
      <c r="F1362">
        <v>386.62</v>
      </c>
      <c r="G1362">
        <v>335.43</v>
      </c>
      <c r="H1362">
        <v>386.62</v>
      </c>
      <c r="I1362">
        <v>99</v>
      </c>
      <c r="J1362">
        <v>43</v>
      </c>
      <c r="K1362" s="17">
        <f t="shared" si="169"/>
        <v>141.9</v>
      </c>
      <c r="L1362" t="str">
        <f t="shared" si="170"/>
        <v>Sufficuent Stock</v>
      </c>
      <c r="P1362" s="19">
        <f t="shared" si="171"/>
        <v>0</v>
      </c>
      <c r="R1362" s="19">
        <f t="shared" si="168"/>
        <v>0</v>
      </c>
      <c r="T1362" s="19">
        <f t="shared" si="172"/>
        <v>33207.57</v>
      </c>
      <c r="U1362" s="19">
        <f t="shared" si="173"/>
        <v>38275.379999999997</v>
      </c>
      <c r="V1362" s="21">
        <f t="shared" si="174"/>
        <v>5067.8099999999977</v>
      </c>
      <c r="W1362" s="18">
        <f t="shared" si="175"/>
        <v>0.15261008258056816</v>
      </c>
    </row>
    <row r="1363" spans="1:23" x14ac:dyDescent="0.3">
      <c r="A1363" t="s">
        <v>1163</v>
      </c>
      <c r="B1363" t="s">
        <v>2518</v>
      </c>
      <c r="C1363" t="s">
        <v>12</v>
      </c>
      <c r="D1363" t="s">
        <v>17</v>
      </c>
      <c r="E1363">
        <v>2242</v>
      </c>
      <c r="F1363">
        <v>448.79</v>
      </c>
      <c r="G1363">
        <v>480.83</v>
      </c>
      <c r="H1363">
        <v>448.79</v>
      </c>
      <c r="I1363">
        <v>1033</v>
      </c>
      <c r="J1363">
        <v>87</v>
      </c>
      <c r="K1363" s="17">
        <f t="shared" si="169"/>
        <v>2995.7</v>
      </c>
      <c r="L1363" t="str">
        <f t="shared" si="170"/>
        <v>High Risk</v>
      </c>
      <c r="P1363" s="19">
        <f t="shared" si="171"/>
        <v>754</v>
      </c>
      <c r="R1363" s="19">
        <f t="shared" si="168"/>
        <v>338387.66000000003</v>
      </c>
      <c r="T1363" s="19">
        <f t="shared" si="172"/>
        <v>496697.38999999996</v>
      </c>
      <c r="U1363" s="19">
        <f t="shared" si="173"/>
        <v>463600.07</v>
      </c>
      <c r="V1363" s="21">
        <f t="shared" si="174"/>
        <v>-33097.319999999949</v>
      </c>
      <c r="W1363" s="18">
        <f t="shared" si="175"/>
        <v>-6.6634777364141071E-2</v>
      </c>
    </row>
    <row r="1364" spans="1:23" x14ac:dyDescent="0.3">
      <c r="A1364" t="s">
        <v>376</v>
      </c>
      <c r="B1364" t="s">
        <v>765</v>
      </c>
      <c r="C1364" t="s">
        <v>37</v>
      </c>
      <c r="D1364" t="s">
        <v>13</v>
      </c>
      <c r="E1364">
        <v>2245</v>
      </c>
      <c r="F1364">
        <v>277.58</v>
      </c>
      <c r="G1364">
        <v>292.32</v>
      </c>
      <c r="H1364">
        <v>277.58</v>
      </c>
      <c r="I1364">
        <v>2333</v>
      </c>
      <c r="J1364">
        <v>28</v>
      </c>
      <c r="K1364" s="17">
        <f t="shared" si="169"/>
        <v>2177.4666666666667</v>
      </c>
      <c r="L1364" t="str">
        <f t="shared" si="170"/>
        <v>Sufficuent Stock</v>
      </c>
      <c r="P1364" s="19">
        <f t="shared" si="171"/>
        <v>0</v>
      </c>
      <c r="R1364" s="19">
        <f t="shared" si="168"/>
        <v>0</v>
      </c>
      <c r="T1364" s="19">
        <f t="shared" si="172"/>
        <v>681982.55999999994</v>
      </c>
      <c r="U1364" s="19">
        <f t="shared" si="173"/>
        <v>647594.14</v>
      </c>
      <c r="V1364" s="21">
        <f t="shared" si="174"/>
        <v>-34388.419999999925</v>
      </c>
      <c r="W1364" s="18">
        <f t="shared" si="175"/>
        <v>-5.0424192665571868E-2</v>
      </c>
    </row>
    <row r="1365" spans="1:23" x14ac:dyDescent="0.3">
      <c r="A1365" t="s">
        <v>1076</v>
      </c>
      <c r="B1365" t="s">
        <v>1077</v>
      </c>
      <c r="C1365" t="s">
        <v>50</v>
      </c>
      <c r="D1365" t="s">
        <v>26</v>
      </c>
      <c r="E1365">
        <v>2245</v>
      </c>
      <c r="F1365">
        <v>312.48</v>
      </c>
      <c r="G1365">
        <v>316.23</v>
      </c>
      <c r="H1365">
        <v>312.48</v>
      </c>
      <c r="I1365">
        <v>1974</v>
      </c>
      <c r="J1365">
        <v>80</v>
      </c>
      <c r="K1365" s="17">
        <f t="shared" si="169"/>
        <v>5264</v>
      </c>
      <c r="L1365" t="str">
        <f t="shared" si="170"/>
        <v>High Risk</v>
      </c>
      <c r="P1365" s="19">
        <f t="shared" si="171"/>
        <v>3019</v>
      </c>
      <c r="R1365" s="19">
        <f t="shared" si="168"/>
        <v>943377.12000000011</v>
      </c>
      <c r="T1365" s="19">
        <f t="shared" si="172"/>
        <v>624238.02</v>
      </c>
      <c r="U1365" s="19">
        <f t="shared" si="173"/>
        <v>616835.52</v>
      </c>
      <c r="V1365" s="21">
        <f t="shared" si="174"/>
        <v>-7402.5</v>
      </c>
      <c r="W1365" s="18">
        <f t="shared" si="175"/>
        <v>-1.1858457451854662E-2</v>
      </c>
    </row>
    <row r="1366" spans="1:23" x14ac:dyDescent="0.3">
      <c r="A1366" t="s">
        <v>320</v>
      </c>
      <c r="B1366" t="s">
        <v>1225</v>
      </c>
      <c r="C1366" t="s">
        <v>12</v>
      </c>
      <c r="D1366" t="s">
        <v>26</v>
      </c>
      <c r="E1366">
        <v>2246</v>
      </c>
      <c r="F1366">
        <v>418.66</v>
      </c>
      <c r="G1366">
        <v>447.62</v>
      </c>
      <c r="H1366">
        <v>418.66</v>
      </c>
      <c r="I1366">
        <v>102</v>
      </c>
      <c r="J1366">
        <v>84</v>
      </c>
      <c r="K1366" s="17">
        <f t="shared" si="169"/>
        <v>285.59999999999997</v>
      </c>
      <c r="L1366" t="str">
        <f t="shared" si="170"/>
        <v>Sufficuent Stock</v>
      </c>
      <c r="P1366" s="19">
        <f t="shared" si="171"/>
        <v>0</v>
      </c>
      <c r="R1366" s="19">
        <f t="shared" si="168"/>
        <v>0</v>
      </c>
      <c r="T1366" s="19">
        <f t="shared" si="172"/>
        <v>45657.24</v>
      </c>
      <c r="U1366" s="19">
        <f t="shared" si="173"/>
        <v>42703.32</v>
      </c>
      <c r="V1366" s="21">
        <f t="shared" si="174"/>
        <v>-2953.9199999999983</v>
      </c>
      <c r="W1366" s="18">
        <f t="shared" si="175"/>
        <v>-6.4697734685670846E-2</v>
      </c>
    </row>
    <row r="1367" spans="1:23" x14ac:dyDescent="0.3">
      <c r="A1367" t="s">
        <v>113</v>
      </c>
      <c r="B1367" t="s">
        <v>285</v>
      </c>
      <c r="C1367" t="s">
        <v>12</v>
      </c>
      <c r="D1367" t="s">
        <v>20</v>
      </c>
      <c r="E1367">
        <v>2247</v>
      </c>
      <c r="F1367">
        <v>366.79</v>
      </c>
      <c r="G1367">
        <v>307.99</v>
      </c>
      <c r="H1367">
        <v>366.79</v>
      </c>
      <c r="I1367">
        <v>1819</v>
      </c>
      <c r="J1367">
        <v>14</v>
      </c>
      <c r="K1367" s="17">
        <f t="shared" si="169"/>
        <v>848.86666666666667</v>
      </c>
      <c r="L1367" t="str">
        <f t="shared" si="170"/>
        <v>Sufficuent Stock</v>
      </c>
      <c r="P1367" s="19">
        <f t="shared" si="171"/>
        <v>0</v>
      </c>
      <c r="R1367" s="19">
        <f t="shared" si="168"/>
        <v>0</v>
      </c>
      <c r="T1367" s="19">
        <f t="shared" si="172"/>
        <v>560233.81000000006</v>
      </c>
      <c r="U1367" s="19">
        <f t="shared" si="173"/>
        <v>667191.01</v>
      </c>
      <c r="V1367" s="21">
        <f t="shared" si="174"/>
        <v>106957.19999999995</v>
      </c>
      <c r="W1367" s="18">
        <f t="shared" si="175"/>
        <v>0.19091528945744982</v>
      </c>
    </row>
    <row r="1368" spans="1:23" x14ac:dyDescent="0.3">
      <c r="A1368" t="s">
        <v>177</v>
      </c>
      <c r="B1368" t="s">
        <v>466</v>
      </c>
      <c r="C1368" t="s">
        <v>37</v>
      </c>
      <c r="D1368" t="s">
        <v>26</v>
      </c>
      <c r="E1368">
        <v>2248</v>
      </c>
      <c r="F1368">
        <v>213.66</v>
      </c>
      <c r="G1368">
        <v>185.11</v>
      </c>
      <c r="H1368">
        <v>213.66</v>
      </c>
      <c r="I1368">
        <v>874</v>
      </c>
      <c r="J1368">
        <v>39</v>
      </c>
      <c r="K1368" s="17">
        <f t="shared" si="169"/>
        <v>1136.2</v>
      </c>
      <c r="L1368" t="str">
        <f t="shared" si="170"/>
        <v>Sufficuent Stock</v>
      </c>
      <c r="P1368" s="19">
        <f t="shared" si="171"/>
        <v>0</v>
      </c>
      <c r="R1368" s="19">
        <f t="shared" si="168"/>
        <v>0</v>
      </c>
      <c r="T1368" s="19">
        <f t="shared" si="172"/>
        <v>161786.14000000001</v>
      </c>
      <c r="U1368" s="19">
        <f t="shared" si="173"/>
        <v>186738.84</v>
      </c>
      <c r="V1368" s="21">
        <f t="shared" si="174"/>
        <v>24952.699999999983</v>
      </c>
      <c r="W1368" s="18">
        <f t="shared" si="175"/>
        <v>0.15423261844308778</v>
      </c>
    </row>
    <row r="1369" spans="1:23" x14ac:dyDescent="0.3">
      <c r="A1369" t="s">
        <v>293</v>
      </c>
      <c r="B1369" t="s">
        <v>2324</v>
      </c>
      <c r="C1369" t="s">
        <v>23</v>
      </c>
      <c r="D1369" t="s">
        <v>69</v>
      </c>
      <c r="E1369">
        <v>2249</v>
      </c>
      <c r="F1369">
        <v>378.68</v>
      </c>
      <c r="G1369">
        <v>373.74</v>
      </c>
      <c r="H1369">
        <v>378.68</v>
      </c>
      <c r="I1369">
        <v>2336</v>
      </c>
      <c r="J1369">
        <v>19</v>
      </c>
      <c r="K1369" s="17">
        <f t="shared" si="169"/>
        <v>1479.4666666666665</v>
      </c>
      <c r="L1369" t="str">
        <f t="shared" si="170"/>
        <v>Sufficuent Stock</v>
      </c>
      <c r="P1369" s="19">
        <f t="shared" si="171"/>
        <v>0</v>
      </c>
      <c r="R1369" s="19">
        <f t="shared" si="168"/>
        <v>0</v>
      </c>
      <c r="T1369" s="19">
        <f t="shared" si="172"/>
        <v>873056.64</v>
      </c>
      <c r="U1369" s="19">
        <f t="shared" si="173"/>
        <v>884596.48</v>
      </c>
      <c r="V1369" s="21">
        <f t="shared" si="174"/>
        <v>11539.839999999967</v>
      </c>
      <c r="W1369" s="18">
        <f t="shared" si="175"/>
        <v>1.3217744956386756E-2</v>
      </c>
    </row>
    <row r="1370" spans="1:23" x14ac:dyDescent="0.3">
      <c r="A1370" t="s">
        <v>552</v>
      </c>
      <c r="B1370" t="s">
        <v>1293</v>
      </c>
      <c r="C1370" t="s">
        <v>37</v>
      </c>
      <c r="D1370" t="s">
        <v>17</v>
      </c>
      <c r="E1370">
        <v>2249</v>
      </c>
      <c r="F1370">
        <v>349.44</v>
      </c>
      <c r="G1370">
        <v>316.41000000000003</v>
      </c>
      <c r="H1370">
        <v>349.44</v>
      </c>
      <c r="I1370">
        <v>1306</v>
      </c>
      <c r="J1370">
        <v>58</v>
      </c>
      <c r="K1370" s="17">
        <f t="shared" si="169"/>
        <v>2524.9333333333334</v>
      </c>
      <c r="L1370" t="str">
        <f t="shared" si="170"/>
        <v>High Risk</v>
      </c>
      <c r="P1370" s="19">
        <f t="shared" si="171"/>
        <v>276</v>
      </c>
      <c r="R1370" s="19">
        <f t="shared" si="168"/>
        <v>96445.440000000002</v>
      </c>
      <c r="T1370" s="19">
        <f t="shared" si="172"/>
        <v>413231.46</v>
      </c>
      <c r="U1370" s="19">
        <f t="shared" si="173"/>
        <v>456368.64000000001</v>
      </c>
      <c r="V1370" s="21">
        <f t="shared" si="174"/>
        <v>43137.179999999993</v>
      </c>
      <c r="W1370" s="18">
        <f t="shared" si="175"/>
        <v>0.10438987389779082</v>
      </c>
    </row>
    <row r="1371" spans="1:23" x14ac:dyDescent="0.3">
      <c r="A1371" t="s">
        <v>1060</v>
      </c>
      <c r="B1371" t="s">
        <v>1061</v>
      </c>
      <c r="C1371" t="s">
        <v>16</v>
      </c>
      <c r="D1371" t="s">
        <v>26</v>
      </c>
      <c r="E1371">
        <v>2252</v>
      </c>
      <c r="F1371">
        <v>29.62</v>
      </c>
      <c r="G1371">
        <v>30.02</v>
      </c>
      <c r="H1371">
        <v>29.62</v>
      </c>
      <c r="I1371">
        <v>687</v>
      </c>
      <c r="J1371">
        <v>47</v>
      </c>
      <c r="K1371" s="17">
        <f t="shared" si="169"/>
        <v>1076.3</v>
      </c>
      <c r="L1371" t="str">
        <f t="shared" si="170"/>
        <v>Sufficuent Stock</v>
      </c>
      <c r="P1371" s="19">
        <f t="shared" si="171"/>
        <v>0</v>
      </c>
      <c r="R1371" s="19">
        <f t="shared" si="168"/>
        <v>0</v>
      </c>
      <c r="T1371" s="19">
        <f t="shared" si="172"/>
        <v>20623.739999999998</v>
      </c>
      <c r="U1371" s="19">
        <f t="shared" si="173"/>
        <v>20348.940000000002</v>
      </c>
      <c r="V1371" s="21">
        <f t="shared" si="174"/>
        <v>-274.79999999999563</v>
      </c>
      <c r="W1371" s="18">
        <f t="shared" si="175"/>
        <v>-1.3324450366422175E-2</v>
      </c>
    </row>
    <row r="1372" spans="1:23" x14ac:dyDescent="0.3">
      <c r="A1372" t="s">
        <v>635</v>
      </c>
      <c r="B1372" t="s">
        <v>1624</v>
      </c>
      <c r="C1372" t="s">
        <v>37</v>
      </c>
      <c r="D1372" t="s">
        <v>13</v>
      </c>
      <c r="E1372">
        <v>2252</v>
      </c>
      <c r="F1372">
        <v>343.51</v>
      </c>
      <c r="G1372">
        <v>342.06</v>
      </c>
      <c r="H1372">
        <v>343.51</v>
      </c>
      <c r="I1372">
        <v>1305</v>
      </c>
      <c r="J1372">
        <v>72</v>
      </c>
      <c r="K1372" s="17">
        <f t="shared" si="169"/>
        <v>3132</v>
      </c>
      <c r="L1372" t="str">
        <f t="shared" si="170"/>
        <v>High Risk</v>
      </c>
      <c r="P1372" s="19">
        <f t="shared" si="171"/>
        <v>880</v>
      </c>
      <c r="R1372" s="19">
        <f t="shared" si="168"/>
        <v>302288.8</v>
      </c>
      <c r="T1372" s="19">
        <f t="shared" si="172"/>
        <v>446388.3</v>
      </c>
      <c r="U1372" s="19">
        <f t="shared" si="173"/>
        <v>448280.55</v>
      </c>
      <c r="V1372" s="21">
        <f t="shared" si="174"/>
        <v>1892.25</v>
      </c>
      <c r="W1372" s="18">
        <f t="shared" si="175"/>
        <v>4.2390223937320941E-3</v>
      </c>
    </row>
    <row r="1373" spans="1:23" x14ac:dyDescent="0.3">
      <c r="A1373" t="s">
        <v>631</v>
      </c>
      <c r="B1373" t="s">
        <v>767</v>
      </c>
      <c r="C1373" t="s">
        <v>50</v>
      </c>
      <c r="D1373" t="s">
        <v>69</v>
      </c>
      <c r="E1373">
        <v>2254</v>
      </c>
      <c r="F1373">
        <v>468.51</v>
      </c>
      <c r="G1373">
        <v>452.08</v>
      </c>
      <c r="H1373">
        <v>468.51</v>
      </c>
      <c r="I1373">
        <v>3664</v>
      </c>
      <c r="J1373">
        <v>21</v>
      </c>
      <c r="K1373" s="17">
        <f t="shared" si="169"/>
        <v>2564.8000000000002</v>
      </c>
      <c r="L1373" t="str">
        <f t="shared" si="170"/>
        <v>High Risk</v>
      </c>
      <c r="P1373" s="19">
        <f t="shared" si="171"/>
        <v>311</v>
      </c>
      <c r="R1373" s="19">
        <f t="shared" si="168"/>
        <v>145706.60999999999</v>
      </c>
      <c r="T1373" s="19">
        <f t="shared" si="172"/>
        <v>1656421.1199999999</v>
      </c>
      <c r="U1373" s="19">
        <f t="shared" si="173"/>
        <v>1716620.64</v>
      </c>
      <c r="V1373" s="21">
        <f t="shared" si="174"/>
        <v>60199.520000000019</v>
      </c>
      <c r="W1373" s="18">
        <f t="shared" si="175"/>
        <v>3.6343125110599908E-2</v>
      </c>
    </row>
    <row r="1374" spans="1:23" x14ac:dyDescent="0.3">
      <c r="A1374" t="s">
        <v>199</v>
      </c>
      <c r="B1374" t="s">
        <v>1578</v>
      </c>
      <c r="C1374" t="s">
        <v>37</v>
      </c>
      <c r="D1374" t="s">
        <v>26</v>
      </c>
      <c r="E1374">
        <v>2255</v>
      </c>
      <c r="F1374">
        <v>29.39</v>
      </c>
      <c r="G1374">
        <v>26.86</v>
      </c>
      <c r="H1374">
        <v>29.39</v>
      </c>
      <c r="I1374">
        <v>3719</v>
      </c>
      <c r="J1374">
        <v>10</v>
      </c>
      <c r="K1374" s="17">
        <f t="shared" si="169"/>
        <v>1239.6666666666667</v>
      </c>
      <c r="L1374" t="str">
        <f t="shared" si="170"/>
        <v>Sufficuent Stock</v>
      </c>
      <c r="P1374" s="19">
        <f t="shared" si="171"/>
        <v>0</v>
      </c>
      <c r="R1374" s="19">
        <f t="shared" si="168"/>
        <v>0</v>
      </c>
      <c r="T1374" s="19">
        <f t="shared" si="172"/>
        <v>99892.34</v>
      </c>
      <c r="U1374" s="19">
        <f t="shared" si="173"/>
        <v>109301.41</v>
      </c>
      <c r="V1374" s="21">
        <f t="shared" si="174"/>
        <v>9409.070000000007</v>
      </c>
      <c r="W1374" s="18">
        <f t="shared" si="175"/>
        <v>9.4192107222635962E-2</v>
      </c>
    </row>
    <row r="1375" spans="1:23" x14ac:dyDescent="0.3">
      <c r="A1375" t="s">
        <v>709</v>
      </c>
      <c r="B1375" t="s">
        <v>3253</v>
      </c>
      <c r="C1375" t="s">
        <v>50</v>
      </c>
      <c r="D1375" t="s">
        <v>26</v>
      </c>
      <c r="E1375">
        <v>2255</v>
      </c>
      <c r="F1375">
        <v>116.52</v>
      </c>
      <c r="G1375">
        <v>119.38</v>
      </c>
      <c r="H1375">
        <v>116.52</v>
      </c>
      <c r="I1375">
        <v>2319</v>
      </c>
      <c r="J1375">
        <v>14</v>
      </c>
      <c r="K1375" s="17">
        <f t="shared" si="169"/>
        <v>1082.2</v>
      </c>
      <c r="L1375" t="str">
        <f t="shared" si="170"/>
        <v>Sufficuent Stock</v>
      </c>
      <c r="P1375" s="19">
        <f t="shared" si="171"/>
        <v>0</v>
      </c>
      <c r="R1375" s="19">
        <f t="shared" si="168"/>
        <v>0</v>
      </c>
      <c r="T1375" s="19">
        <f t="shared" si="172"/>
        <v>276842.21999999997</v>
      </c>
      <c r="U1375" s="19">
        <f t="shared" si="173"/>
        <v>270209.88</v>
      </c>
      <c r="V1375" s="21">
        <f t="shared" si="174"/>
        <v>-6632.3399999999674</v>
      </c>
      <c r="W1375" s="18">
        <f t="shared" si="175"/>
        <v>-2.3957111744010606E-2</v>
      </c>
    </row>
    <row r="1376" spans="1:23" x14ac:dyDescent="0.3">
      <c r="A1376" t="s">
        <v>352</v>
      </c>
      <c r="B1376" t="s">
        <v>2226</v>
      </c>
      <c r="C1376" t="s">
        <v>23</v>
      </c>
      <c r="D1376" t="s">
        <v>13</v>
      </c>
      <c r="E1376">
        <v>2256</v>
      </c>
      <c r="F1376">
        <v>365.41</v>
      </c>
      <c r="G1376">
        <v>317.42</v>
      </c>
      <c r="H1376">
        <v>365.41</v>
      </c>
      <c r="I1376">
        <v>2089</v>
      </c>
      <c r="J1376">
        <v>75</v>
      </c>
      <c r="K1376" s="17">
        <f t="shared" si="169"/>
        <v>5222.5000000000009</v>
      </c>
      <c r="L1376" t="str">
        <f t="shared" si="170"/>
        <v>High Risk</v>
      </c>
      <c r="P1376" s="19">
        <f t="shared" si="171"/>
        <v>2967</v>
      </c>
      <c r="R1376" s="19">
        <f t="shared" si="168"/>
        <v>1084171.47</v>
      </c>
      <c r="T1376" s="19">
        <f t="shared" si="172"/>
        <v>663090.38</v>
      </c>
      <c r="U1376" s="19">
        <f t="shared" si="173"/>
        <v>763341.49000000011</v>
      </c>
      <c r="V1376" s="21">
        <f t="shared" si="174"/>
        <v>100251.1100000001</v>
      </c>
      <c r="W1376" s="18">
        <f t="shared" si="175"/>
        <v>0.15118770083800659</v>
      </c>
    </row>
    <row r="1377" spans="1:23" x14ac:dyDescent="0.3">
      <c r="A1377" t="s">
        <v>566</v>
      </c>
      <c r="B1377" t="s">
        <v>1719</v>
      </c>
      <c r="C1377" t="s">
        <v>23</v>
      </c>
      <c r="D1377" t="s">
        <v>69</v>
      </c>
      <c r="E1377">
        <v>2259</v>
      </c>
      <c r="F1377">
        <v>188.32</v>
      </c>
      <c r="G1377">
        <v>176.43</v>
      </c>
      <c r="H1377">
        <v>188.32</v>
      </c>
      <c r="I1377">
        <v>782</v>
      </c>
      <c r="J1377">
        <v>50</v>
      </c>
      <c r="K1377" s="17">
        <f t="shared" si="169"/>
        <v>1303.3333333333333</v>
      </c>
      <c r="L1377" t="str">
        <f t="shared" si="170"/>
        <v>Sufficuent Stock</v>
      </c>
      <c r="P1377" s="19">
        <f t="shared" si="171"/>
        <v>0</v>
      </c>
      <c r="R1377" s="19">
        <f t="shared" si="168"/>
        <v>0</v>
      </c>
      <c r="T1377" s="19">
        <f t="shared" si="172"/>
        <v>137968.26</v>
      </c>
      <c r="U1377" s="19">
        <f t="shared" si="173"/>
        <v>147266.23999999999</v>
      </c>
      <c r="V1377" s="21">
        <f t="shared" si="174"/>
        <v>9297.9799999999814</v>
      </c>
      <c r="W1377" s="18">
        <f t="shared" si="175"/>
        <v>6.7392166865045483E-2</v>
      </c>
    </row>
    <row r="1378" spans="1:23" x14ac:dyDescent="0.3">
      <c r="A1378" t="s">
        <v>53</v>
      </c>
      <c r="B1378" t="s">
        <v>54</v>
      </c>
      <c r="C1378" t="s">
        <v>16</v>
      </c>
      <c r="D1378" t="s">
        <v>26</v>
      </c>
      <c r="E1378">
        <v>2261</v>
      </c>
      <c r="F1378">
        <v>106.85</v>
      </c>
      <c r="G1378">
        <v>95.14</v>
      </c>
      <c r="H1378">
        <v>106.85</v>
      </c>
      <c r="I1378">
        <v>2892</v>
      </c>
      <c r="J1378">
        <v>56</v>
      </c>
      <c r="K1378" s="17">
        <f t="shared" si="169"/>
        <v>5398.4000000000005</v>
      </c>
      <c r="L1378" t="str">
        <f t="shared" si="170"/>
        <v>High Risk</v>
      </c>
      <c r="P1378" s="19">
        <f t="shared" si="171"/>
        <v>3138</v>
      </c>
      <c r="R1378" s="19">
        <f t="shared" si="168"/>
        <v>335295.3</v>
      </c>
      <c r="T1378" s="19">
        <f t="shared" si="172"/>
        <v>275144.88</v>
      </c>
      <c r="U1378" s="19">
        <f t="shared" si="173"/>
        <v>309010.2</v>
      </c>
      <c r="V1378" s="21">
        <f t="shared" si="174"/>
        <v>33865.320000000007</v>
      </c>
      <c r="W1378" s="18">
        <f t="shared" si="175"/>
        <v>0.1230817742274543</v>
      </c>
    </row>
    <row r="1379" spans="1:23" x14ac:dyDescent="0.3">
      <c r="A1379" t="s">
        <v>590</v>
      </c>
      <c r="B1379" t="s">
        <v>1774</v>
      </c>
      <c r="C1379" t="s">
        <v>37</v>
      </c>
      <c r="D1379" t="s">
        <v>20</v>
      </c>
      <c r="E1379">
        <v>2263</v>
      </c>
      <c r="F1379">
        <v>133.26</v>
      </c>
      <c r="G1379">
        <v>136.5</v>
      </c>
      <c r="H1379">
        <v>133.26</v>
      </c>
      <c r="I1379">
        <v>1491</v>
      </c>
      <c r="J1379">
        <v>58</v>
      </c>
      <c r="K1379" s="17">
        <f t="shared" si="169"/>
        <v>2882.6000000000004</v>
      </c>
      <c r="L1379" t="str">
        <f t="shared" si="170"/>
        <v>High Risk</v>
      </c>
      <c r="P1379" s="19">
        <f t="shared" si="171"/>
        <v>620</v>
      </c>
      <c r="R1379" s="19">
        <f t="shared" si="168"/>
        <v>82621.2</v>
      </c>
      <c r="T1379" s="19">
        <f t="shared" si="172"/>
        <v>203521.5</v>
      </c>
      <c r="U1379" s="19">
        <f t="shared" si="173"/>
        <v>198690.65999999997</v>
      </c>
      <c r="V1379" s="21">
        <f t="shared" si="174"/>
        <v>-4830.8400000000256</v>
      </c>
      <c r="W1379" s="18">
        <f t="shared" si="175"/>
        <v>-2.3736263736263863E-2</v>
      </c>
    </row>
    <row r="1380" spans="1:23" x14ac:dyDescent="0.3">
      <c r="A1380" t="s">
        <v>546</v>
      </c>
      <c r="B1380" t="s">
        <v>852</v>
      </c>
      <c r="C1380" t="s">
        <v>50</v>
      </c>
      <c r="D1380" t="s">
        <v>69</v>
      </c>
      <c r="E1380">
        <v>2267</v>
      </c>
      <c r="F1380">
        <v>482.87</v>
      </c>
      <c r="G1380">
        <v>444.45</v>
      </c>
      <c r="H1380">
        <v>482.87</v>
      </c>
      <c r="I1380">
        <v>657</v>
      </c>
      <c r="J1380">
        <v>90</v>
      </c>
      <c r="K1380" s="17">
        <f t="shared" si="169"/>
        <v>1970.9999999999998</v>
      </c>
      <c r="L1380" t="str">
        <f t="shared" si="170"/>
        <v>Sufficuent Stock</v>
      </c>
      <c r="P1380" s="19">
        <f t="shared" si="171"/>
        <v>0</v>
      </c>
      <c r="R1380" s="19">
        <f t="shared" si="168"/>
        <v>0</v>
      </c>
      <c r="T1380" s="19">
        <f t="shared" si="172"/>
        <v>292003.64999999997</v>
      </c>
      <c r="U1380" s="19">
        <f t="shared" si="173"/>
        <v>317245.59000000003</v>
      </c>
      <c r="V1380" s="21">
        <f t="shared" si="174"/>
        <v>25241.940000000061</v>
      </c>
      <c r="W1380" s="18">
        <f t="shared" si="175"/>
        <v>8.6443919451007087E-2</v>
      </c>
    </row>
    <row r="1381" spans="1:23" x14ac:dyDescent="0.3">
      <c r="A1381" t="s">
        <v>191</v>
      </c>
      <c r="B1381" t="s">
        <v>2811</v>
      </c>
      <c r="C1381" t="s">
        <v>23</v>
      </c>
      <c r="D1381" t="s">
        <v>13</v>
      </c>
      <c r="E1381">
        <v>2267</v>
      </c>
      <c r="F1381">
        <v>221.91</v>
      </c>
      <c r="G1381">
        <v>208.36</v>
      </c>
      <c r="H1381">
        <v>221.91</v>
      </c>
      <c r="I1381">
        <v>1615</v>
      </c>
      <c r="J1381">
        <v>34</v>
      </c>
      <c r="K1381" s="17">
        <f t="shared" si="169"/>
        <v>1830.3333333333335</v>
      </c>
      <c r="L1381" t="str">
        <f t="shared" si="170"/>
        <v>Sufficuent Stock</v>
      </c>
      <c r="P1381" s="19">
        <f t="shared" si="171"/>
        <v>0</v>
      </c>
      <c r="R1381" s="19">
        <f t="shared" si="168"/>
        <v>0</v>
      </c>
      <c r="T1381" s="19">
        <f t="shared" si="172"/>
        <v>336501.4</v>
      </c>
      <c r="U1381" s="19">
        <f t="shared" si="173"/>
        <v>358384.65</v>
      </c>
      <c r="V1381" s="21">
        <f t="shared" si="174"/>
        <v>21883.25</v>
      </c>
      <c r="W1381" s="18">
        <f t="shared" si="175"/>
        <v>6.503167594547897E-2</v>
      </c>
    </row>
    <row r="1382" spans="1:23" x14ac:dyDescent="0.3">
      <c r="A1382" t="s">
        <v>796</v>
      </c>
      <c r="B1382" t="s">
        <v>1691</v>
      </c>
      <c r="C1382" t="s">
        <v>37</v>
      </c>
      <c r="D1382" t="s">
        <v>69</v>
      </c>
      <c r="E1382">
        <v>2268</v>
      </c>
      <c r="F1382">
        <v>505.87</v>
      </c>
      <c r="G1382">
        <v>444.37</v>
      </c>
      <c r="H1382">
        <v>505.87</v>
      </c>
      <c r="I1382">
        <v>1417</v>
      </c>
      <c r="J1382">
        <v>85</v>
      </c>
      <c r="K1382" s="17">
        <f t="shared" si="169"/>
        <v>4014.8333333333335</v>
      </c>
      <c r="L1382" t="str">
        <f t="shared" si="170"/>
        <v>High Risk</v>
      </c>
      <c r="P1382" s="19">
        <f t="shared" si="171"/>
        <v>1747</v>
      </c>
      <c r="R1382" s="19">
        <f t="shared" si="168"/>
        <v>883754.89</v>
      </c>
      <c r="T1382" s="19">
        <f t="shared" si="172"/>
        <v>629672.29</v>
      </c>
      <c r="U1382" s="19">
        <f t="shared" si="173"/>
        <v>716817.79</v>
      </c>
      <c r="V1382" s="21">
        <f t="shared" si="174"/>
        <v>87145.5</v>
      </c>
      <c r="W1382" s="18">
        <f t="shared" si="175"/>
        <v>0.13839818169543397</v>
      </c>
    </row>
    <row r="1383" spans="1:23" x14ac:dyDescent="0.3">
      <c r="A1383" t="s">
        <v>374</v>
      </c>
      <c r="B1383" t="s">
        <v>2346</v>
      </c>
      <c r="C1383" t="s">
        <v>16</v>
      </c>
      <c r="D1383" t="s">
        <v>69</v>
      </c>
      <c r="E1383">
        <v>2268</v>
      </c>
      <c r="F1383">
        <v>215.37</v>
      </c>
      <c r="G1383">
        <v>228.42</v>
      </c>
      <c r="H1383">
        <v>215.37</v>
      </c>
      <c r="I1383">
        <v>2019</v>
      </c>
      <c r="J1383">
        <v>78</v>
      </c>
      <c r="K1383" s="17">
        <f t="shared" si="169"/>
        <v>5249.4</v>
      </c>
      <c r="L1383" t="str">
        <f t="shared" si="170"/>
        <v>High Risk</v>
      </c>
      <c r="P1383" s="19">
        <f t="shared" si="171"/>
        <v>2982</v>
      </c>
      <c r="R1383" s="19">
        <f t="shared" si="168"/>
        <v>642233.34</v>
      </c>
      <c r="T1383" s="19">
        <f t="shared" si="172"/>
        <v>461179.98</v>
      </c>
      <c r="U1383" s="19">
        <f t="shared" si="173"/>
        <v>434832.03</v>
      </c>
      <c r="V1383" s="21">
        <f t="shared" si="174"/>
        <v>-26347.949999999953</v>
      </c>
      <c r="W1383" s="18">
        <f t="shared" si="175"/>
        <v>-5.7131599684791076E-2</v>
      </c>
    </row>
    <row r="1384" spans="1:23" x14ac:dyDescent="0.3">
      <c r="A1384" t="s">
        <v>1322</v>
      </c>
      <c r="B1384" t="s">
        <v>1433</v>
      </c>
      <c r="C1384" t="s">
        <v>50</v>
      </c>
      <c r="D1384" t="s">
        <v>69</v>
      </c>
      <c r="E1384">
        <v>2270</v>
      </c>
      <c r="F1384">
        <v>551.54999999999995</v>
      </c>
      <c r="G1384">
        <v>499.16</v>
      </c>
      <c r="H1384">
        <v>551.54999999999995</v>
      </c>
      <c r="I1384">
        <v>86</v>
      </c>
      <c r="J1384">
        <v>30</v>
      </c>
      <c r="K1384" s="17">
        <f t="shared" si="169"/>
        <v>86</v>
      </c>
      <c r="L1384" t="str">
        <f t="shared" si="170"/>
        <v>Sufficuent Stock</v>
      </c>
      <c r="P1384" s="19">
        <f t="shared" si="171"/>
        <v>0</v>
      </c>
      <c r="R1384" s="19">
        <f t="shared" si="168"/>
        <v>0</v>
      </c>
      <c r="T1384" s="19">
        <f t="shared" si="172"/>
        <v>42927.76</v>
      </c>
      <c r="U1384" s="19">
        <f t="shared" si="173"/>
        <v>47433.299999999996</v>
      </c>
      <c r="V1384" s="21">
        <f t="shared" si="174"/>
        <v>4505.5399999999936</v>
      </c>
      <c r="W1384" s="18">
        <f t="shared" si="175"/>
        <v>0.10495632662873612</v>
      </c>
    </row>
    <row r="1385" spans="1:23" x14ac:dyDescent="0.3">
      <c r="A1385" t="s">
        <v>755</v>
      </c>
      <c r="B1385" t="s">
        <v>3158</v>
      </c>
      <c r="C1385" t="s">
        <v>23</v>
      </c>
      <c r="D1385" t="s">
        <v>17</v>
      </c>
      <c r="E1385">
        <v>2270</v>
      </c>
      <c r="F1385">
        <v>165.06</v>
      </c>
      <c r="G1385">
        <v>159.44</v>
      </c>
      <c r="H1385">
        <v>165.06</v>
      </c>
      <c r="I1385">
        <v>342</v>
      </c>
      <c r="J1385">
        <v>11</v>
      </c>
      <c r="K1385" s="17">
        <f t="shared" si="169"/>
        <v>125.4</v>
      </c>
      <c r="L1385" t="str">
        <f t="shared" si="170"/>
        <v>Sufficuent Stock</v>
      </c>
      <c r="P1385" s="19">
        <f t="shared" si="171"/>
        <v>0</v>
      </c>
      <c r="R1385" s="19">
        <f t="shared" si="168"/>
        <v>0</v>
      </c>
      <c r="T1385" s="19">
        <f t="shared" si="172"/>
        <v>54528.479999999996</v>
      </c>
      <c r="U1385" s="19">
        <f t="shared" si="173"/>
        <v>56450.520000000004</v>
      </c>
      <c r="V1385" s="21">
        <f t="shared" si="174"/>
        <v>1922.0400000000081</v>
      </c>
      <c r="W1385" s="18">
        <f t="shared" si="175"/>
        <v>3.5248369292523986E-2</v>
      </c>
    </row>
    <row r="1386" spans="1:23" x14ac:dyDescent="0.3">
      <c r="A1386" t="s">
        <v>1477</v>
      </c>
      <c r="B1386" t="s">
        <v>1478</v>
      </c>
      <c r="C1386" t="s">
        <v>12</v>
      </c>
      <c r="D1386" t="s">
        <v>13</v>
      </c>
      <c r="E1386">
        <v>2271</v>
      </c>
      <c r="F1386">
        <v>142.69999999999999</v>
      </c>
      <c r="G1386">
        <v>119.69</v>
      </c>
      <c r="H1386">
        <v>142.69999999999999</v>
      </c>
      <c r="I1386">
        <v>1812</v>
      </c>
      <c r="J1386">
        <v>59</v>
      </c>
      <c r="K1386" s="17">
        <f t="shared" si="169"/>
        <v>3563.6</v>
      </c>
      <c r="L1386" t="str">
        <f t="shared" si="170"/>
        <v>High Risk</v>
      </c>
      <c r="P1386" s="19">
        <f t="shared" si="171"/>
        <v>1293</v>
      </c>
      <c r="R1386" s="19">
        <f t="shared" si="168"/>
        <v>184511.09999999998</v>
      </c>
      <c r="T1386" s="19">
        <f t="shared" si="172"/>
        <v>216878.28</v>
      </c>
      <c r="U1386" s="19">
        <f t="shared" si="173"/>
        <v>258572.39999999997</v>
      </c>
      <c r="V1386" s="21">
        <f t="shared" si="174"/>
        <v>41694.119999999966</v>
      </c>
      <c r="W1386" s="18">
        <f t="shared" si="175"/>
        <v>0.19224663714596024</v>
      </c>
    </row>
    <row r="1387" spans="1:23" x14ac:dyDescent="0.3">
      <c r="A1387" t="s">
        <v>605</v>
      </c>
      <c r="B1387" t="s">
        <v>2196</v>
      </c>
      <c r="C1387" t="s">
        <v>50</v>
      </c>
      <c r="D1387" t="s">
        <v>13</v>
      </c>
      <c r="E1387">
        <v>2272</v>
      </c>
      <c r="F1387">
        <v>83.96</v>
      </c>
      <c r="G1387">
        <v>77.23</v>
      </c>
      <c r="H1387">
        <v>83.96</v>
      </c>
      <c r="I1387">
        <v>1048</v>
      </c>
      <c r="J1387">
        <v>81</v>
      </c>
      <c r="K1387" s="17">
        <f t="shared" si="169"/>
        <v>2829.6</v>
      </c>
      <c r="L1387" t="str">
        <f t="shared" si="170"/>
        <v>High Risk</v>
      </c>
      <c r="P1387" s="19">
        <f t="shared" si="171"/>
        <v>558</v>
      </c>
      <c r="R1387" s="19">
        <f t="shared" si="168"/>
        <v>46849.679999999993</v>
      </c>
      <c r="T1387" s="19">
        <f t="shared" si="172"/>
        <v>80937.040000000008</v>
      </c>
      <c r="U1387" s="19">
        <f t="shared" si="173"/>
        <v>87990.079999999987</v>
      </c>
      <c r="V1387" s="21">
        <f t="shared" si="174"/>
        <v>7053.039999999979</v>
      </c>
      <c r="W1387" s="18">
        <f t="shared" si="175"/>
        <v>8.7142302214165218E-2</v>
      </c>
    </row>
    <row r="1388" spans="1:23" x14ac:dyDescent="0.3">
      <c r="A1388" t="s">
        <v>949</v>
      </c>
      <c r="B1388" t="s">
        <v>1776</v>
      </c>
      <c r="C1388" t="s">
        <v>12</v>
      </c>
      <c r="D1388" t="s">
        <v>69</v>
      </c>
      <c r="E1388">
        <v>2272</v>
      </c>
      <c r="F1388">
        <v>487.07</v>
      </c>
      <c r="G1388">
        <v>487.68</v>
      </c>
      <c r="H1388">
        <v>487.07</v>
      </c>
      <c r="I1388">
        <v>682</v>
      </c>
      <c r="J1388">
        <v>81</v>
      </c>
      <c r="K1388" s="17">
        <f t="shared" si="169"/>
        <v>1841.4</v>
      </c>
      <c r="L1388" t="str">
        <f t="shared" si="170"/>
        <v>Sufficuent Stock</v>
      </c>
      <c r="P1388" s="19">
        <f t="shared" si="171"/>
        <v>0</v>
      </c>
      <c r="R1388" s="19">
        <f t="shared" si="168"/>
        <v>0</v>
      </c>
      <c r="T1388" s="19">
        <f t="shared" si="172"/>
        <v>332597.76000000001</v>
      </c>
      <c r="U1388" s="19">
        <f t="shared" si="173"/>
        <v>332181.74</v>
      </c>
      <c r="V1388" s="21">
        <f t="shared" si="174"/>
        <v>-416.02000000001863</v>
      </c>
      <c r="W1388" s="18">
        <f t="shared" si="175"/>
        <v>-1.2508202099738093E-3</v>
      </c>
    </row>
    <row r="1389" spans="1:23" x14ac:dyDescent="0.3">
      <c r="A1389" t="s">
        <v>543</v>
      </c>
      <c r="B1389" t="s">
        <v>2524</v>
      </c>
      <c r="C1389" t="s">
        <v>16</v>
      </c>
      <c r="D1389" t="s">
        <v>17</v>
      </c>
      <c r="E1389">
        <v>2273</v>
      </c>
      <c r="F1389">
        <v>320.92</v>
      </c>
      <c r="G1389">
        <v>310.88</v>
      </c>
      <c r="H1389">
        <v>320.92</v>
      </c>
      <c r="I1389">
        <v>1165</v>
      </c>
      <c r="J1389">
        <v>65</v>
      </c>
      <c r="K1389" s="17">
        <f t="shared" si="169"/>
        <v>2524.166666666667</v>
      </c>
      <c r="L1389" t="str">
        <f t="shared" si="170"/>
        <v>High Risk</v>
      </c>
      <c r="P1389" s="19">
        <f t="shared" si="171"/>
        <v>252</v>
      </c>
      <c r="R1389" s="19">
        <f t="shared" si="168"/>
        <v>80871.840000000011</v>
      </c>
      <c r="T1389" s="19">
        <f t="shared" si="172"/>
        <v>362175.2</v>
      </c>
      <c r="U1389" s="19">
        <f t="shared" si="173"/>
        <v>373871.80000000005</v>
      </c>
      <c r="V1389" s="21">
        <f t="shared" si="174"/>
        <v>11696.600000000035</v>
      </c>
      <c r="W1389" s="18">
        <f t="shared" si="175"/>
        <v>3.2295419454451975E-2</v>
      </c>
    </row>
    <row r="1390" spans="1:23" x14ac:dyDescent="0.3">
      <c r="A1390" t="s">
        <v>59</v>
      </c>
      <c r="B1390" t="s">
        <v>678</v>
      </c>
      <c r="C1390" t="s">
        <v>12</v>
      </c>
      <c r="D1390" t="s">
        <v>69</v>
      </c>
      <c r="E1390">
        <v>2273</v>
      </c>
      <c r="F1390">
        <v>404.42</v>
      </c>
      <c r="G1390">
        <v>393.09</v>
      </c>
      <c r="H1390">
        <v>404.42</v>
      </c>
      <c r="I1390">
        <v>3486</v>
      </c>
      <c r="J1390">
        <v>40</v>
      </c>
      <c r="K1390" s="17">
        <f t="shared" si="169"/>
        <v>4648</v>
      </c>
      <c r="L1390" t="str">
        <f t="shared" si="170"/>
        <v>High Risk</v>
      </c>
      <c r="P1390" s="19">
        <f t="shared" si="171"/>
        <v>2375</v>
      </c>
      <c r="R1390" s="19">
        <f t="shared" si="168"/>
        <v>960497.5</v>
      </c>
      <c r="T1390" s="19">
        <f t="shared" si="172"/>
        <v>1370311.74</v>
      </c>
      <c r="U1390" s="19">
        <f t="shared" si="173"/>
        <v>1409808.12</v>
      </c>
      <c r="V1390" s="21">
        <f t="shared" si="174"/>
        <v>39496.380000000121</v>
      </c>
      <c r="W1390" s="18">
        <f t="shared" si="175"/>
        <v>2.8822915871683417E-2</v>
      </c>
    </row>
    <row r="1391" spans="1:23" x14ac:dyDescent="0.3">
      <c r="A1391" t="s">
        <v>446</v>
      </c>
      <c r="B1391" t="s">
        <v>2348</v>
      </c>
      <c r="C1391" t="s">
        <v>16</v>
      </c>
      <c r="D1391" t="s">
        <v>17</v>
      </c>
      <c r="E1391">
        <v>2275</v>
      </c>
      <c r="F1391">
        <v>80.959999999999994</v>
      </c>
      <c r="G1391">
        <v>68.069999999999993</v>
      </c>
      <c r="H1391">
        <v>80.959999999999994</v>
      </c>
      <c r="I1391">
        <v>2594</v>
      </c>
      <c r="J1391">
        <v>32</v>
      </c>
      <c r="K1391" s="17">
        <f t="shared" si="169"/>
        <v>2766.9333333333334</v>
      </c>
      <c r="L1391" t="str">
        <f t="shared" si="170"/>
        <v>High Risk</v>
      </c>
      <c r="P1391" s="19">
        <f t="shared" si="171"/>
        <v>492</v>
      </c>
      <c r="R1391" s="19">
        <f t="shared" si="168"/>
        <v>39832.32</v>
      </c>
      <c r="T1391" s="19">
        <f t="shared" si="172"/>
        <v>176573.58</v>
      </c>
      <c r="U1391" s="19">
        <f t="shared" si="173"/>
        <v>210010.23999999999</v>
      </c>
      <c r="V1391" s="21">
        <f t="shared" si="174"/>
        <v>33436.660000000003</v>
      </c>
      <c r="W1391" s="18">
        <f t="shared" si="175"/>
        <v>0.18936389011311888</v>
      </c>
    </row>
    <row r="1392" spans="1:23" x14ac:dyDescent="0.3">
      <c r="A1392" t="s">
        <v>620</v>
      </c>
      <c r="B1392" t="s">
        <v>3277</v>
      </c>
      <c r="C1392" t="s">
        <v>23</v>
      </c>
      <c r="D1392" t="s">
        <v>20</v>
      </c>
      <c r="E1392">
        <v>2277</v>
      </c>
      <c r="F1392">
        <v>364.95</v>
      </c>
      <c r="G1392">
        <v>357.18</v>
      </c>
      <c r="H1392">
        <v>364.95</v>
      </c>
      <c r="I1392">
        <v>2023</v>
      </c>
      <c r="J1392">
        <v>27</v>
      </c>
      <c r="K1392" s="17">
        <f t="shared" si="169"/>
        <v>1820.7</v>
      </c>
      <c r="L1392" t="str">
        <f t="shared" si="170"/>
        <v>Sufficuent Stock</v>
      </c>
      <c r="P1392" s="19">
        <f t="shared" si="171"/>
        <v>0</v>
      </c>
      <c r="R1392" s="19">
        <f t="shared" si="168"/>
        <v>0</v>
      </c>
      <c r="T1392" s="19">
        <f t="shared" si="172"/>
        <v>722575.14</v>
      </c>
      <c r="U1392" s="19">
        <f t="shared" si="173"/>
        <v>738293.85</v>
      </c>
      <c r="V1392" s="21">
        <f t="shared" si="174"/>
        <v>15718.709999999963</v>
      </c>
      <c r="W1392" s="18">
        <f t="shared" si="175"/>
        <v>2.1753737611288373E-2</v>
      </c>
    </row>
    <row r="1393" spans="1:23" x14ac:dyDescent="0.3">
      <c r="A1393" t="s">
        <v>407</v>
      </c>
      <c r="B1393" t="s">
        <v>408</v>
      </c>
      <c r="C1393" t="s">
        <v>23</v>
      </c>
      <c r="D1393" t="s">
        <v>20</v>
      </c>
      <c r="E1393">
        <v>2278</v>
      </c>
      <c r="F1393">
        <v>30.64</v>
      </c>
      <c r="G1393">
        <v>27.04</v>
      </c>
      <c r="H1393">
        <v>30.64</v>
      </c>
      <c r="I1393">
        <v>2791</v>
      </c>
      <c r="J1393">
        <v>61</v>
      </c>
      <c r="K1393" s="17">
        <f t="shared" si="169"/>
        <v>5675.0333333333328</v>
      </c>
      <c r="L1393" t="str">
        <f t="shared" si="170"/>
        <v>High Risk</v>
      </c>
      <c r="P1393" s="19">
        <f t="shared" si="171"/>
        <v>3398</v>
      </c>
      <c r="R1393" s="19">
        <f t="shared" si="168"/>
        <v>104114.72</v>
      </c>
      <c r="T1393" s="19">
        <f t="shared" si="172"/>
        <v>75468.639999999999</v>
      </c>
      <c r="U1393" s="19">
        <f t="shared" si="173"/>
        <v>85516.24</v>
      </c>
      <c r="V1393" s="21">
        <f t="shared" si="174"/>
        <v>10047.600000000006</v>
      </c>
      <c r="W1393" s="18">
        <f t="shared" si="175"/>
        <v>0.13313609467455628</v>
      </c>
    </row>
    <row r="1394" spans="1:23" x14ac:dyDescent="0.3">
      <c r="A1394" t="s">
        <v>620</v>
      </c>
      <c r="B1394" t="s">
        <v>888</v>
      </c>
      <c r="C1394" t="s">
        <v>16</v>
      </c>
      <c r="D1394" t="s">
        <v>69</v>
      </c>
      <c r="E1394">
        <v>2283</v>
      </c>
      <c r="F1394">
        <v>259.42</v>
      </c>
      <c r="G1394">
        <v>276.95999999999998</v>
      </c>
      <c r="H1394">
        <v>259.42</v>
      </c>
      <c r="I1394">
        <v>3201</v>
      </c>
      <c r="J1394">
        <v>47</v>
      </c>
      <c r="K1394" s="17">
        <f t="shared" si="169"/>
        <v>5014.9000000000005</v>
      </c>
      <c r="L1394" t="str">
        <f t="shared" si="170"/>
        <v>High Risk</v>
      </c>
      <c r="P1394" s="19">
        <f t="shared" si="171"/>
        <v>2732</v>
      </c>
      <c r="R1394" s="19">
        <f t="shared" si="168"/>
        <v>708735.44000000006</v>
      </c>
      <c r="T1394" s="19">
        <f t="shared" si="172"/>
        <v>886548.96</v>
      </c>
      <c r="U1394" s="19">
        <f t="shared" si="173"/>
        <v>830403.42</v>
      </c>
      <c r="V1394" s="21">
        <f t="shared" si="174"/>
        <v>-56145.539999999921</v>
      </c>
      <c r="W1394" s="18">
        <f t="shared" si="175"/>
        <v>-6.3330444829578197E-2</v>
      </c>
    </row>
    <row r="1395" spans="1:23" x14ac:dyDescent="0.3">
      <c r="A1395" t="s">
        <v>10</v>
      </c>
      <c r="B1395" t="s">
        <v>2920</v>
      </c>
      <c r="C1395" t="s">
        <v>50</v>
      </c>
      <c r="D1395" t="s">
        <v>17</v>
      </c>
      <c r="E1395">
        <v>2284</v>
      </c>
      <c r="F1395">
        <v>259.95</v>
      </c>
      <c r="G1395">
        <v>253.63</v>
      </c>
      <c r="H1395">
        <v>259.95</v>
      </c>
      <c r="I1395">
        <v>1653</v>
      </c>
      <c r="J1395">
        <v>69</v>
      </c>
      <c r="K1395" s="17">
        <f t="shared" si="169"/>
        <v>3801.9</v>
      </c>
      <c r="L1395" t="str">
        <f t="shared" si="170"/>
        <v>High Risk</v>
      </c>
      <c r="P1395" s="19">
        <f t="shared" si="171"/>
        <v>1518</v>
      </c>
      <c r="R1395" s="19">
        <f t="shared" si="168"/>
        <v>394604.1</v>
      </c>
      <c r="T1395" s="19">
        <f t="shared" si="172"/>
        <v>419250.39</v>
      </c>
      <c r="U1395" s="19">
        <f t="shared" si="173"/>
        <v>429697.35</v>
      </c>
      <c r="V1395" s="21">
        <f t="shared" si="174"/>
        <v>10446.959999999963</v>
      </c>
      <c r="W1395" s="18">
        <f t="shared" si="175"/>
        <v>2.4918187911524572E-2</v>
      </c>
    </row>
    <row r="1396" spans="1:23" x14ac:dyDescent="0.3">
      <c r="A1396" t="s">
        <v>84</v>
      </c>
      <c r="B1396" t="s">
        <v>1434</v>
      </c>
      <c r="C1396" t="s">
        <v>12</v>
      </c>
      <c r="D1396" t="s">
        <v>13</v>
      </c>
      <c r="E1396">
        <v>2285</v>
      </c>
      <c r="F1396">
        <v>390.1</v>
      </c>
      <c r="G1396">
        <v>328.5</v>
      </c>
      <c r="H1396">
        <v>390.1</v>
      </c>
      <c r="I1396">
        <v>2213</v>
      </c>
      <c r="J1396">
        <v>16</v>
      </c>
      <c r="K1396" s="17">
        <f t="shared" si="169"/>
        <v>1180.2666666666667</v>
      </c>
      <c r="L1396" t="str">
        <f t="shared" si="170"/>
        <v>Sufficuent Stock</v>
      </c>
      <c r="P1396" s="19">
        <f t="shared" si="171"/>
        <v>0</v>
      </c>
      <c r="R1396" s="19">
        <f t="shared" si="168"/>
        <v>0</v>
      </c>
      <c r="T1396" s="19">
        <f t="shared" si="172"/>
        <v>726970.5</v>
      </c>
      <c r="U1396" s="19">
        <f t="shared" si="173"/>
        <v>863291.3</v>
      </c>
      <c r="V1396" s="21">
        <f t="shared" si="174"/>
        <v>136320.80000000005</v>
      </c>
      <c r="W1396" s="18">
        <f t="shared" si="175"/>
        <v>0.18751902587519031</v>
      </c>
    </row>
    <row r="1397" spans="1:23" x14ac:dyDescent="0.3">
      <c r="A1397" t="s">
        <v>607</v>
      </c>
      <c r="B1397" t="s">
        <v>608</v>
      </c>
      <c r="C1397" t="s">
        <v>12</v>
      </c>
      <c r="D1397" t="s">
        <v>17</v>
      </c>
      <c r="E1397">
        <v>2286</v>
      </c>
      <c r="F1397">
        <v>355.07</v>
      </c>
      <c r="G1397">
        <v>356.83</v>
      </c>
      <c r="H1397">
        <v>355.07</v>
      </c>
      <c r="I1397">
        <v>701</v>
      </c>
      <c r="J1397">
        <v>15</v>
      </c>
      <c r="K1397" s="17">
        <f t="shared" si="169"/>
        <v>350.5</v>
      </c>
      <c r="L1397" t="str">
        <f t="shared" si="170"/>
        <v>Sufficuent Stock</v>
      </c>
      <c r="P1397" s="19">
        <f t="shared" si="171"/>
        <v>0</v>
      </c>
      <c r="R1397" s="19">
        <f t="shared" si="168"/>
        <v>0</v>
      </c>
      <c r="T1397" s="19">
        <f t="shared" si="172"/>
        <v>250137.83</v>
      </c>
      <c r="U1397" s="19">
        <f t="shared" si="173"/>
        <v>248904.07</v>
      </c>
      <c r="V1397" s="21">
        <f t="shared" si="174"/>
        <v>-1233.7599999999802</v>
      </c>
      <c r="W1397" s="18">
        <f t="shared" si="175"/>
        <v>-4.9323207129444609E-3</v>
      </c>
    </row>
    <row r="1398" spans="1:23" x14ac:dyDescent="0.3">
      <c r="A1398" t="s">
        <v>407</v>
      </c>
      <c r="B1398" t="s">
        <v>1007</v>
      </c>
      <c r="C1398" t="s">
        <v>50</v>
      </c>
      <c r="D1398" t="s">
        <v>26</v>
      </c>
      <c r="E1398">
        <v>2286</v>
      </c>
      <c r="F1398">
        <v>326.66000000000003</v>
      </c>
      <c r="G1398">
        <v>298.06</v>
      </c>
      <c r="H1398">
        <v>326.66000000000003</v>
      </c>
      <c r="I1398">
        <v>2843</v>
      </c>
      <c r="J1398">
        <v>65</v>
      </c>
      <c r="K1398" s="17">
        <f t="shared" si="169"/>
        <v>6159.833333333333</v>
      </c>
      <c r="L1398" t="str">
        <f t="shared" si="170"/>
        <v>High Risk</v>
      </c>
      <c r="P1398" s="19">
        <f t="shared" si="171"/>
        <v>3874</v>
      </c>
      <c r="R1398" s="19">
        <f t="shared" si="168"/>
        <v>1265480.8400000001</v>
      </c>
      <c r="T1398" s="19">
        <f t="shared" si="172"/>
        <v>847384.58</v>
      </c>
      <c r="U1398" s="19">
        <f t="shared" si="173"/>
        <v>928694.38000000012</v>
      </c>
      <c r="V1398" s="21">
        <f t="shared" si="174"/>
        <v>81309.800000000163</v>
      </c>
      <c r="W1398" s="18">
        <f t="shared" si="175"/>
        <v>9.5953834798362947E-2</v>
      </c>
    </row>
    <row r="1399" spans="1:23" x14ac:dyDescent="0.3">
      <c r="A1399" t="s">
        <v>374</v>
      </c>
      <c r="B1399" t="s">
        <v>3214</v>
      </c>
      <c r="C1399" t="s">
        <v>50</v>
      </c>
      <c r="D1399" t="s">
        <v>69</v>
      </c>
      <c r="E1399">
        <v>2289</v>
      </c>
      <c r="F1399">
        <v>527.37</v>
      </c>
      <c r="G1399">
        <v>455.53</v>
      </c>
      <c r="H1399">
        <v>527.37</v>
      </c>
      <c r="I1399">
        <v>2267</v>
      </c>
      <c r="J1399">
        <v>36</v>
      </c>
      <c r="K1399" s="17">
        <f t="shared" si="169"/>
        <v>2720.3999999999996</v>
      </c>
      <c r="L1399" t="str">
        <f t="shared" si="170"/>
        <v>High Risk</v>
      </c>
      <c r="P1399" s="19">
        <f t="shared" si="171"/>
        <v>432</v>
      </c>
      <c r="R1399" s="19">
        <f t="shared" si="168"/>
        <v>227823.84</v>
      </c>
      <c r="T1399" s="19">
        <f t="shared" si="172"/>
        <v>1032686.5099999999</v>
      </c>
      <c r="U1399" s="19">
        <f t="shared" si="173"/>
        <v>1195547.79</v>
      </c>
      <c r="V1399" s="21">
        <f t="shared" si="174"/>
        <v>162861.28000000014</v>
      </c>
      <c r="W1399" s="18">
        <f t="shared" si="175"/>
        <v>0.15770640792044446</v>
      </c>
    </row>
    <row r="1400" spans="1:23" x14ac:dyDescent="0.3">
      <c r="A1400" t="s">
        <v>1002</v>
      </c>
      <c r="B1400" t="s">
        <v>1003</v>
      </c>
      <c r="C1400" t="s">
        <v>50</v>
      </c>
      <c r="D1400" t="s">
        <v>26</v>
      </c>
      <c r="E1400">
        <v>2289</v>
      </c>
      <c r="F1400">
        <v>108.32</v>
      </c>
      <c r="G1400">
        <v>111.67</v>
      </c>
      <c r="H1400">
        <v>108.32</v>
      </c>
      <c r="I1400">
        <v>2029</v>
      </c>
      <c r="J1400">
        <v>29</v>
      </c>
      <c r="K1400" s="17">
        <f t="shared" si="169"/>
        <v>1961.3666666666668</v>
      </c>
      <c r="L1400" t="str">
        <f t="shared" si="170"/>
        <v>Sufficuent Stock</v>
      </c>
      <c r="P1400" s="19">
        <f t="shared" si="171"/>
        <v>0</v>
      </c>
      <c r="R1400" s="19">
        <f t="shared" si="168"/>
        <v>0</v>
      </c>
      <c r="T1400" s="19">
        <f t="shared" si="172"/>
        <v>226578.43</v>
      </c>
      <c r="U1400" s="19">
        <f t="shared" si="173"/>
        <v>219781.28</v>
      </c>
      <c r="V1400" s="21">
        <f t="shared" si="174"/>
        <v>-6797.1499999999942</v>
      </c>
      <c r="W1400" s="18">
        <f t="shared" si="175"/>
        <v>-2.9999104504343128E-2</v>
      </c>
    </row>
    <row r="1401" spans="1:23" x14ac:dyDescent="0.3">
      <c r="A1401" t="s">
        <v>340</v>
      </c>
      <c r="B1401" t="s">
        <v>3355</v>
      </c>
      <c r="C1401" t="s">
        <v>37</v>
      </c>
      <c r="D1401" t="s">
        <v>20</v>
      </c>
      <c r="E1401">
        <v>2292</v>
      </c>
      <c r="F1401">
        <v>198.39</v>
      </c>
      <c r="G1401">
        <v>208.24</v>
      </c>
      <c r="H1401">
        <v>198.39</v>
      </c>
      <c r="I1401">
        <v>3441</v>
      </c>
      <c r="J1401">
        <v>37</v>
      </c>
      <c r="K1401" s="17">
        <f t="shared" si="169"/>
        <v>4243.9000000000005</v>
      </c>
      <c r="L1401" t="str">
        <f t="shared" si="170"/>
        <v>High Risk</v>
      </c>
      <c r="P1401" s="19">
        <f t="shared" si="171"/>
        <v>1952</v>
      </c>
      <c r="R1401" s="19">
        <f t="shared" si="168"/>
        <v>387257.27999999997</v>
      </c>
      <c r="T1401" s="19">
        <f t="shared" si="172"/>
        <v>716553.84000000008</v>
      </c>
      <c r="U1401" s="19">
        <f t="shared" si="173"/>
        <v>682659.99</v>
      </c>
      <c r="V1401" s="21">
        <f t="shared" si="174"/>
        <v>-33893.850000000093</v>
      </c>
      <c r="W1401" s="18">
        <f t="shared" si="175"/>
        <v>-4.7301190933538351E-2</v>
      </c>
    </row>
    <row r="1402" spans="1:23" x14ac:dyDescent="0.3">
      <c r="A1402" t="s">
        <v>666</v>
      </c>
      <c r="B1402" t="s">
        <v>951</v>
      </c>
      <c r="C1402" t="s">
        <v>16</v>
      </c>
      <c r="D1402" t="s">
        <v>13</v>
      </c>
      <c r="E1402">
        <v>2294</v>
      </c>
      <c r="F1402">
        <v>317.14</v>
      </c>
      <c r="G1402">
        <v>273.05</v>
      </c>
      <c r="H1402">
        <v>317.14</v>
      </c>
      <c r="I1402">
        <v>254</v>
      </c>
      <c r="J1402">
        <v>27</v>
      </c>
      <c r="K1402" s="17">
        <f t="shared" si="169"/>
        <v>228.6</v>
      </c>
      <c r="L1402" t="str">
        <f t="shared" si="170"/>
        <v>Sufficuent Stock</v>
      </c>
      <c r="P1402" s="19">
        <f t="shared" si="171"/>
        <v>0</v>
      </c>
      <c r="R1402" s="19">
        <f t="shared" si="168"/>
        <v>0</v>
      </c>
      <c r="T1402" s="19">
        <f t="shared" si="172"/>
        <v>69354.7</v>
      </c>
      <c r="U1402" s="19">
        <f t="shared" si="173"/>
        <v>80553.56</v>
      </c>
      <c r="V1402" s="21">
        <f t="shared" si="174"/>
        <v>11198.86</v>
      </c>
      <c r="W1402" s="18">
        <f t="shared" si="175"/>
        <v>0.1614722578282366</v>
      </c>
    </row>
    <row r="1403" spans="1:23" x14ac:dyDescent="0.3">
      <c r="A1403" t="s">
        <v>262</v>
      </c>
      <c r="B1403" t="s">
        <v>2853</v>
      </c>
      <c r="C1403" t="s">
        <v>16</v>
      </c>
      <c r="D1403" t="s">
        <v>26</v>
      </c>
      <c r="E1403">
        <v>2295</v>
      </c>
      <c r="F1403">
        <v>531.17999999999995</v>
      </c>
      <c r="G1403">
        <v>451.45</v>
      </c>
      <c r="H1403">
        <v>531.17999999999995</v>
      </c>
      <c r="I1403">
        <v>1278</v>
      </c>
      <c r="J1403">
        <v>55</v>
      </c>
      <c r="K1403" s="17">
        <f t="shared" si="169"/>
        <v>2343</v>
      </c>
      <c r="L1403" t="str">
        <f t="shared" si="170"/>
        <v>High Risk</v>
      </c>
      <c r="P1403" s="19">
        <f t="shared" si="171"/>
        <v>48</v>
      </c>
      <c r="R1403" s="19">
        <f t="shared" si="168"/>
        <v>25496.639999999999</v>
      </c>
      <c r="T1403" s="19">
        <f t="shared" si="172"/>
        <v>576953.1</v>
      </c>
      <c r="U1403" s="19">
        <f t="shared" si="173"/>
        <v>678848.03999999992</v>
      </c>
      <c r="V1403" s="21">
        <f t="shared" si="174"/>
        <v>101894.93999999994</v>
      </c>
      <c r="W1403" s="18">
        <f t="shared" si="175"/>
        <v>0.17660870528297698</v>
      </c>
    </row>
    <row r="1404" spans="1:23" x14ac:dyDescent="0.3">
      <c r="A1404" t="s">
        <v>638</v>
      </c>
      <c r="B1404" t="s">
        <v>2294</v>
      </c>
      <c r="C1404" t="s">
        <v>37</v>
      </c>
      <c r="D1404" t="s">
        <v>20</v>
      </c>
      <c r="E1404">
        <v>2296</v>
      </c>
      <c r="F1404">
        <v>405.75</v>
      </c>
      <c r="G1404">
        <v>437.94</v>
      </c>
      <c r="H1404">
        <v>405.75</v>
      </c>
      <c r="I1404">
        <v>2625</v>
      </c>
      <c r="J1404">
        <v>39</v>
      </c>
      <c r="K1404" s="17">
        <f t="shared" si="169"/>
        <v>3412.5</v>
      </c>
      <c r="L1404" t="str">
        <f t="shared" si="170"/>
        <v>High Risk</v>
      </c>
      <c r="P1404" s="19">
        <f t="shared" si="171"/>
        <v>1117</v>
      </c>
      <c r="R1404" s="19">
        <f t="shared" si="168"/>
        <v>453222.75</v>
      </c>
      <c r="T1404" s="19">
        <f t="shared" si="172"/>
        <v>1149592.5</v>
      </c>
      <c r="U1404" s="19">
        <f t="shared" si="173"/>
        <v>1065093.75</v>
      </c>
      <c r="V1404" s="21">
        <f t="shared" si="174"/>
        <v>-84498.75</v>
      </c>
      <c r="W1404" s="18">
        <f t="shared" si="175"/>
        <v>-7.3503219619125912E-2</v>
      </c>
    </row>
    <row r="1405" spans="1:23" x14ac:dyDescent="0.3">
      <c r="A1405" t="s">
        <v>748</v>
      </c>
      <c r="B1405" t="s">
        <v>2619</v>
      </c>
      <c r="C1405" t="s">
        <v>37</v>
      </c>
      <c r="D1405" t="s">
        <v>26</v>
      </c>
      <c r="E1405">
        <v>2299</v>
      </c>
      <c r="F1405">
        <v>92.29</v>
      </c>
      <c r="G1405">
        <v>89.69</v>
      </c>
      <c r="H1405">
        <v>92.29</v>
      </c>
      <c r="I1405">
        <v>2898</v>
      </c>
      <c r="J1405">
        <v>21</v>
      </c>
      <c r="K1405" s="17">
        <f t="shared" si="169"/>
        <v>2028.6</v>
      </c>
      <c r="L1405" t="str">
        <f t="shared" si="170"/>
        <v>Sufficuent Stock</v>
      </c>
      <c r="P1405" s="19">
        <f t="shared" si="171"/>
        <v>0</v>
      </c>
      <c r="R1405" s="19">
        <f t="shared" si="168"/>
        <v>0</v>
      </c>
      <c r="T1405" s="19">
        <f t="shared" si="172"/>
        <v>259921.62</v>
      </c>
      <c r="U1405" s="19">
        <f t="shared" si="173"/>
        <v>267456.42000000004</v>
      </c>
      <c r="V1405" s="21">
        <f t="shared" si="174"/>
        <v>7534.8000000000466</v>
      </c>
      <c r="W1405" s="18">
        <f t="shared" si="175"/>
        <v>2.8988738989854122E-2</v>
      </c>
    </row>
    <row r="1406" spans="1:23" x14ac:dyDescent="0.3">
      <c r="A1406" t="s">
        <v>310</v>
      </c>
      <c r="B1406" t="s">
        <v>3235</v>
      </c>
      <c r="C1406" t="s">
        <v>16</v>
      </c>
      <c r="D1406" t="s">
        <v>26</v>
      </c>
      <c r="E1406">
        <v>2300</v>
      </c>
      <c r="F1406">
        <v>299.45999999999998</v>
      </c>
      <c r="G1406">
        <v>280.23</v>
      </c>
      <c r="H1406">
        <v>299.45999999999998</v>
      </c>
      <c r="I1406">
        <v>2297</v>
      </c>
      <c r="J1406">
        <v>57</v>
      </c>
      <c r="K1406" s="17">
        <f t="shared" si="169"/>
        <v>4364.3</v>
      </c>
      <c r="L1406" t="str">
        <f t="shared" si="170"/>
        <v>High Risk</v>
      </c>
      <c r="P1406" s="19">
        <f t="shared" si="171"/>
        <v>2065</v>
      </c>
      <c r="R1406" s="19">
        <f t="shared" si="168"/>
        <v>618384.89999999991</v>
      </c>
      <c r="T1406" s="19">
        <f t="shared" si="172"/>
        <v>643688.31000000006</v>
      </c>
      <c r="U1406" s="19">
        <f t="shared" si="173"/>
        <v>687859.62</v>
      </c>
      <c r="V1406" s="21">
        <f t="shared" si="174"/>
        <v>44171.309999999939</v>
      </c>
      <c r="W1406" s="18">
        <f t="shared" si="175"/>
        <v>6.8622203190236486E-2</v>
      </c>
    </row>
    <row r="1407" spans="1:23" x14ac:dyDescent="0.3">
      <c r="A1407" t="s">
        <v>180</v>
      </c>
      <c r="B1407" t="s">
        <v>1462</v>
      </c>
      <c r="C1407" t="s">
        <v>50</v>
      </c>
      <c r="D1407" t="s">
        <v>13</v>
      </c>
      <c r="E1407">
        <v>2303</v>
      </c>
      <c r="F1407">
        <v>70.739999999999995</v>
      </c>
      <c r="G1407">
        <v>71.72</v>
      </c>
      <c r="H1407">
        <v>70.739999999999995</v>
      </c>
      <c r="I1407">
        <v>3264</v>
      </c>
      <c r="J1407">
        <v>63</v>
      </c>
      <c r="K1407" s="17">
        <f t="shared" si="169"/>
        <v>6854.4</v>
      </c>
      <c r="L1407" t="str">
        <f t="shared" si="170"/>
        <v>High Risk</v>
      </c>
      <c r="P1407" s="19">
        <f t="shared" si="171"/>
        <v>4552</v>
      </c>
      <c r="R1407" s="19">
        <f t="shared" si="168"/>
        <v>322008.48</v>
      </c>
      <c r="T1407" s="19">
        <f t="shared" si="172"/>
        <v>234094.07999999999</v>
      </c>
      <c r="U1407" s="19">
        <f t="shared" si="173"/>
        <v>230895.35999999999</v>
      </c>
      <c r="V1407" s="21">
        <f t="shared" si="174"/>
        <v>-3198.7200000000012</v>
      </c>
      <c r="W1407" s="18">
        <f t="shared" si="175"/>
        <v>-1.3664249860568885E-2</v>
      </c>
    </row>
    <row r="1408" spans="1:23" x14ac:dyDescent="0.3">
      <c r="A1408" t="s">
        <v>80</v>
      </c>
      <c r="B1408" t="s">
        <v>1658</v>
      </c>
      <c r="C1408" t="s">
        <v>37</v>
      </c>
      <c r="D1408" t="s">
        <v>20</v>
      </c>
      <c r="E1408">
        <v>2313</v>
      </c>
      <c r="F1408">
        <v>280.81</v>
      </c>
      <c r="G1408">
        <v>282.47000000000003</v>
      </c>
      <c r="H1408">
        <v>280.81</v>
      </c>
      <c r="I1408">
        <v>2868</v>
      </c>
      <c r="J1408">
        <v>35</v>
      </c>
      <c r="K1408" s="17">
        <f t="shared" si="169"/>
        <v>3346</v>
      </c>
      <c r="L1408" t="str">
        <f t="shared" si="170"/>
        <v>High Risk</v>
      </c>
      <c r="P1408" s="19">
        <f t="shared" si="171"/>
        <v>1033</v>
      </c>
      <c r="R1408" s="19">
        <f t="shared" si="168"/>
        <v>290076.73</v>
      </c>
      <c r="T1408" s="19">
        <f t="shared" si="172"/>
        <v>810123.96000000008</v>
      </c>
      <c r="U1408" s="19">
        <f t="shared" si="173"/>
        <v>805363.08</v>
      </c>
      <c r="V1408" s="21">
        <f t="shared" si="174"/>
        <v>-4760.8800000001211</v>
      </c>
      <c r="W1408" s="18">
        <f t="shared" si="175"/>
        <v>-5.8767302722414492E-3</v>
      </c>
    </row>
    <row r="1409" spans="1:23" x14ac:dyDescent="0.3">
      <c r="A1409" t="s">
        <v>42</v>
      </c>
      <c r="B1409" t="s">
        <v>3288</v>
      </c>
      <c r="C1409" t="s">
        <v>16</v>
      </c>
      <c r="D1409" t="s">
        <v>26</v>
      </c>
      <c r="E1409">
        <v>2314</v>
      </c>
      <c r="F1409">
        <v>233.68</v>
      </c>
      <c r="G1409">
        <v>244.87</v>
      </c>
      <c r="H1409">
        <v>233.68</v>
      </c>
      <c r="I1409">
        <v>2139</v>
      </c>
      <c r="J1409">
        <v>36</v>
      </c>
      <c r="K1409" s="17">
        <f t="shared" si="169"/>
        <v>2566.7999999999997</v>
      </c>
      <c r="L1409" t="str">
        <f t="shared" si="170"/>
        <v>High Risk</v>
      </c>
      <c r="P1409" s="19">
        <f t="shared" si="171"/>
        <v>253</v>
      </c>
      <c r="R1409" s="19">
        <f t="shared" si="168"/>
        <v>59121.04</v>
      </c>
      <c r="T1409" s="19">
        <f t="shared" si="172"/>
        <v>523776.93</v>
      </c>
      <c r="U1409" s="19">
        <f t="shared" si="173"/>
        <v>499841.52</v>
      </c>
      <c r="V1409" s="21">
        <f t="shared" si="174"/>
        <v>-23935.409999999974</v>
      </c>
      <c r="W1409" s="18">
        <f t="shared" si="175"/>
        <v>-4.5697717156041935E-2</v>
      </c>
    </row>
    <row r="1410" spans="1:23" x14ac:dyDescent="0.3">
      <c r="A1410" t="s">
        <v>748</v>
      </c>
      <c r="B1410" t="s">
        <v>3225</v>
      </c>
      <c r="C1410" t="s">
        <v>12</v>
      </c>
      <c r="D1410" t="s">
        <v>13</v>
      </c>
      <c r="E1410">
        <v>2316</v>
      </c>
      <c r="F1410">
        <v>291.47000000000003</v>
      </c>
      <c r="G1410">
        <v>251.21</v>
      </c>
      <c r="H1410">
        <v>291.47000000000003</v>
      </c>
      <c r="I1410">
        <v>2837</v>
      </c>
      <c r="J1410">
        <v>9</v>
      </c>
      <c r="K1410" s="17">
        <f t="shared" si="169"/>
        <v>851.09999999999991</v>
      </c>
      <c r="L1410" t="str">
        <f t="shared" si="170"/>
        <v>Sufficuent Stock</v>
      </c>
      <c r="P1410" s="19">
        <f t="shared" si="171"/>
        <v>0</v>
      </c>
      <c r="R1410" s="19">
        <f t="shared" ref="R1410:R1473" si="176">P1410*H1410</f>
        <v>0</v>
      </c>
      <c r="T1410" s="19">
        <f t="shared" si="172"/>
        <v>712682.77</v>
      </c>
      <c r="U1410" s="19">
        <f t="shared" si="173"/>
        <v>826900.39000000013</v>
      </c>
      <c r="V1410" s="21">
        <f t="shared" si="174"/>
        <v>114217.62000000011</v>
      </c>
      <c r="W1410" s="18">
        <f t="shared" si="175"/>
        <v>0.16026432068787086</v>
      </c>
    </row>
    <row r="1411" spans="1:23" x14ac:dyDescent="0.3">
      <c r="A1411" t="s">
        <v>590</v>
      </c>
      <c r="B1411" t="s">
        <v>1063</v>
      </c>
      <c r="C1411" t="s">
        <v>12</v>
      </c>
      <c r="D1411" t="s">
        <v>26</v>
      </c>
      <c r="E1411">
        <v>2316</v>
      </c>
      <c r="F1411">
        <v>156.79</v>
      </c>
      <c r="G1411">
        <v>135.76</v>
      </c>
      <c r="H1411">
        <v>156.79</v>
      </c>
      <c r="I1411">
        <v>1189</v>
      </c>
      <c r="J1411">
        <v>38</v>
      </c>
      <c r="K1411" s="17">
        <f t="shared" ref="K1411:K1474" si="177">(I1411/30)*J1411</f>
        <v>1506.0666666666666</v>
      </c>
      <c r="L1411" t="str">
        <f t="shared" ref="L1411:L1474" si="178">IF(E1411&lt;K1411,"High Risk","Sufficuent Stock")</f>
        <v>Sufficuent Stock</v>
      </c>
      <c r="P1411" s="19">
        <f t="shared" ref="P1411:P1474" si="179">ROUNDUP(MAX(0,K1411-E1411),0)</f>
        <v>0</v>
      </c>
      <c r="R1411" s="19">
        <f t="shared" si="176"/>
        <v>0</v>
      </c>
      <c r="T1411" s="19">
        <f t="shared" ref="T1411:T1474" si="180">I1411*G1411</f>
        <v>161418.63999999998</v>
      </c>
      <c r="U1411" s="19">
        <f t="shared" ref="U1411:U1474" si="181">I1411*H1411</f>
        <v>186423.31</v>
      </c>
      <c r="V1411" s="21">
        <f t="shared" ref="V1411:V1474" si="182">U1411-T1411</f>
        <v>25004.670000000013</v>
      </c>
      <c r="W1411" s="18">
        <f t="shared" ref="W1411:W1474" si="183">IFERROR(V1411/T1411,0)</f>
        <v>0.15490571596935779</v>
      </c>
    </row>
    <row r="1412" spans="1:23" x14ac:dyDescent="0.3">
      <c r="A1412" t="s">
        <v>1264</v>
      </c>
      <c r="B1412" t="s">
        <v>1863</v>
      </c>
      <c r="C1412" t="s">
        <v>12</v>
      </c>
      <c r="D1412" t="s">
        <v>13</v>
      </c>
      <c r="E1412">
        <v>2317</v>
      </c>
      <c r="F1412">
        <v>524.47</v>
      </c>
      <c r="G1412">
        <v>474.2</v>
      </c>
      <c r="H1412">
        <v>524.47</v>
      </c>
      <c r="I1412">
        <v>2887</v>
      </c>
      <c r="J1412">
        <v>83</v>
      </c>
      <c r="K1412" s="17">
        <f t="shared" si="177"/>
        <v>7987.3666666666668</v>
      </c>
      <c r="L1412" t="str">
        <f t="shared" si="178"/>
        <v>High Risk</v>
      </c>
      <c r="P1412" s="19">
        <f t="shared" si="179"/>
        <v>5671</v>
      </c>
      <c r="R1412" s="19">
        <f t="shared" si="176"/>
        <v>2974269.37</v>
      </c>
      <c r="T1412" s="19">
        <f t="shared" si="180"/>
        <v>1369015.4</v>
      </c>
      <c r="U1412" s="19">
        <f t="shared" si="181"/>
        <v>1514144.8900000001</v>
      </c>
      <c r="V1412" s="21">
        <f t="shared" si="182"/>
        <v>145129.49000000022</v>
      </c>
      <c r="W1412" s="18">
        <f t="shared" si="183"/>
        <v>0.10601012231126124</v>
      </c>
    </row>
    <row r="1413" spans="1:23" x14ac:dyDescent="0.3">
      <c r="A1413" t="s">
        <v>243</v>
      </c>
      <c r="B1413" t="s">
        <v>1383</v>
      </c>
      <c r="C1413" t="s">
        <v>23</v>
      </c>
      <c r="D1413" t="s">
        <v>69</v>
      </c>
      <c r="E1413">
        <v>2319</v>
      </c>
      <c r="F1413">
        <v>49.74</v>
      </c>
      <c r="G1413">
        <v>49.57</v>
      </c>
      <c r="H1413">
        <v>49.74</v>
      </c>
      <c r="I1413">
        <v>2601</v>
      </c>
      <c r="J1413">
        <v>28</v>
      </c>
      <c r="K1413" s="17">
        <f t="shared" si="177"/>
        <v>2427.6</v>
      </c>
      <c r="L1413" t="str">
        <f t="shared" si="178"/>
        <v>High Risk</v>
      </c>
      <c r="P1413" s="19">
        <f t="shared" si="179"/>
        <v>109</v>
      </c>
      <c r="R1413" s="19">
        <f t="shared" si="176"/>
        <v>5421.66</v>
      </c>
      <c r="T1413" s="19">
        <f t="shared" si="180"/>
        <v>128931.57</v>
      </c>
      <c r="U1413" s="19">
        <f t="shared" si="181"/>
        <v>129373.74</v>
      </c>
      <c r="V1413" s="21">
        <f t="shared" si="182"/>
        <v>442.16999999999825</v>
      </c>
      <c r="W1413" s="18">
        <f t="shared" si="183"/>
        <v>3.4294936453499966E-3</v>
      </c>
    </row>
    <row r="1414" spans="1:23" x14ac:dyDescent="0.3">
      <c r="A1414" t="s">
        <v>216</v>
      </c>
      <c r="B1414" t="s">
        <v>2155</v>
      </c>
      <c r="C1414" t="s">
        <v>23</v>
      </c>
      <c r="D1414" t="s">
        <v>13</v>
      </c>
      <c r="E1414">
        <v>2321</v>
      </c>
      <c r="F1414">
        <v>342.14</v>
      </c>
      <c r="G1414">
        <v>372.15</v>
      </c>
      <c r="H1414">
        <v>342.14</v>
      </c>
      <c r="I1414">
        <v>872</v>
      </c>
      <c r="J1414">
        <v>64</v>
      </c>
      <c r="K1414" s="17">
        <f t="shared" si="177"/>
        <v>1860.2666666666667</v>
      </c>
      <c r="L1414" t="str">
        <f t="shared" si="178"/>
        <v>Sufficuent Stock</v>
      </c>
      <c r="P1414" s="19">
        <f t="shared" si="179"/>
        <v>0</v>
      </c>
      <c r="R1414" s="19">
        <f t="shared" si="176"/>
        <v>0</v>
      </c>
      <c r="T1414" s="19">
        <f t="shared" si="180"/>
        <v>324514.8</v>
      </c>
      <c r="U1414" s="19">
        <f t="shared" si="181"/>
        <v>298346.08</v>
      </c>
      <c r="V1414" s="21">
        <f t="shared" si="182"/>
        <v>-26168.719999999972</v>
      </c>
      <c r="W1414" s="18">
        <f t="shared" si="183"/>
        <v>-8.063952707241695E-2</v>
      </c>
    </row>
    <row r="1415" spans="1:23" x14ac:dyDescent="0.3">
      <c r="A1415" t="s">
        <v>203</v>
      </c>
      <c r="B1415" t="s">
        <v>2250</v>
      </c>
      <c r="C1415" t="s">
        <v>12</v>
      </c>
      <c r="D1415" t="s">
        <v>13</v>
      </c>
      <c r="E1415">
        <v>2322</v>
      </c>
      <c r="F1415">
        <v>381.47</v>
      </c>
      <c r="G1415">
        <v>364.07</v>
      </c>
      <c r="H1415">
        <v>381.47</v>
      </c>
      <c r="I1415">
        <v>2802</v>
      </c>
      <c r="J1415">
        <v>45</v>
      </c>
      <c r="K1415" s="17">
        <f t="shared" si="177"/>
        <v>4203</v>
      </c>
      <c r="L1415" t="str">
        <f t="shared" si="178"/>
        <v>High Risk</v>
      </c>
      <c r="P1415" s="19">
        <f t="shared" si="179"/>
        <v>1881</v>
      </c>
      <c r="R1415" s="19">
        <f t="shared" si="176"/>
        <v>717545.07000000007</v>
      </c>
      <c r="T1415" s="19">
        <f t="shared" si="180"/>
        <v>1020124.14</v>
      </c>
      <c r="U1415" s="19">
        <f t="shared" si="181"/>
        <v>1068878.9400000002</v>
      </c>
      <c r="V1415" s="21">
        <f t="shared" si="182"/>
        <v>48754.800000000163</v>
      </c>
      <c r="W1415" s="18">
        <f t="shared" si="183"/>
        <v>4.7793006839344239E-2</v>
      </c>
    </row>
    <row r="1416" spans="1:23" x14ac:dyDescent="0.3">
      <c r="A1416" t="s">
        <v>590</v>
      </c>
      <c r="B1416" t="s">
        <v>3082</v>
      </c>
      <c r="C1416" t="s">
        <v>12</v>
      </c>
      <c r="D1416" t="s">
        <v>17</v>
      </c>
      <c r="E1416">
        <v>2325</v>
      </c>
      <c r="F1416">
        <v>274.58999999999997</v>
      </c>
      <c r="G1416">
        <v>231.18</v>
      </c>
      <c r="H1416">
        <v>274.58999999999997</v>
      </c>
      <c r="I1416">
        <v>3728</v>
      </c>
      <c r="J1416">
        <v>23</v>
      </c>
      <c r="K1416" s="17">
        <f t="shared" si="177"/>
        <v>2858.1333333333332</v>
      </c>
      <c r="L1416" t="str">
        <f t="shared" si="178"/>
        <v>High Risk</v>
      </c>
      <c r="P1416" s="19">
        <f t="shared" si="179"/>
        <v>534</v>
      </c>
      <c r="R1416" s="19">
        <f t="shared" si="176"/>
        <v>146631.06</v>
      </c>
      <c r="T1416" s="19">
        <f t="shared" si="180"/>
        <v>861839.04</v>
      </c>
      <c r="U1416" s="19">
        <f t="shared" si="181"/>
        <v>1023671.5199999999</v>
      </c>
      <c r="V1416" s="21">
        <f t="shared" si="182"/>
        <v>161832.47999999986</v>
      </c>
      <c r="W1416" s="18">
        <f t="shared" si="183"/>
        <v>0.18777575914871511</v>
      </c>
    </row>
    <row r="1417" spans="1:23" x14ac:dyDescent="0.3">
      <c r="A1417" t="s">
        <v>559</v>
      </c>
      <c r="B1417" t="s">
        <v>925</v>
      </c>
      <c r="C1417" t="s">
        <v>23</v>
      </c>
      <c r="D1417" t="s">
        <v>26</v>
      </c>
      <c r="E1417">
        <v>2326</v>
      </c>
      <c r="F1417">
        <v>114.19</v>
      </c>
      <c r="G1417">
        <v>102.11</v>
      </c>
      <c r="H1417">
        <v>114.19</v>
      </c>
      <c r="I1417">
        <v>1772</v>
      </c>
      <c r="J1417">
        <v>55</v>
      </c>
      <c r="K1417" s="17">
        <f t="shared" si="177"/>
        <v>3248.666666666667</v>
      </c>
      <c r="L1417" t="str">
        <f t="shared" si="178"/>
        <v>High Risk</v>
      </c>
      <c r="P1417" s="19">
        <f t="shared" si="179"/>
        <v>923</v>
      </c>
      <c r="R1417" s="19">
        <f t="shared" si="176"/>
        <v>105397.37</v>
      </c>
      <c r="T1417" s="19">
        <f t="shared" si="180"/>
        <v>180938.92</v>
      </c>
      <c r="U1417" s="19">
        <f t="shared" si="181"/>
        <v>202344.68</v>
      </c>
      <c r="V1417" s="21">
        <f t="shared" si="182"/>
        <v>21405.75999999998</v>
      </c>
      <c r="W1417" s="18">
        <f t="shared" si="183"/>
        <v>0.1183037900303593</v>
      </c>
    </row>
    <row r="1418" spans="1:23" x14ac:dyDescent="0.3">
      <c r="A1418" t="s">
        <v>370</v>
      </c>
      <c r="B1418" t="s">
        <v>1047</v>
      </c>
      <c r="C1418" t="s">
        <v>12</v>
      </c>
      <c r="D1418" t="s">
        <v>17</v>
      </c>
      <c r="E1418">
        <v>2327</v>
      </c>
      <c r="F1418">
        <v>289.24</v>
      </c>
      <c r="G1418">
        <v>318.91000000000003</v>
      </c>
      <c r="H1418">
        <v>289.24</v>
      </c>
      <c r="I1418">
        <v>1919</v>
      </c>
      <c r="J1418">
        <v>85</v>
      </c>
      <c r="K1418" s="17">
        <f t="shared" si="177"/>
        <v>5437.166666666667</v>
      </c>
      <c r="L1418" t="str">
        <f t="shared" si="178"/>
        <v>High Risk</v>
      </c>
      <c r="P1418" s="19">
        <f t="shared" si="179"/>
        <v>3111</v>
      </c>
      <c r="R1418" s="19">
        <f t="shared" si="176"/>
        <v>899825.64</v>
      </c>
      <c r="T1418" s="19">
        <f t="shared" si="180"/>
        <v>611988.29</v>
      </c>
      <c r="U1418" s="19">
        <f t="shared" si="181"/>
        <v>555051.56000000006</v>
      </c>
      <c r="V1418" s="21">
        <f t="shared" si="182"/>
        <v>-56936.729999999981</v>
      </c>
      <c r="W1418" s="18">
        <f t="shared" si="183"/>
        <v>-9.3035652691982024E-2</v>
      </c>
    </row>
    <row r="1419" spans="1:23" x14ac:dyDescent="0.3">
      <c r="A1419" t="s">
        <v>57</v>
      </c>
      <c r="B1419" t="s">
        <v>58</v>
      </c>
      <c r="C1419" t="s">
        <v>37</v>
      </c>
      <c r="D1419" t="s">
        <v>17</v>
      </c>
      <c r="E1419">
        <v>2327</v>
      </c>
      <c r="F1419">
        <v>73.14</v>
      </c>
      <c r="G1419">
        <v>71.34</v>
      </c>
      <c r="H1419">
        <v>73.14</v>
      </c>
      <c r="I1419">
        <v>3450</v>
      </c>
      <c r="J1419">
        <v>37</v>
      </c>
      <c r="K1419" s="17">
        <f t="shared" si="177"/>
        <v>4255</v>
      </c>
      <c r="L1419" t="str">
        <f t="shared" si="178"/>
        <v>High Risk</v>
      </c>
      <c r="P1419" s="19">
        <f t="shared" si="179"/>
        <v>1928</v>
      </c>
      <c r="R1419" s="19">
        <f t="shared" si="176"/>
        <v>141013.92000000001</v>
      </c>
      <c r="T1419" s="19">
        <f t="shared" si="180"/>
        <v>246123</v>
      </c>
      <c r="U1419" s="19">
        <f t="shared" si="181"/>
        <v>252333</v>
      </c>
      <c r="V1419" s="21">
        <f t="shared" si="182"/>
        <v>6210</v>
      </c>
      <c r="W1419" s="18">
        <f t="shared" si="183"/>
        <v>2.5231286795626577E-2</v>
      </c>
    </row>
    <row r="1420" spans="1:23" x14ac:dyDescent="0.3">
      <c r="A1420" t="s">
        <v>240</v>
      </c>
      <c r="B1420" t="s">
        <v>3058</v>
      </c>
      <c r="C1420" t="s">
        <v>23</v>
      </c>
      <c r="D1420" t="s">
        <v>69</v>
      </c>
      <c r="E1420">
        <v>2327</v>
      </c>
      <c r="F1420">
        <v>178.69</v>
      </c>
      <c r="G1420">
        <v>183.6</v>
      </c>
      <c r="H1420">
        <v>178.69</v>
      </c>
      <c r="I1420">
        <v>3997</v>
      </c>
      <c r="J1420">
        <v>84</v>
      </c>
      <c r="K1420" s="17">
        <f t="shared" si="177"/>
        <v>11191.599999999999</v>
      </c>
      <c r="L1420" t="str">
        <f t="shared" si="178"/>
        <v>High Risk</v>
      </c>
      <c r="P1420" s="19">
        <f t="shared" si="179"/>
        <v>8865</v>
      </c>
      <c r="R1420" s="19">
        <f t="shared" si="176"/>
        <v>1584086.85</v>
      </c>
      <c r="T1420" s="19">
        <f t="shared" si="180"/>
        <v>733849.2</v>
      </c>
      <c r="U1420" s="19">
        <f t="shared" si="181"/>
        <v>714223.92999999993</v>
      </c>
      <c r="V1420" s="21">
        <f t="shared" si="182"/>
        <v>-19625.270000000019</v>
      </c>
      <c r="W1420" s="18">
        <f t="shared" si="183"/>
        <v>-2.6742919389978241E-2</v>
      </c>
    </row>
    <row r="1421" spans="1:23" x14ac:dyDescent="0.3">
      <c r="A1421" t="s">
        <v>278</v>
      </c>
      <c r="B1421" t="s">
        <v>2456</v>
      </c>
      <c r="C1421" t="s">
        <v>50</v>
      </c>
      <c r="D1421" t="s">
        <v>13</v>
      </c>
      <c r="E1421">
        <v>2329</v>
      </c>
      <c r="F1421">
        <v>19.82</v>
      </c>
      <c r="G1421">
        <v>18.38</v>
      </c>
      <c r="H1421">
        <v>19.82</v>
      </c>
      <c r="I1421">
        <v>333</v>
      </c>
      <c r="J1421">
        <v>54</v>
      </c>
      <c r="K1421" s="17">
        <f t="shared" si="177"/>
        <v>599.4</v>
      </c>
      <c r="L1421" t="str">
        <f t="shared" si="178"/>
        <v>Sufficuent Stock</v>
      </c>
      <c r="P1421" s="19">
        <f t="shared" si="179"/>
        <v>0</v>
      </c>
      <c r="R1421" s="19">
        <f t="shared" si="176"/>
        <v>0</v>
      </c>
      <c r="T1421" s="19">
        <f t="shared" si="180"/>
        <v>6120.54</v>
      </c>
      <c r="U1421" s="19">
        <f t="shared" si="181"/>
        <v>6600.06</v>
      </c>
      <c r="V1421" s="21">
        <f t="shared" si="182"/>
        <v>479.52000000000044</v>
      </c>
      <c r="W1421" s="18">
        <f t="shared" si="183"/>
        <v>7.8346028291621406E-2</v>
      </c>
    </row>
    <row r="1422" spans="1:23" x14ac:dyDescent="0.3">
      <c r="A1422" t="s">
        <v>186</v>
      </c>
      <c r="B1422" t="s">
        <v>3172</v>
      </c>
      <c r="C1422" t="s">
        <v>12</v>
      </c>
      <c r="D1422" t="s">
        <v>17</v>
      </c>
      <c r="E1422">
        <v>2331</v>
      </c>
      <c r="F1422">
        <v>478.58</v>
      </c>
      <c r="G1422">
        <v>436.57</v>
      </c>
      <c r="H1422">
        <v>478.58</v>
      </c>
      <c r="I1422">
        <v>576</v>
      </c>
      <c r="J1422">
        <v>73</v>
      </c>
      <c r="K1422" s="17">
        <f t="shared" si="177"/>
        <v>1401.6</v>
      </c>
      <c r="L1422" t="str">
        <f t="shared" si="178"/>
        <v>Sufficuent Stock</v>
      </c>
      <c r="P1422" s="19">
        <f t="shared" si="179"/>
        <v>0</v>
      </c>
      <c r="R1422" s="19">
        <f t="shared" si="176"/>
        <v>0</v>
      </c>
      <c r="T1422" s="19">
        <f t="shared" si="180"/>
        <v>251464.32000000001</v>
      </c>
      <c r="U1422" s="19">
        <f t="shared" si="181"/>
        <v>275662.08000000002</v>
      </c>
      <c r="V1422" s="21">
        <f t="shared" si="182"/>
        <v>24197.760000000009</v>
      </c>
      <c r="W1422" s="18">
        <f t="shared" si="183"/>
        <v>9.6227409121103183E-2</v>
      </c>
    </row>
    <row r="1423" spans="1:23" x14ac:dyDescent="0.3">
      <c r="A1423" t="s">
        <v>546</v>
      </c>
      <c r="B1423" t="s">
        <v>1805</v>
      </c>
      <c r="C1423" t="s">
        <v>23</v>
      </c>
      <c r="D1423" t="s">
        <v>20</v>
      </c>
      <c r="E1423">
        <v>2332</v>
      </c>
      <c r="F1423">
        <v>229.28</v>
      </c>
      <c r="G1423">
        <v>197.95</v>
      </c>
      <c r="H1423">
        <v>229.28</v>
      </c>
      <c r="I1423">
        <v>184</v>
      </c>
      <c r="J1423">
        <v>90</v>
      </c>
      <c r="K1423" s="17">
        <f t="shared" si="177"/>
        <v>552</v>
      </c>
      <c r="L1423" t="str">
        <f t="shared" si="178"/>
        <v>Sufficuent Stock</v>
      </c>
      <c r="P1423" s="19">
        <f t="shared" si="179"/>
        <v>0</v>
      </c>
      <c r="R1423" s="19">
        <f t="shared" si="176"/>
        <v>0</v>
      </c>
      <c r="T1423" s="19">
        <f t="shared" si="180"/>
        <v>36422.799999999996</v>
      </c>
      <c r="U1423" s="19">
        <f t="shared" si="181"/>
        <v>42187.519999999997</v>
      </c>
      <c r="V1423" s="21">
        <f t="shared" si="182"/>
        <v>5764.7200000000012</v>
      </c>
      <c r="W1423" s="18">
        <f t="shared" si="183"/>
        <v>0.1582722909825714</v>
      </c>
    </row>
    <row r="1424" spans="1:23" x14ac:dyDescent="0.3">
      <c r="A1424" t="s">
        <v>430</v>
      </c>
      <c r="B1424" t="s">
        <v>624</v>
      </c>
      <c r="C1424" t="s">
        <v>23</v>
      </c>
      <c r="D1424" t="s">
        <v>20</v>
      </c>
      <c r="E1424">
        <v>2333</v>
      </c>
      <c r="F1424">
        <v>202.41</v>
      </c>
      <c r="G1424">
        <v>194.23</v>
      </c>
      <c r="H1424">
        <v>202.41</v>
      </c>
      <c r="I1424">
        <v>806</v>
      </c>
      <c r="J1424">
        <v>38</v>
      </c>
      <c r="K1424" s="17">
        <f t="shared" si="177"/>
        <v>1020.9333333333334</v>
      </c>
      <c r="L1424" t="str">
        <f t="shared" si="178"/>
        <v>Sufficuent Stock</v>
      </c>
      <c r="P1424" s="19">
        <f t="shared" si="179"/>
        <v>0</v>
      </c>
      <c r="R1424" s="19">
        <f t="shared" si="176"/>
        <v>0</v>
      </c>
      <c r="T1424" s="19">
        <f t="shared" si="180"/>
        <v>156549.38</v>
      </c>
      <c r="U1424" s="19">
        <f t="shared" si="181"/>
        <v>163142.46</v>
      </c>
      <c r="V1424" s="21">
        <f t="shared" si="182"/>
        <v>6593.0799999999872</v>
      </c>
      <c r="W1424" s="18">
        <f t="shared" si="183"/>
        <v>4.2115018277300027E-2</v>
      </c>
    </row>
    <row r="1425" spans="1:23" x14ac:dyDescent="0.3">
      <c r="A1425" t="s">
        <v>141</v>
      </c>
      <c r="B1425" t="s">
        <v>1980</v>
      </c>
      <c r="C1425" t="s">
        <v>23</v>
      </c>
      <c r="D1425" t="s">
        <v>69</v>
      </c>
      <c r="E1425">
        <v>2333</v>
      </c>
      <c r="F1425">
        <v>358.83</v>
      </c>
      <c r="G1425">
        <v>348.74</v>
      </c>
      <c r="H1425">
        <v>358.83</v>
      </c>
      <c r="I1425">
        <v>3432</v>
      </c>
      <c r="J1425">
        <v>8</v>
      </c>
      <c r="K1425" s="17">
        <f t="shared" si="177"/>
        <v>915.2</v>
      </c>
      <c r="L1425" t="str">
        <f t="shared" si="178"/>
        <v>Sufficuent Stock</v>
      </c>
      <c r="P1425" s="19">
        <f t="shared" si="179"/>
        <v>0</v>
      </c>
      <c r="R1425" s="19">
        <f t="shared" si="176"/>
        <v>0</v>
      </c>
      <c r="T1425" s="19">
        <f t="shared" si="180"/>
        <v>1196875.68</v>
      </c>
      <c r="U1425" s="19">
        <f t="shared" si="181"/>
        <v>1231504.56</v>
      </c>
      <c r="V1425" s="21">
        <f t="shared" si="182"/>
        <v>34628.880000000121</v>
      </c>
      <c r="W1425" s="18">
        <f t="shared" si="183"/>
        <v>2.8932729253885518E-2</v>
      </c>
    </row>
    <row r="1426" spans="1:23" x14ac:dyDescent="0.3">
      <c r="A1426" t="s">
        <v>671</v>
      </c>
      <c r="B1426" t="s">
        <v>3181</v>
      </c>
      <c r="C1426" t="s">
        <v>12</v>
      </c>
      <c r="D1426" t="s">
        <v>26</v>
      </c>
      <c r="E1426">
        <v>2336</v>
      </c>
      <c r="F1426">
        <v>167.76</v>
      </c>
      <c r="G1426">
        <v>143.16999999999999</v>
      </c>
      <c r="H1426">
        <v>167.76</v>
      </c>
      <c r="I1426">
        <v>317</v>
      </c>
      <c r="J1426">
        <v>76</v>
      </c>
      <c r="K1426" s="17">
        <f t="shared" si="177"/>
        <v>803.06666666666661</v>
      </c>
      <c r="L1426" t="str">
        <f t="shared" si="178"/>
        <v>Sufficuent Stock</v>
      </c>
      <c r="P1426" s="19">
        <f t="shared" si="179"/>
        <v>0</v>
      </c>
      <c r="R1426" s="19">
        <f t="shared" si="176"/>
        <v>0</v>
      </c>
      <c r="T1426" s="19">
        <f t="shared" si="180"/>
        <v>45384.89</v>
      </c>
      <c r="U1426" s="19">
        <f t="shared" si="181"/>
        <v>53179.92</v>
      </c>
      <c r="V1426" s="21">
        <f t="shared" si="182"/>
        <v>7795.0299999999988</v>
      </c>
      <c r="W1426" s="18">
        <f t="shared" si="183"/>
        <v>0.17175385904868337</v>
      </c>
    </row>
    <row r="1427" spans="1:23" x14ac:dyDescent="0.3">
      <c r="A1427" t="s">
        <v>1121</v>
      </c>
      <c r="B1427" t="s">
        <v>1122</v>
      </c>
      <c r="C1427" t="s">
        <v>50</v>
      </c>
      <c r="D1427" t="s">
        <v>17</v>
      </c>
      <c r="E1427">
        <v>2336</v>
      </c>
      <c r="F1427">
        <v>203.54</v>
      </c>
      <c r="G1427">
        <v>185.76</v>
      </c>
      <c r="H1427">
        <v>203.54</v>
      </c>
      <c r="I1427">
        <v>2612</v>
      </c>
      <c r="J1427">
        <v>33</v>
      </c>
      <c r="K1427" s="17">
        <f t="shared" si="177"/>
        <v>2873.2</v>
      </c>
      <c r="L1427" t="str">
        <f t="shared" si="178"/>
        <v>High Risk</v>
      </c>
      <c r="P1427" s="19">
        <f t="shared" si="179"/>
        <v>538</v>
      </c>
      <c r="R1427" s="19">
        <f t="shared" si="176"/>
        <v>109504.51999999999</v>
      </c>
      <c r="T1427" s="19">
        <f t="shared" si="180"/>
        <v>485205.12</v>
      </c>
      <c r="U1427" s="19">
        <f t="shared" si="181"/>
        <v>531646.48</v>
      </c>
      <c r="V1427" s="21">
        <f t="shared" si="182"/>
        <v>46441.359999999986</v>
      </c>
      <c r="W1427" s="18">
        <f t="shared" si="183"/>
        <v>9.5714900947459061E-2</v>
      </c>
    </row>
    <row r="1428" spans="1:23" x14ac:dyDescent="0.3">
      <c r="A1428" t="s">
        <v>278</v>
      </c>
      <c r="B1428" t="s">
        <v>2305</v>
      </c>
      <c r="C1428" t="s">
        <v>12</v>
      </c>
      <c r="D1428" t="s">
        <v>26</v>
      </c>
      <c r="E1428">
        <v>2339</v>
      </c>
      <c r="F1428">
        <v>478.68</v>
      </c>
      <c r="G1428">
        <v>425.66</v>
      </c>
      <c r="H1428">
        <v>478.68</v>
      </c>
      <c r="I1428">
        <v>1971</v>
      </c>
      <c r="J1428">
        <v>21</v>
      </c>
      <c r="K1428" s="17">
        <f t="shared" si="177"/>
        <v>1379.7</v>
      </c>
      <c r="L1428" t="str">
        <f t="shared" si="178"/>
        <v>Sufficuent Stock</v>
      </c>
      <c r="P1428" s="19">
        <f t="shared" si="179"/>
        <v>0</v>
      </c>
      <c r="R1428" s="19">
        <f t="shared" si="176"/>
        <v>0</v>
      </c>
      <c r="T1428" s="19">
        <f t="shared" si="180"/>
        <v>838975.8600000001</v>
      </c>
      <c r="U1428" s="19">
        <f t="shared" si="181"/>
        <v>943478.28</v>
      </c>
      <c r="V1428" s="21">
        <f t="shared" si="182"/>
        <v>104502.41999999993</v>
      </c>
      <c r="W1428" s="18">
        <f t="shared" si="183"/>
        <v>0.12455950758821584</v>
      </c>
    </row>
    <row r="1429" spans="1:23" x14ac:dyDescent="0.3">
      <c r="A1429" t="s">
        <v>159</v>
      </c>
      <c r="B1429" t="s">
        <v>1288</v>
      </c>
      <c r="C1429" t="s">
        <v>37</v>
      </c>
      <c r="D1429" t="s">
        <v>20</v>
      </c>
      <c r="E1429">
        <v>2342</v>
      </c>
      <c r="F1429">
        <v>22.43</v>
      </c>
      <c r="G1429">
        <v>22.15</v>
      </c>
      <c r="H1429">
        <v>22.43</v>
      </c>
      <c r="I1429">
        <v>1032</v>
      </c>
      <c r="J1429">
        <v>89</v>
      </c>
      <c r="K1429" s="17">
        <f t="shared" si="177"/>
        <v>3061.6</v>
      </c>
      <c r="L1429" t="str">
        <f t="shared" si="178"/>
        <v>High Risk</v>
      </c>
      <c r="P1429" s="19">
        <f t="shared" si="179"/>
        <v>720</v>
      </c>
      <c r="R1429" s="19">
        <f t="shared" si="176"/>
        <v>16149.6</v>
      </c>
      <c r="T1429" s="19">
        <f t="shared" si="180"/>
        <v>22858.799999999999</v>
      </c>
      <c r="U1429" s="19">
        <f t="shared" si="181"/>
        <v>23147.759999999998</v>
      </c>
      <c r="V1429" s="21">
        <f t="shared" si="182"/>
        <v>288.95999999999913</v>
      </c>
      <c r="W1429" s="18">
        <f t="shared" si="183"/>
        <v>1.2641083521444657E-2</v>
      </c>
    </row>
    <row r="1430" spans="1:23" x14ac:dyDescent="0.3">
      <c r="A1430" t="s">
        <v>459</v>
      </c>
      <c r="B1430" t="s">
        <v>3139</v>
      </c>
      <c r="C1430" t="s">
        <v>50</v>
      </c>
      <c r="D1430" t="s">
        <v>20</v>
      </c>
      <c r="E1430">
        <v>2344</v>
      </c>
      <c r="F1430">
        <v>104.72</v>
      </c>
      <c r="G1430">
        <v>94.49</v>
      </c>
      <c r="H1430">
        <v>104.72</v>
      </c>
      <c r="I1430">
        <v>3895</v>
      </c>
      <c r="J1430">
        <v>60</v>
      </c>
      <c r="K1430" s="17">
        <f t="shared" si="177"/>
        <v>7790.0000000000009</v>
      </c>
      <c r="L1430" t="str">
        <f t="shared" si="178"/>
        <v>High Risk</v>
      </c>
      <c r="P1430" s="19">
        <f t="shared" si="179"/>
        <v>5446</v>
      </c>
      <c r="R1430" s="19">
        <f t="shared" si="176"/>
        <v>570305.12</v>
      </c>
      <c r="T1430" s="19">
        <f t="shared" si="180"/>
        <v>368038.55</v>
      </c>
      <c r="U1430" s="19">
        <f t="shared" si="181"/>
        <v>407884.4</v>
      </c>
      <c r="V1430" s="21">
        <f t="shared" si="182"/>
        <v>39845.850000000035</v>
      </c>
      <c r="W1430" s="18">
        <f t="shared" si="183"/>
        <v>0.10826542491268927</v>
      </c>
    </row>
    <row r="1431" spans="1:23" x14ac:dyDescent="0.3">
      <c r="A1431" t="s">
        <v>418</v>
      </c>
      <c r="B1431" t="s">
        <v>1850</v>
      </c>
      <c r="C1431" t="s">
        <v>16</v>
      </c>
      <c r="D1431" t="s">
        <v>69</v>
      </c>
      <c r="E1431">
        <v>2349</v>
      </c>
      <c r="F1431">
        <v>47.71</v>
      </c>
      <c r="G1431">
        <v>39.83</v>
      </c>
      <c r="H1431">
        <v>47.71</v>
      </c>
      <c r="I1431">
        <v>852</v>
      </c>
      <c r="J1431">
        <v>8</v>
      </c>
      <c r="K1431" s="17">
        <f t="shared" si="177"/>
        <v>227.2</v>
      </c>
      <c r="L1431" t="str">
        <f t="shared" si="178"/>
        <v>Sufficuent Stock</v>
      </c>
      <c r="P1431" s="19">
        <f t="shared" si="179"/>
        <v>0</v>
      </c>
      <c r="R1431" s="19">
        <f t="shared" si="176"/>
        <v>0</v>
      </c>
      <c r="T1431" s="19">
        <f t="shared" si="180"/>
        <v>33935.159999999996</v>
      </c>
      <c r="U1431" s="19">
        <f t="shared" si="181"/>
        <v>40648.92</v>
      </c>
      <c r="V1431" s="21">
        <f t="shared" si="182"/>
        <v>6713.760000000002</v>
      </c>
      <c r="W1431" s="18">
        <f t="shared" si="183"/>
        <v>0.19784082349987456</v>
      </c>
    </row>
    <row r="1432" spans="1:23" x14ac:dyDescent="0.3">
      <c r="A1432" t="s">
        <v>413</v>
      </c>
      <c r="B1432" t="s">
        <v>2546</v>
      </c>
      <c r="C1432" t="s">
        <v>37</v>
      </c>
      <c r="D1432" t="s">
        <v>20</v>
      </c>
      <c r="E1432">
        <v>2351</v>
      </c>
      <c r="F1432">
        <v>69.86</v>
      </c>
      <c r="G1432">
        <v>69.260000000000005</v>
      </c>
      <c r="H1432">
        <v>69.86</v>
      </c>
      <c r="I1432">
        <v>2891</v>
      </c>
      <c r="J1432">
        <v>42</v>
      </c>
      <c r="K1432" s="17">
        <f t="shared" si="177"/>
        <v>4047.3999999999996</v>
      </c>
      <c r="L1432" t="str">
        <f t="shared" si="178"/>
        <v>High Risk</v>
      </c>
      <c r="P1432" s="19">
        <f t="shared" si="179"/>
        <v>1697</v>
      </c>
      <c r="R1432" s="19">
        <f t="shared" si="176"/>
        <v>118552.42</v>
      </c>
      <c r="T1432" s="19">
        <f t="shared" si="180"/>
        <v>200230.66</v>
      </c>
      <c r="U1432" s="19">
        <f t="shared" si="181"/>
        <v>201965.26</v>
      </c>
      <c r="V1432" s="21">
        <f t="shared" si="182"/>
        <v>1734.6000000000058</v>
      </c>
      <c r="W1432" s="18">
        <f t="shared" si="183"/>
        <v>8.6630089517759461E-3</v>
      </c>
    </row>
    <row r="1433" spans="1:23" x14ac:dyDescent="0.3">
      <c r="A1433" t="s">
        <v>732</v>
      </c>
      <c r="B1433" t="s">
        <v>733</v>
      </c>
      <c r="C1433" t="s">
        <v>16</v>
      </c>
      <c r="D1433" t="s">
        <v>20</v>
      </c>
      <c r="E1433">
        <v>2351</v>
      </c>
      <c r="F1433">
        <v>295.16000000000003</v>
      </c>
      <c r="G1433">
        <v>271.14999999999998</v>
      </c>
      <c r="H1433">
        <v>295.16000000000003</v>
      </c>
      <c r="I1433">
        <v>2538</v>
      </c>
      <c r="J1433">
        <v>37</v>
      </c>
      <c r="K1433" s="17">
        <f t="shared" si="177"/>
        <v>3130.2</v>
      </c>
      <c r="L1433" t="str">
        <f t="shared" si="178"/>
        <v>High Risk</v>
      </c>
      <c r="P1433" s="19">
        <f t="shared" si="179"/>
        <v>780</v>
      </c>
      <c r="R1433" s="19">
        <f t="shared" si="176"/>
        <v>230224.80000000002</v>
      </c>
      <c r="T1433" s="19">
        <f t="shared" si="180"/>
        <v>688178.7</v>
      </c>
      <c r="U1433" s="19">
        <f t="shared" si="181"/>
        <v>749116.08000000007</v>
      </c>
      <c r="V1433" s="21">
        <f t="shared" si="182"/>
        <v>60937.380000000121</v>
      </c>
      <c r="W1433" s="18">
        <f t="shared" si="183"/>
        <v>8.8548773741471687E-2</v>
      </c>
    </row>
    <row r="1434" spans="1:23" x14ac:dyDescent="0.3">
      <c r="A1434" t="s">
        <v>155</v>
      </c>
      <c r="B1434" t="s">
        <v>1223</v>
      </c>
      <c r="C1434" t="s">
        <v>12</v>
      </c>
      <c r="D1434" t="s">
        <v>17</v>
      </c>
      <c r="E1434">
        <v>2352</v>
      </c>
      <c r="F1434">
        <v>100.39</v>
      </c>
      <c r="G1434">
        <v>86.74</v>
      </c>
      <c r="H1434">
        <v>100.39</v>
      </c>
      <c r="I1434">
        <v>1830</v>
      </c>
      <c r="J1434">
        <v>60</v>
      </c>
      <c r="K1434" s="17">
        <f t="shared" si="177"/>
        <v>3660</v>
      </c>
      <c r="L1434" t="str">
        <f t="shared" si="178"/>
        <v>High Risk</v>
      </c>
      <c r="P1434" s="19">
        <f t="shared" si="179"/>
        <v>1308</v>
      </c>
      <c r="R1434" s="19">
        <f t="shared" si="176"/>
        <v>131310.12</v>
      </c>
      <c r="T1434" s="19">
        <f t="shared" si="180"/>
        <v>158734.19999999998</v>
      </c>
      <c r="U1434" s="19">
        <f t="shared" si="181"/>
        <v>183713.7</v>
      </c>
      <c r="V1434" s="21">
        <f t="shared" si="182"/>
        <v>24979.500000000029</v>
      </c>
      <c r="W1434" s="18">
        <f t="shared" si="183"/>
        <v>0.15736684344016622</v>
      </c>
    </row>
    <row r="1435" spans="1:23" x14ac:dyDescent="0.3">
      <c r="A1435" t="s">
        <v>743</v>
      </c>
      <c r="B1435" t="s">
        <v>1155</v>
      </c>
      <c r="C1435" t="s">
        <v>12</v>
      </c>
      <c r="D1435" t="s">
        <v>69</v>
      </c>
      <c r="E1435">
        <v>2354</v>
      </c>
      <c r="F1435">
        <v>195.37</v>
      </c>
      <c r="G1435">
        <v>194.64</v>
      </c>
      <c r="H1435">
        <v>195.37</v>
      </c>
      <c r="I1435">
        <v>1186</v>
      </c>
      <c r="J1435">
        <v>9</v>
      </c>
      <c r="K1435" s="17">
        <f t="shared" si="177"/>
        <v>355.79999999999995</v>
      </c>
      <c r="L1435" t="str">
        <f t="shared" si="178"/>
        <v>Sufficuent Stock</v>
      </c>
      <c r="P1435" s="19">
        <f t="shared" si="179"/>
        <v>0</v>
      </c>
      <c r="R1435" s="19">
        <f t="shared" si="176"/>
        <v>0</v>
      </c>
      <c r="T1435" s="19">
        <f t="shared" si="180"/>
        <v>230843.03999999998</v>
      </c>
      <c r="U1435" s="19">
        <f t="shared" si="181"/>
        <v>231708.82</v>
      </c>
      <c r="V1435" s="21">
        <f t="shared" si="182"/>
        <v>865.78000000002794</v>
      </c>
      <c r="W1435" s="18">
        <f t="shared" si="183"/>
        <v>3.7505137690095748E-3</v>
      </c>
    </row>
    <row r="1436" spans="1:23" x14ac:dyDescent="0.3">
      <c r="A1436" t="s">
        <v>168</v>
      </c>
      <c r="B1436" t="s">
        <v>1392</v>
      </c>
      <c r="C1436" t="s">
        <v>16</v>
      </c>
      <c r="D1436" t="s">
        <v>26</v>
      </c>
      <c r="E1436">
        <v>2354</v>
      </c>
      <c r="F1436">
        <v>358.35</v>
      </c>
      <c r="G1436">
        <v>299.44</v>
      </c>
      <c r="H1436">
        <v>358.35</v>
      </c>
      <c r="I1436">
        <v>2692</v>
      </c>
      <c r="J1436">
        <v>36</v>
      </c>
      <c r="K1436" s="17">
        <f t="shared" si="177"/>
        <v>3230.4</v>
      </c>
      <c r="L1436" t="str">
        <f t="shared" si="178"/>
        <v>High Risk</v>
      </c>
      <c r="P1436" s="19">
        <f t="shared" si="179"/>
        <v>877</v>
      </c>
      <c r="R1436" s="19">
        <f t="shared" si="176"/>
        <v>314272.95</v>
      </c>
      <c r="T1436" s="19">
        <f t="shared" si="180"/>
        <v>806092.48</v>
      </c>
      <c r="U1436" s="19">
        <f t="shared" si="181"/>
        <v>964678.20000000007</v>
      </c>
      <c r="V1436" s="21">
        <f t="shared" si="182"/>
        <v>158585.72000000009</v>
      </c>
      <c r="W1436" s="18">
        <f t="shared" si="183"/>
        <v>0.19673390328613424</v>
      </c>
    </row>
    <row r="1437" spans="1:23" x14ac:dyDescent="0.3">
      <c r="A1437" t="s">
        <v>132</v>
      </c>
      <c r="B1437" t="s">
        <v>2382</v>
      </c>
      <c r="C1437" t="s">
        <v>23</v>
      </c>
      <c r="D1437" t="s">
        <v>17</v>
      </c>
      <c r="E1437">
        <v>2357</v>
      </c>
      <c r="F1437">
        <v>152.88</v>
      </c>
      <c r="G1437">
        <v>148.76</v>
      </c>
      <c r="H1437">
        <v>152.88</v>
      </c>
      <c r="I1437">
        <v>275</v>
      </c>
      <c r="J1437">
        <v>45</v>
      </c>
      <c r="K1437" s="17">
        <f t="shared" si="177"/>
        <v>412.5</v>
      </c>
      <c r="L1437" t="str">
        <f t="shared" si="178"/>
        <v>Sufficuent Stock</v>
      </c>
      <c r="P1437" s="19">
        <f t="shared" si="179"/>
        <v>0</v>
      </c>
      <c r="R1437" s="19">
        <f t="shared" si="176"/>
        <v>0</v>
      </c>
      <c r="T1437" s="19">
        <f t="shared" si="180"/>
        <v>40909</v>
      </c>
      <c r="U1437" s="19">
        <f t="shared" si="181"/>
        <v>42042</v>
      </c>
      <c r="V1437" s="21">
        <f t="shared" si="182"/>
        <v>1133</v>
      </c>
      <c r="W1437" s="18">
        <f t="shared" si="183"/>
        <v>2.7695617101371337E-2</v>
      </c>
    </row>
    <row r="1438" spans="1:23" x14ac:dyDescent="0.3">
      <c r="A1438" t="s">
        <v>155</v>
      </c>
      <c r="B1438" t="s">
        <v>2604</v>
      </c>
      <c r="C1438" t="s">
        <v>37</v>
      </c>
      <c r="D1438" t="s">
        <v>17</v>
      </c>
      <c r="E1438">
        <v>2357</v>
      </c>
      <c r="F1438">
        <v>41.31</v>
      </c>
      <c r="G1438">
        <v>36.1</v>
      </c>
      <c r="H1438">
        <v>41.31</v>
      </c>
      <c r="I1438">
        <v>3498</v>
      </c>
      <c r="J1438">
        <v>64</v>
      </c>
      <c r="K1438" s="17">
        <f t="shared" si="177"/>
        <v>7462.4</v>
      </c>
      <c r="L1438" t="str">
        <f t="shared" si="178"/>
        <v>High Risk</v>
      </c>
      <c r="P1438" s="19">
        <f t="shared" si="179"/>
        <v>5106</v>
      </c>
      <c r="R1438" s="19">
        <f t="shared" si="176"/>
        <v>210928.86000000002</v>
      </c>
      <c r="T1438" s="19">
        <f t="shared" si="180"/>
        <v>126277.8</v>
      </c>
      <c r="U1438" s="19">
        <f t="shared" si="181"/>
        <v>144502.38</v>
      </c>
      <c r="V1438" s="21">
        <f t="shared" si="182"/>
        <v>18224.580000000002</v>
      </c>
      <c r="W1438" s="18">
        <f t="shared" si="183"/>
        <v>0.1443213296398892</v>
      </c>
    </row>
    <row r="1439" spans="1:23" x14ac:dyDescent="0.3">
      <c r="A1439" t="s">
        <v>798</v>
      </c>
      <c r="B1439" t="s">
        <v>799</v>
      </c>
      <c r="C1439" t="s">
        <v>50</v>
      </c>
      <c r="D1439" t="s">
        <v>17</v>
      </c>
      <c r="E1439">
        <v>2362</v>
      </c>
      <c r="F1439">
        <v>277.72000000000003</v>
      </c>
      <c r="G1439">
        <v>260.95</v>
      </c>
      <c r="H1439">
        <v>277.72000000000003</v>
      </c>
      <c r="I1439">
        <v>2741</v>
      </c>
      <c r="J1439">
        <v>6</v>
      </c>
      <c r="K1439" s="17">
        <f t="shared" si="177"/>
        <v>548.19999999999993</v>
      </c>
      <c r="L1439" t="str">
        <f t="shared" si="178"/>
        <v>Sufficuent Stock</v>
      </c>
      <c r="P1439" s="19">
        <f t="shared" si="179"/>
        <v>0</v>
      </c>
      <c r="R1439" s="19">
        <f t="shared" si="176"/>
        <v>0</v>
      </c>
      <c r="T1439" s="19">
        <f t="shared" si="180"/>
        <v>715263.95</v>
      </c>
      <c r="U1439" s="19">
        <f t="shared" si="181"/>
        <v>761230.52</v>
      </c>
      <c r="V1439" s="21">
        <f t="shared" si="182"/>
        <v>45966.570000000065</v>
      </c>
      <c r="W1439" s="18">
        <f t="shared" si="183"/>
        <v>6.4265184901322187E-2</v>
      </c>
    </row>
    <row r="1440" spans="1:23" x14ac:dyDescent="0.3">
      <c r="A1440" t="s">
        <v>494</v>
      </c>
      <c r="B1440" t="s">
        <v>1827</v>
      </c>
      <c r="C1440" t="s">
        <v>50</v>
      </c>
      <c r="D1440" t="s">
        <v>69</v>
      </c>
      <c r="E1440">
        <v>2363</v>
      </c>
      <c r="F1440">
        <v>266.05</v>
      </c>
      <c r="G1440">
        <v>229.35</v>
      </c>
      <c r="H1440">
        <v>266.05</v>
      </c>
      <c r="I1440">
        <v>902</v>
      </c>
      <c r="J1440">
        <v>44</v>
      </c>
      <c r="K1440" s="17">
        <f t="shared" si="177"/>
        <v>1322.9333333333334</v>
      </c>
      <c r="L1440" t="str">
        <f t="shared" si="178"/>
        <v>Sufficuent Stock</v>
      </c>
      <c r="P1440" s="19">
        <f t="shared" si="179"/>
        <v>0</v>
      </c>
      <c r="R1440" s="19">
        <f t="shared" si="176"/>
        <v>0</v>
      </c>
      <c r="T1440" s="19">
        <f t="shared" si="180"/>
        <v>206873.69999999998</v>
      </c>
      <c r="U1440" s="19">
        <f t="shared" si="181"/>
        <v>239977.1</v>
      </c>
      <c r="V1440" s="21">
        <f t="shared" si="182"/>
        <v>33103.400000000023</v>
      </c>
      <c r="W1440" s="18">
        <f t="shared" si="183"/>
        <v>0.16001744059298029</v>
      </c>
    </row>
    <row r="1441" spans="1:23" x14ac:dyDescent="0.3">
      <c r="A1441" t="s">
        <v>306</v>
      </c>
      <c r="B1441" t="s">
        <v>1252</v>
      </c>
      <c r="C1441" t="s">
        <v>50</v>
      </c>
      <c r="D1441" t="s">
        <v>20</v>
      </c>
      <c r="E1441">
        <v>2364</v>
      </c>
      <c r="F1441">
        <v>455.5</v>
      </c>
      <c r="G1441">
        <v>387.34</v>
      </c>
      <c r="H1441">
        <v>455.5</v>
      </c>
      <c r="I1441">
        <v>2558</v>
      </c>
      <c r="J1441">
        <v>60</v>
      </c>
      <c r="K1441" s="17">
        <f t="shared" si="177"/>
        <v>5116</v>
      </c>
      <c r="L1441" t="str">
        <f t="shared" si="178"/>
        <v>High Risk</v>
      </c>
      <c r="P1441" s="19">
        <f t="shared" si="179"/>
        <v>2752</v>
      </c>
      <c r="R1441" s="19">
        <f t="shared" si="176"/>
        <v>1253536</v>
      </c>
      <c r="T1441" s="19">
        <f t="shared" si="180"/>
        <v>990815.72</v>
      </c>
      <c r="U1441" s="19">
        <f t="shared" si="181"/>
        <v>1165169</v>
      </c>
      <c r="V1441" s="21">
        <f t="shared" si="182"/>
        <v>174353.28000000003</v>
      </c>
      <c r="W1441" s="18">
        <f t="shared" si="183"/>
        <v>0.17596943253988748</v>
      </c>
    </row>
    <row r="1442" spans="1:23" x14ac:dyDescent="0.3">
      <c r="A1442" t="s">
        <v>186</v>
      </c>
      <c r="B1442" t="s">
        <v>187</v>
      </c>
      <c r="C1442" t="s">
        <v>23</v>
      </c>
      <c r="D1442" t="s">
        <v>13</v>
      </c>
      <c r="E1442">
        <v>2365</v>
      </c>
      <c r="F1442">
        <v>110.25</v>
      </c>
      <c r="G1442">
        <v>103.2</v>
      </c>
      <c r="H1442">
        <v>110.25</v>
      </c>
      <c r="I1442">
        <v>3165</v>
      </c>
      <c r="J1442">
        <v>55</v>
      </c>
      <c r="K1442" s="17">
        <f t="shared" si="177"/>
        <v>5802.5</v>
      </c>
      <c r="L1442" t="str">
        <f t="shared" si="178"/>
        <v>High Risk</v>
      </c>
      <c r="P1442" s="19">
        <f t="shared" si="179"/>
        <v>3438</v>
      </c>
      <c r="R1442" s="19">
        <f t="shared" si="176"/>
        <v>379039.5</v>
      </c>
      <c r="T1442" s="19">
        <f t="shared" si="180"/>
        <v>326628</v>
      </c>
      <c r="U1442" s="19">
        <f t="shared" si="181"/>
        <v>348941.25</v>
      </c>
      <c r="V1442" s="21">
        <f t="shared" si="182"/>
        <v>22313.25</v>
      </c>
      <c r="W1442" s="18">
        <f t="shared" si="183"/>
        <v>6.8313953488372089E-2</v>
      </c>
    </row>
    <row r="1443" spans="1:23" x14ac:dyDescent="0.3">
      <c r="A1443" t="s">
        <v>308</v>
      </c>
      <c r="B1443" t="s">
        <v>1747</v>
      </c>
      <c r="C1443" t="s">
        <v>23</v>
      </c>
      <c r="D1443" t="s">
        <v>17</v>
      </c>
      <c r="E1443">
        <v>2366</v>
      </c>
      <c r="F1443">
        <v>163.55000000000001</v>
      </c>
      <c r="G1443">
        <v>154.94999999999999</v>
      </c>
      <c r="H1443">
        <v>163.55000000000001</v>
      </c>
      <c r="I1443">
        <v>345</v>
      </c>
      <c r="J1443">
        <v>54</v>
      </c>
      <c r="K1443" s="17">
        <f t="shared" si="177"/>
        <v>621</v>
      </c>
      <c r="L1443" t="str">
        <f t="shared" si="178"/>
        <v>Sufficuent Stock</v>
      </c>
      <c r="P1443" s="19">
        <f t="shared" si="179"/>
        <v>0</v>
      </c>
      <c r="R1443" s="19">
        <f t="shared" si="176"/>
        <v>0</v>
      </c>
      <c r="T1443" s="19">
        <f t="shared" si="180"/>
        <v>53457.749999999993</v>
      </c>
      <c r="U1443" s="19">
        <f t="shared" si="181"/>
        <v>56424.750000000007</v>
      </c>
      <c r="V1443" s="21">
        <f t="shared" si="182"/>
        <v>2967.0000000000146</v>
      </c>
      <c r="W1443" s="18">
        <f t="shared" si="183"/>
        <v>5.5501774766053842E-2</v>
      </c>
    </row>
    <row r="1444" spans="1:23" x14ac:dyDescent="0.3">
      <c r="A1444" t="s">
        <v>113</v>
      </c>
      <c r="B1444" t="s">
        <v>1024</v>
      </c>
      <c r="C1444" t="s">
        <v>16</v>
      </c>
      <c r="D1444" t="s">
        <v>26</v>
      </c>
      <c r="E1444">
        <v>2369</v>
      </c>
      <c r="F1444">
        <v>363.94</v>
      </c>
      <c r="G1444">
        <v>307.10000000000002</v>
      </c>
      <c r="H1444">
        <v>363.94</v>
      </c>
      <c r="I1444">
        <v>1486</v>
      </c>
      <c r="J1444">
        <v>12</v>
      </c>
      <c r="K1444" s="17">
        <f t="shared" si="177"/>
        <v>594.4</v>
      </c>
      <c r="L1444" t="str">
        <f t="shared" si="178"/>
        <v>Sufficuent Stock</v>
      </c>
      <c r="P1444" s="19">
        <f t="shared" si="179"/>
        <v>0</v>
      </c>
      <c r="R1444" s="19">
        <f t="shared" si="176"/>
        <v>0</v>
      </c>
      <c r="T1444" s="19">
        <f t="shared" si="180"/>
        <v>456350.60000000003</v>
      </c>
      <c r="U1444" s="19">
        <f t="shared" si="181"/>
        <v>540814.84</v>
      </c>
      <c r="V1444" s="21">
        <f t="shared" si="182"/>
        <v>84464.239999999932</v>
      </c>
      <c r="W1444" s="18">
        <f t="shared" si="183"/>
        <v>0.18508629111038732</v>
      </c>
    </row>
    <row r="1445" spans="1:23" x14ac:dyDescent="0.3">
      <c r="A1445" t="s">
        <v>180</v>
      </c>
      <c r="B1445" t="s">
        <v>2447</v>
      </c>
      <c r="C1445" t="s">
        <v>23</v>
      </c>
      <c r="D1445" t="s">
        <v>69</v>
      </c>
      <c r="E1445">
        <v>2370</v>
      </c>
      <c r="F1445">
        <v>139.24</v>
      </c>
      <c r="G1445">
        <v>126.25</v>
      </c>
      <c r="H1445">
        <v>139.24</v>
      </c>
      <c r="I1445">
        <v>2877</v>
      </c>
      <c r="J1445">
        <v>67</v>
      </c>
      <c r="K1445" s="17">
        <f t="shared" si="177"/>
        <v>6425.3</v>
      </c>
      <c r="L1445" t="str">
        <f t="shared" si="178"/>
        <v>High Risk</v>
      </c>
      <c r="P1445" s="19">
        <f t="shared" si="179"/>
        <v>4056</v>
      </c>
      <c r="R1445" s="19">
        <f t="shared" si="176"/>
        <v>564757.44000000006</v>
      </c>
      <c r="T1445" s="19">
        <f t="shared" si="180"/>
        <v>363221.25</v>
      </c>
      <c r="U1445" s="19">
        <f t="shared" si="181"/>
        <v>400593.48000000004</v>
      </c>
      <c r="V1445" s="21">
        <f t="shared" si="182"/>
        <v>37372.23000000004</v>
      </c>
      <c r="W1445" s="18">
        <f t="shared" si="183"/>
        <v>0.102891089108911</v>
      </c>
    </row>
    <row r="1446" spans="1:23" x14ac:dyDescent="0.3">
      <c r="A1446" t="s">
        <v>2115</v>
      </c>
      <c r="B1446" t="s">
        <v>3089</v>
      </c>
      <c r="C1446" t="s">
        <v>50</v>
      </c>
      <c r="D1446" t="s">
        <v>17</v>
      </c>
      <c r="E1446">
        <v>2372</v>
      </c>
      <c r="F1446">
        <v>197.95</v>
      </c>
      <c r="G1446">
        <v>179.64</v>
      </c>
      <c r="H1446">
        <v>197.95</v>
      </c>
      <c r="I1446">
        <v>2786</v>
      </c>
      <c r="J1446">
        <v>48</v>
      </c>
      <c r="K1446" s="17">
        <f t="shared" si="177"/>
        <v>4457.5999999999995</v>
      </c>
      <c r="L1446" t="str">
        <f t="shared" si="178"/>
        <v>High Risk</v>
      </c>
      <c r="P1446" s="19">
        <f t="shared" si="179"/>
        <v>2086</v>
      </c>
      <c r="R1446" s="19">
        <f t="shared" si="176"/>
        <v>412923.69999999995</v>
      </c>
      <c r="T1446" s="19">
        <f t="shared" si="180"/>
        <v>500477.04</v>
      </c>
      <c r="U1446" s="19">
        <f t="shared" si="181"/>
        <v>551488.69999999995</v>
      </c>
      <c r="V1446" s="21">
        <f t="shared" si="182"/>
        <v>51011.659999999974</v>
      </c>
      <c r="W1446" s="18">
        <f t="shared" si="183"/>
        <v>0.1019260743709641</v>
      </c>
    </row>
    <row r="1447" spans="1:23" x14ac:dyDescent="0.3">
      <c r="A1447" t="s">
        <v>224</v>
      </c>
      <c r="B1447" t="s">
        <v>1925</v>
      </c>
      <c r="C1447" t="s">
        <v>50</v>
      </c>
      <c r="D1447" t="s">
        <v>17</v>
      </c>
      <c r="E1447">
        <v>2373</v>
      </c>
      <c r="F1447">
        <v>378.93</v>
      </c>
      <c r="G1447">
        <v>388.91</v>
      </c>
      <c r="H1447">
        <v>378.93</v>
      </c>
      <c r="I1447">
        <v>2068</v>
      </c>
      <c r="J1447">
        <v>30</v>
      </c>
      <c r="K1447" s="17">
        <f t="shared" si="177"/>
        <v>2068</v>
      </c>
      <c r="L1447" t="str">
        <f t="shared" si="178"/>
        <v>Sufficuent Stock</v>
      </c>
      <c r="P1447" s="19">
        <f t="shared" si="179"/>
        <v>0</v>
      </c>
      <c r="R1447" s="19">
        <f t="shared" si="176"/>
        <v>0</v>
      </c>
      <c r="T1447" s="19">
        <f t="shared" si="180"/>
        <v>804265.88</v>
      </c>
      <c r="U1447" s="19">
        <f t="shared" si="181"/>
        <v>783627.24</v>
      </c>
      <c r="V1447" s="21">
        <f t="shared" si="182"/>
        <v>-20638.640000000014</v>
      </c>
      <c r="W1447" s="18">
        <f t="shared" si="183"/>
        <v>-2.5661464091949311E-2</v>
      </c>
    </row>
    <row r="1448" spans="1:23" x14ac:dyDescent="0.3">
      <c r="A1448" t="s">
        <v>413</v>
      </c>
      <c r="B1448" t="s">
        <v>1715</v>
      </c>
      <c r="C1448" t="s">
        <v>37</v>
      </c>
      <c r="D1448" t="s">
        <v>26</v>
      </c>
      <c r="E1448">
        <v>2375</v>
      </c>
      <c r="F1448">
        <v>340.8</v>
      </c>
      <c r="G1448">
        <v>321.72000000000003</v>
      </c>
      <c r="H1448">
        <v>340.8</v>
      </c>
      <c r="I1448">
        <v>2446</v>
      </c>
      <c r="J1448">
        <v>64</v>
      </c>
      <c r="K1448" s="17">
        <f t="shared" si="177"/>
        <v>5218.1333333333332</v>
      </c>
      <c r="L1448" t="str">
        <f t="shared" si="178"/>
        <v>High Risk</v>
      </c>
      <c r="P1448" s="19">
        <f t="shared" si="179"/>
        <v>2844</v>
      </c>
      <c r="R1448" s="19">
        <f t="shared" si="176"/>
        <v>969235.20000000007</v>
      </c>
      <c r="T1448" s="19">
        <f t="shared" si="180"/>
        <v>786927.12000000011</v>
      </c>
      <c r="U1448" s="19">
        <f t="shared" si="181"/>
        <v>833596.8</v>
      </c>
      <c r="V1448" s="21">
        <f t="shared" si="182"/>
        <v>46669.679999999935</v>
      </c>
      <c r="W1448" s="18">
        <f t="shared" si="183"/>
        <v>5.930622901902266E-2</v>
      </c>
    </row>
    <row r="1449" spans="1:23" x14ac:dyDescent="0.3">
      <c r="A1449" t="s">
        <v>288</v>
      </c>
      <c r="B1449" t="s">
        <v>3110</v>
      </c>
      <c r="C1449" t="s">
        <v>50</v>
      </c>
      <c r="D1449" t="s">
        <v>69</v>
      </c>
      <c r="E1449">
        <v>2376</v>
      </c>
      <c r="F1449">
        <v>287.7</v>
      </c>
      <c r="G1449">
        <v>264.47000000000003</v>
      </c>
      <c r="H1449">
        <v>287.7</v>
      </c>
      <c r="I1449">
        <v>1667</v>
      </c>
      <c r="J1449">
        <v>79</v>
      </c>
      <c r="K1449" s="17">
        <f t="shared" si="177"/>
        <v>4389.7666666666673</v>
      </c>
      <c r="L1449" t="str">
        <f t="shared" si="178"/>
        <v>High Risk</v>
      </c>
      <c r="P1449" s="19">
        <f t="shared" si="179"/>
        <v>2014</v>
      </c>
      <c r="R1449" s="19">
        <f t="shared" si="176"/>
        <v>579427.79999999993</v>
      </c>
      <c r="T1449" s="19">
        <f t="shared" si="180"/>
        <v>440871.49000000005</v>
      </c>
      <c r="U1449" s="19">
        <f t="shared" si="181"/>
        <v>479595.89999999997</v>
      </c>
      <c r="V1449" s="21">
        <f t="shared" si="182"/>
        <v>38724.409999999916</v>
      </c>
      <c r="W1449" s="18">
        <f t="shared" si="183"/>
        <v>8.7836049457405183E-2</v>
      </c>
    </row>
    <row r="1450" spans="1:23" x14ac:dyDescent="0.3">
      <c r="A1450" t="s">
        <v>331</v>
      </c>
      <c r="B1450" t="s">
        <v>517</v>
      </c>
      <c r="C1450" t="s">
        <v>16</v>
      </c>
      <c r="D1450" t="s">
        <v>17</v>
      </c>
      <c r="E1450">
        <v>2377</v>
      </c>
      <c r="F1450">
        <v>47.43</v>
      </c>
      <c r="G1450">
        <v>42.26</v>
      </c>
      <c r="H1450">
        <v>47.43</v>
      </c>
      <c r="I1450">
        <v>3445</v>
      </c>
      <c r="J1450">
        <v>80</v>
      </c>
      <c r="K1450" s="17">
        <f t="shared" si="177"/>
        <v>9186.6666666666661</v>
      </c>
      <c r="L1450" t="str">
        <f t="shared" si="178"/>
        <v>High Risk</v>
      </c>
      <c r="P1450" s="19">
        <f t="shared" si="179"/>
        <v>6810</v>
      </c>
      <c r="R1450" s="19">
        <f t="shared" si="176"/>
        <v>322998.3</v>
      </c>
      <c r="T1450" s="19">
        <f t="shared" si="180"/>
        <v>145585.69999999998</v>
      </c>
      <c r="U1450" s="19">
        <f t="shared" si="181"/>
        <v>163396.35</v>
      </c>
      <c r="V1450" s="21">
        <f t="shared" si="182"/>
        <v>17810.650000000023</v>
      </c>
      <c r="W1450" s="18">
        <f t="shared" si="183"/>
        <v>0.12233790818741144</v>
      </c>
    </row>
    <row r="1451" spans="1:23" x14ac:dyDescent="0.3">
      <c r="A1451" t="s">
        <v>884</v>
      </c>
      <c r="B1451" t="s">
        <v>885</v>
      </c>
      <c r="C1451" t="s">
        <v>37</v>
      </c>
      <c r="D1451" t="s">
        <v>26</v>
      </c>
      <c r="E1451">
        <v>2378</v>
      </c>
      <c r="F1451">
        <v>511.66</v>
      </c>
      <c r="G1451">
        <v>499.91</v>
      </c>
      <c r="H1451">
        <v>511.66</v>
      </c>
      <c r="I1451">
        <v>1776</v>
      </c>
      <c r="J1451">
        <v>17</v>
      </c>
      <c r="K1451" s="17">
        <f t="shared" si="177"/>
        <v>1006.4000000000001</v>
      </c>
      <c r="L1451" t="str">
        <f t="shared" si="178"/>
        <v>Sufficuent Stock</v>
      </c>
      <c r="P1451" s="19">
        <f t="shared" si="179"/>
        <v>0</v>
      </c>
      <c r="R1451" s="19">
        <f t="shared" si="176"/>
        <v>0</v>
      </c>
      <c r="T1451" s="19">
        <f t="shared" si="180"/>
        <v>887840.16</v>
      </c>
      <c r="U1451" s="19">
        <f t="shared" si="181"/>
        <v>908708.16</v>
      </c>
      <c r="V1451" s="21">
        <f t="shared" si="182"/>
        <v>20868</v>
      </c>
      <c r="W1451" s="18">
        <f t="shared" si="183"/>
        <v>2.3504230761537077E-2</v>
      </c>
    </row>
    <row r="1452" spans="1:23" x14ac:dyDescent="0.3">
      <c r="A1452" t="s">
        <v>115</v>
      </c>
      <c r="B1452" t="s">
        <v>242</v>
      </c>
      <c r="C1452" t="s">
        <v>23</v>
      </c>
      <c r="D1452" t="s">
        <v>26</v>
      </c>
      <c r="E1452">
        <v>2384</v>
      </c>
      <c r="F1452">
        <v>496.07</v>
      </c>
      <c r="G1452">
        <v>451.02</v>
      </c>
      <c r="H1452">
        <v>496.07</v>
      </c>
      <c r="I1452">
        <v>3994</v>
      </c>
      <c r="J1452">
        <v>52</v>
      </c>
      <c r="K1452" s="17">
        <f t="shared" si="177"/>
        <v>6922.9333333333325</v>
      </c>
      <c r="L1452" t="str">
        <f t="shared" si="178"/>
        <v>High Risk</v>
      </c>
      <c r="P1452" s="19">
        <f t="shared" si="179"/>
        <v>4539</v>
      </c>
      <c r="R1452" s="19">
        <f t="shared" si="176"/>
        <v>2251661.73</v>
      </c>
      <c r="T1452" s="19">
        <f t="shared" si="180"/>
        <v>1801373.88</v>
      </c>
      <c r="U1452" s="19">
        <f t="shared" si="181"/>
        <v>1981303.58</v>
      </c>
      <c r="V1452" s="21">
        <f t="shared" si="182"/>
        <v>179929.70000000019</v>
      </c>
      <c r="W1452" s="18">
        <f t="shared" si="183"/>
        <v>9.9884705778014393E-2</v>
      </c>
    </row>
    <row r="1453" spans="1:23" x14ac:dyDescent="0.3">
      <c r="A1453" t="s">
        <v>451</v>
      </c>
      <c r="B1453" t="s">
        <v>1793</v>
      </c>
      <c r="C1453" t="s">
        <v>16</v>
      </c>
      <c r="D1453" t="s">
        <v>26</v>
      </c>
      <c r="E1453">
        <v>2384</v>
      </c>
      <c r="F1453">
        <v>213.72</v>
      </c>
      <c r="G1453">
        <v>187.59</v>
      </c>
      <c r="H1453">
        <v>213.72</v>
      </c>
      <c r="I1453">
        <v>1785</v>
      </c>
      <c r="J1453">
        <v>16</v>
      </c>
      <c r="K1453" s="17">
        <f t="shared" si="177"/>
        <v>952</v>
      </c>
      <c r="L1453" t="str">
        <f t="shared" si="178"/>
        <v>Sufficuent Stock</v>
      </c>
      <c r="P1453" s="19">
        <f t="shared" si="179"/>
        <v>0</v>
      </c>
      <c r="R1453" s="19">
        <f t="shared" si="176"/>
        <v>0</v>
      </c>
      <c r="T1453" s="19">
        <f t="shared" si="180"/>
        <v>334848.15000000002</v>
      </c>
      <c r="U1453" s="19">
        <f t="shared" si="181"/>
        <v>381490.2</v>
      </c>
      <c r="V1453" s="21">
        <f t="shared" si="182"/>
        <v>46642.049999999988</v>
      </c>
      <c r="W1453" s="18">
        <f t="shared" si="183"/>
        <v>0.13929313929313925</v>
      </c>
    </row>
    <row r="1454" spans="1:23" x14ac:dyDescent="0.3">
      <c r="A1454" t="s">
        <v>76</v>
      </c>
      <c r="B1454" t="s">
        <v>1377</v>
      </c>
      <c r="C1454" t="s">
        <v>23</v>
      </c>
      <c r="D1454" t="s">
        <v>17</v>
      </c>
      <c r="E1454">
        <v>2385</v>
      </c>
      <c r="F1454">
        <v>202.37</v>
      </c>
      <c r="G1454">
        <v>200.26</v>
      </c>
      <c r="H1454">
        <v>202.37</v>
      </c>
      <c r="I1454">
        <v>3722</v>
      </c>
      <c r="J1454">
        <v>88</v>
      </c>
      <c r="K1454" s="17">
        <f t="shared" si="177"/>
        <v>10917.866666666667</v>
      </c>
      <c r="L1454" t="str">
        <f t="shared" si="178"/>
        <v>High Risk</v>
      </c>
      <c r="P1454" s="19">
        <f t="shared" si="179"/>
        <v>8533</v>
      </c>
      <c r="R1454" s="19">
        <f t="shared" si="176"/>
        <v>1726823.21</v>
      </c>
      <c r="T1454" s="19">
        <f t="shared" si="180"/>
        <v>745367.72</v>
      </c>
      <c r="U1454" s="19">
        <f t="shared" si="181"/>
        <v>753221.14</v>
      </c>
      <c r="V1454" s="21">
        <f t="shared" si="182"/>
        <v>7853.4200000000419</v>
      </c>
      <c r="W1454" s="18">
        <f t="shared" si="183"/>
        <v>1.0536302806351799E-2</v>
      </c>
    </row>
    <row r="1455" spans="1:23" x14ac:dyDescent="0.3">
      <c r="A1455" t="s">
        <v>226</v>
      </c>
      <c r="B1455" t="s">
        <v>2134</v>
      </c>
      <c r="C1455" t="s">
        <v>16</v>
      </c>
      <c r="D1455" t="s">
        <v>17</v>
      </c>
      <c r="E1455">
        <v>2386</v>
      </c>
      <c r="F1455">
        <v>89.28</v>
      </c>
      <c r="G1455">
        <v>86.2</v>
      </c>
      <c r="H1455">
        <v>89.28</v>
      </c>
      <c r="I1455">
        <v>3356</v>
      </c>
      <c r="J1455">
        <v>45</v>
      </c>
      <c r="K1455" s="17">
        <f t="shared" si="177"/>
        <v>5034</v>
      </c>
      <c r="L1455" t="str">
        <f t="shared" si="178"/>
        <v>High Risk</v>
      </c>
      <c r="P1455" s="19">
        <f t="shared" si="179"/>
        <v>2648</v>
      </c>
      <c r="R1455" s="19">
        <f t="shared" si="176"/>
        <v>236413.44</v>
      </c>
      <c r="T1455" s="19">
        <f t="shared" si="180"/>
        <v>289287.2</v>
      </c>
      <c r="U1455" s="19">
        <f t="shared" si="181"/>
        <v>299623.67999999999</v>
      </c>
      <c r="V1455" s="21">
        <f t="shared" si="182"/>
        <v>10336.479999999981</v>
      </c>
      <c r="W1455" s="18">
        <f t="shared" si="183"/>
        <v>3.5730858468677427E-2</v>
      </c>
    </row>
    <row r="1456" spans="1:23" x14ac:dyDescent="0.3">
      <c r="A1456" t="s">
        <v>1148</v>
      </c>
      <c r="B1456" t="s">
        <v>2854</v>
      </c>
      <c r="C1456" t="s">
        <v>23</v>
      </c>
      <c r="D1456" t="s">
        <v>26</v>
      </c>
      <c r="E1456">
        <v>2387</v>
      </c>
      <c r="F1456">
        <v>225.81</v>
      </c>
      <c r="G1456">
        <v>198.1</v>
      </c>
      <c r="H1456">
        <v>225.81</v>
      </c>
      <c r="I1456">
        <v>3458</v>
      </c>
      <c r="J1456">
        <v>10</v>
      </c>
      <c r="K1456" s="17">
        <f t="shared" si="177"/>
        <v>1152.6666666666667</v>
      </c>
      <c r="L1456" t="str">
        <f t="shared" si="178"/>
        <v>Sufficuent Stock</v>
      </c>
      <c r="P1456" s="19">
        <f t="shared" si="179"/>
        <v>0</v>
      </c>
      <c r="R1456" s="19">
        <f t="shared" si="176"/>
        <v>0</v>
      </c>
      <c r="T1456" s="19">
        <f t="shared" si="180"/>
        <v>685029.79999999993</v>
      </c>
      <c r="U1456" s="19">
        <f t="shared" si="181"/>
        <v>780850.98</v>
      </c>
      <c r="V1456" s="21">
        <f t="shared" si="182"/>
        <v>95821.180000000051</v>
      </c>
      <c r="W1456" s="18">
        <f t="shared" si="183"/>
        <v>0.1398788490661283</v>
      </c>
    </row>
    <row r="1457" spans="1:23" x14ac:dyDescent="0.3">
      <c r="A1457" t="s">
        <v>180</v>
      </c>
      <c r="B1457" t="s">
        <v>1516</v>
      </c>
      <c r="C1457" t="s">
        <v>50</v>
      </c>
      <c r="D1457" t="s">
        <v>20</v>
      </c>
      <c r="E1457">
        <v>2388</v>
      </c>
      <c r="F1457">
        <v>379.78</v>
      </c>
      <c r="G1457">
        <v>334.84</v>
      </c>
      <c r="H1457">
        <v>379.78</v>
      </c>
      <c r="I1457">
        <v>231</v>
      </c>
      <c r="J1457">
        <v>17</v>
      </c>
      <c r="K1457" s="17">
        <f t="shared" si="177"/>
        <v>130.9</v>
      </c>
      <c r="L1457" t="str">
        <f t="shared" si="178"/>
        <v>Sufficuent Stock</v>
      </c>
      <c r="P1457" s="19">
        <f t="shared" si="179"/>
        <v>0</v>
      </c>
      <c r="R1457" s="19">
        <f t="shared" si="176"/>
        <v>0</v>
      </c>
      <c r="T1457" s="19">
        <f t="shared" si="180"/>
        <v>77348.039999999994</v>
      </c>
      <c r="U1457" s="19">
        <f t="shared" si="181"/>
        <v>87729.18</v>
      </c>
      <c r="V1457" s="21">
        <f t="shared" si="182"/>
        <v>10381.14</v>
      </c>
      <c r="W1457" s="18">
        <f t="shared" si="183"/>
        <v>0.13421335563254091</v>
      </c>
    </row>
    <row r="1458" spans="1:23" x14ac:dyDescent="0.3">
      <c r="A1458" t="s">
        <v>825</v>
      </c>
      <c r="B1458" t="s">
        <v>1800</v>
      </c>
      <c r="C1458" t="s">
        <v>16</v>
      </c>
      <c r="D1458" t="s">
        <v>20</v>
      </c>
      <c r="E1458">
        <v>2388</v>
      </c>
      <c r="F1458">
        <v>278.82</v>
      </c>
      <c r="G1458">
        <v>288.91000000000003</v>
      </c>
      <c r="H1458">
        <v>278.82</v>
      </c>
      <c r="I1458">
        <v>2122</v>
      </c>
      <c r="J1458">
        <v>71</v>
      </c>
      <c r="K1458" s="17">
        <f t="shared" si="177"/>
        <v>5022.0666666666666</v>
      </c>
      <c r="L1458" t="str">
        <f t="shared" si="178"/>
        <v>High Risk</v>
      </c>
      <c r="P1458" s="19">
        <f t="shared" si="179"/>
        <v>2635</v>
      </c>
      <c r="R1458" s="19">
        <f t="shared" si="176"/>
        <v>734690.7</v>
      </c>
      <c r="T1458" s="19">
        <f t="shared" si="180"/>
        <v>613067.02</v>
      </c>
      <c r="U1458" s="19">
        <f t="shared" si="181"/>
        <v>591656.04</v>
      </c>
      <c r="V1458" s="21">
        <f t="shared" si="182"/>
        <v>-21410.979999999981</v>
      </c>
      <c r="W1458" s="18">
        <f t="shared" si="183"/>
        <v>-3.4924370911356445E-2</v>
      </c>
    </row>
    <row r="1459" spans="1:23" x14ac:dyDescent="0.3">
      <c r="A1459" t="s">
        <v>436</v>
      </c>
      <c r="B1459" t="s">
        <v>437</v>
      </c>
      <c r="C1459" t="s">
        <v>50</v>
      </c>
      <c r="D1459" t="s">
        <v>20</v>
      </c>
      <c r="E1459">
        <v>2391</v>
      </c>
      <c r="F1459">
        <v>23.34</v>
      </c>
      <c r="G1459">
        <v>22.51</v>
      </c>
      <c r="H1459">
        <v>23.34</v>
      </c>
      <c r="I1459">
        <v>1108</v>
      </c>
      <c r="J1459">
        <v>12</v>
      </c>
      <c r="K1459" s="17">
        <f t="shared" si="177"/>
        <v>443.19999999999993</v>
      </c>
      <c r="L1459" t="str">
        <f t="shared" si="178"/>
        <v>Sufficuent Stock</v>
      </c>
      <c r="P1459" s="19">
        <f t="shared" si="179"/>
        <v>0</v>
      </c>
      <c r="R1459" s="19">
        <f t="shared" si="176"/>
        <v>0</v>
      </c>
      <c r="T1459" s="19">
        <f t="shared" si="180"/>
        <v>24941.08</v>
      </c>
      <c r="U1459" s="19">
        <f t="shared" si="181"/>
        <v>25860.720000000001</v>
      </c>
      <c r="V1459" s="21">
        <f t="shared" si="182"/>
        <v>919.63999999999942</v>
      </c>
      <c r="W1459" s="18">
        <f t="shared" si="183"/>
        <v>3.6872501110617475E-2</v>
      </c>
    </row>
    <row r="1460" spans="1:23" x14ac:dyDescent="0.3">
      <c r="A1460" t="s">
        <v>927</v>
      </c>
      <c r="B1460" t="s">
        <v>2589</v>
      </c>
      <c r="C1460" t="s">
        <v>37</v>
      </c>
      <c r="D1460" t="s">
        <v>13</v>
      </c>
      <c r="E1460">
        <v>2392</v>
      </c>
      <c r="F1460">
        <v>124.05</v>
      </c>
      <c r="G1460">
        <v>127.2</v>
      </c>
      <c r="H1460">
        <v>124.05</v>
      </c>
      <c r="I1460">
        <v>3172</v>
      </c>
      <c r="J1460">
        <v>80</v>
      </c>
      <c r="K1460" s="17">
        <f t="shared" si="177"/>
        <v>8458.6666666666661</v>
      </c>
      <c r="L1460" t="str">
        <f t="shared" si="178"/>
        <v>High Risk</v>
      </c>
      <c r="P1460" s="19">
        <f t="shared" si="179"/>
        <v>6067</v>
      </c>
      <c r="R1460" s="19">
        <f t="shared" si="176"/>
        <v>752611.35</v>
      </c>
      <c r="T1460" s="19">
        <f t="shared" si="180"/>
        <v>403478.4</v>
      </c>
      <c r="U1460" s="19">
        <f t="shared" si="181"/>
        <v>393486.6</v>
      </c>
      <c r="V1460" s="21">
        <f t="shared" si="182"/>
        <v>-9991.8000000000466</v>
      </c>
      <c r="W1460" s="18">
        <f t="shared" si="183"/>
        <v>-2.4764150943396339E-2</v>
      </c>
    </row>
    <row r="1461" spans="1:23" x14ac:dyDescent="0.3">
      <c r="A1461" t="s">
        <v>949</v>
      </c>
      <c r="B1461" t="s">
        <v>2366</v>
      </c>
      <c r="C1461" t="s">
        <v>23</v>
      </c>
      <c r="D1461" t="s">
        <v>26</v>
      </c>
      <c r="E1461">
        <v>2392</v>
      </c>
      <c r="F1461">
        <v>375.17</v>
      </c>
      <c r="G1461">
        <v>378.75</v>
      </c>
      <c r="H1461">
        <v>375.17</v>
      </c>
      <c r="I1461">
        <v>1852</v>
      </c>
      <c r="J1461">
        <v>29</v>
      </c>
      <c r="K1461" s="17">
        <f t="shared" si="177"/>
        <v>1790.2666666666667</v>
      </c>
      <c r="L1461" t="str">
        <f t="shared" si="178"/>
        <v>Sufficuent Stock</v>
      </c>
      <c r="P1461" s="19">
        <f t="shared" si="179"/>
        <v>0</v>
      </c>
      <c r="R1461" s="19">
        <f t="shared" si="176"/>
        <v>0</v>
      </c>
      <c r="T1461" s="19">
        <f t="shared" si="180"/>
        <v>701445</v>
      </c>
      <c r="U1461" s="19">
        <f t="shared" si="181"/>
        <v>694814.84000000008</v>
      </c>
      <c r="V1461" s="21">
        <f t="shared" si="182"/>
        <v>-6630.1599999999162</v>
      </c>
      <c r="W1461" s="18">
        <f t="shared" si="183"/>
        <v>-9.4521452145213333E-3</v>
      </c>
    </row>
    <row r="1462" spans="1:23" x14ac:dyDescent="0.3">
      <c r="A1462" t="s">
        <v>211</v>
      </c>
      <c r="B1462" t="s">
        <v>212</v>
      </c>
      <c r="C1462" t="s">
        <v>12</v>
      </c>
      <c r="D1462" t="s">
        <v>13</v>
      </c>
      <c r="E1462">
        <v>2393</v>
      </c>
      <c r="F1462">
        <v>318.91000000000003</v>
      </c>
      <c r="G1462">
        <v>333.13</v>
      </c>
      <c r="H1462">
        <v>318.91000000000003</v>
      </c>
      <c r="I1462">
        <v>3489</v>
      </c>
      <c r="J1462">
        <v>20</v>
      </c>
      <c r="K1462" s="17">
        <f t="shared" si="177"/>
        <v>2326</v>
      </c>
      <c r="L1462" t="str">
        <f t="shared" si="178"/>
        <v>Sufficuent Stock</v>
      </c>
      <c r="P1462" s="19">
        <f t="shared" si="179"/>
        <v>0</v>
      </c>
      <c r="R1462" s="19">
        <f t="shared" si="176"/>
        <v>0</v>
      </c>
      <c r="T1462" s="19">
        <f t="shared" si="180"/>
        <v>1162290.57</v>
      </c>
      <c r="U1462" s="19">
        <f t="shared" si="181"/>
        <v>1112676.99</v>
      </c>
      <c r="V1462" s="21">
        <f t="shared" si="182"/>
        <v>-49613.580000000075</v>
      </c>
      <c r="W1462" s="18">
        <f t="shared" si="183"/>
        <v>-4.2686038483474985E-2</v>
      </c>
    </row>
    <row r="1463" spans="1:23" x14ac:dyDescent="0.3">
      <c r="A1463" t="s">
        <v>1076</v>
      </c>
      <c r="B1463" t="s">
        <v>1197</v>
      </c>
      <c r="C1463" t="s">
        <v>23</v>
      </c>
      <c r="D1463" t="s">
        <v>17</v>
      </c>
      <c r="E1463">
        <v>2399</v>
      </c>
      <c r="F1463">
        <v>409.05</v>
      </c>
      <c r="G1463">
        <v>357.6</v>
      </c>
      <c r="H1463">
        <v>409.05</v>
      </c>
      <c r="I1463">
        <v>1253</v>
      </c>
      <c r="J1463">
        <v>66</v>
      </c>
      <c r="K1463" s="17">
        <f t="shared" si="177"/>
        <v>2756.6</v>
      </c>
      <c r="L1463" t="str">
        <f t="shared" si="178"/>
        <v>High Risk</v>
      </c>
      <c r="P1463" s="19">
        <f t="shared" si="179"/>
        <v>358</v>
      </c>
      <c r="R1463" s="19">
        <f t="shared" si="176"/>
        <v>146439.9</v>
      </c>
      <c r="T1463" s="19">
        <f t="shared" si="180"/>
        <v>448072.80000000005</v>
      </c>
      <c r="U1463" s="19">
        <f t="shared" si="181"/>
        <v>512539.65</v>
      </c>
      <c r="V1463" s="21">
        <f t="shared" si="182"/>
        <v>64466.849999999977</v>
      </c>
      <c r="W1463" s="18">
        <f t="shared" si="183"/>
        <v>0.14387583892617442</v>
      </c>
    </row>
    <row r="1464" spans="1:23" x14ac:dyDescent="0.3">
      <c r="A1464" t="s">
        <v>1074</v>
      </c>
      <c r="B1464" t="s">
        <v>2584</v>
      </c>
      <c r="C1464" t="s">
        <v>50</v>
      </c>
      <c r="D1464" t="s">
        <v>69</v>
      </c>
      <c r="E1464">
        <v>2401</v>
      </c>
      <c r="F1464">
        <v>28.13</v>
      </c>
      <c r="G1464">
        <v>28.25</v>
      </c>
      <c r="H1464">
        <v>28.13</v>
      </c>
      <c r="I1464">
        <v>3902</v>
      </c>
      <c r="J1464">
        <v>71</v>
      </c>
      <c r="K1464" s="17">
        <f t="shared" si="177"/>
        <v>9234.7333333333336</v>
      </c>
      <c r="L1464" t="str">
        <f t="shared" si="178"/>
        <v>High Risk</v>
      </c>
      <c r="P1464" s="19">
        <f t="shared" si="179"/>
        <v>6834</v>
      </c>
      <c r="R1464" s="19">
        <f t="shared" si="176"/>
        <v>192240.41999999998</v>
      </c>
      <c r="T1464" s="19">
        <f t="shared" si="180"/>
        <v>110231.5</v>
      </c>
      <c r="U1464" s="19">
        <f t="shared" si="181"/>
        <v>109763.26</v>
      </c>
      <c r="V1464" s="21">
        <f t="shared" si="182"/>
        <v>-468.24000000000524</v>
      </c>
      <c r="W1464" s="18">
        <f t="shared" si="183"/>
        <v>-4.2477876106195162E-3</v>
      </c>
    </row>
    <row r="1465" spans="1:23" x14ac:dyDescent="0.3">
      <c r="A1465" t="s">
        <v>398</v>
      </c>
      <c r="B1465" t="s">
        <v>399</v>
      </c>
      <c r="C1465" t="s">
        <v>16</v>
      </c>
      <c r="D1465" t="s">
        <v>20</v>
      </c>
      <c r="E1465">
        <v>2402</v>
      </c>
      <c r="F1465">
        <v>212.23</v>
      </c>
      <c r="G1465">
        <v>196.59</v>
      </c>
      <c r="H1465">
        <v>212.23</v>
      </c>
      <c r="I1465">
        <v>2909</v>
      </c>
      <c r="J1465">
        <v>25</v>
      </c>
      <c r="K1465" s="17">
        <f t="shared" si="177"/>
        <v>2424.1666666666665</v>
      </c>
      <c r="L1465" t="str">
        <f t="shared" si="178"/>
        <v>High Risk</v>
      </c>
      <c r="P1465" s="19">
        <f t="shared" si="179"/>
        <v>23</v>
      </c>
      <c r="R1465" s="19">
        <f t="shared" si="176"/>
        <v>4881.29</v>
      </c>
      <c r="T1465" s="19">
        <f t="shared" si="180"/>
        <v>571880.31000000006</v>
      </c>
      <c r="U1465" s="19">
        <f t="shared" si="181"/>
        <v>617377.06999999995</v>
      </c>
      <c r="V1465" s="21">
        <f t="shared" si="182"/>
        <v>45496.759999999893</v>
      </c>
      <c r="W1465" s="18">
        <f t="shared" si="183"/>
        <v>7.9556437255200979E-2</v>
      </c>
    </row>
    <row r="1466" spans="1:23" x14ac:dyDescent="0.3">
      <c r="A1466" t="s">
        <v>451</v>
      </c>
      <c r="B1466" t="s">
        <v>1917</v>
      </c>
      <c r="C1466" t="s">
        <v>50</v>
      </c>
      <c r="D1466" t="s">
        <v>20</v>
      </c>
      <c r="E1466">
        <v>2405</v>
      </c>
      <c r="F1466">
        <v>141.36000000000001</v>
      </c>
      <c r="G1466">
        <v>155.15</v>
      </c>
      <c r="H1466">
        <v>141.36000000000001</v>
      </c>
      <c r="I1466">
        <v>1868</v>
      </c>
      <c r="J1466">
        <v>34</v>
      </c>
      <c r="K1466" s="17">
        <f t="shared" si="177"/>
        <v>2117.0666666666666</v>
      </c>
      <c r="L1466" t="str">
        <f t="shared" si="178"/>
        <v>Sufficuent Stock</v>
      </c>
      <c r="P1466" s="19">
        <f t="shared" si="179"/>
        <v>0</v>
      </c>
      <c r="R1466" s="19">
        <f t="shared" si="176"/>
        <v>0</v>
      </c>
      <c r="T1466" s="19">
        <f t="shared" si="180"/>
        <v>289820.2</v>
      </c>
      <c r="U1466" s="19">
        <f t="shared" si="181"/>
        <v>264060.48000000004</v>
      </c>
      <c r="V1466" s="21">
        <f t="shared" si="182"/>
        <v>-25759.719999999972</v>
      </c>
      <c r="W1466" s="18">
        <f t="shared" si="183"/>
        <v>-8.8881727360618654E-2</v>
      </c>
    </row>
    <row r="1467" spans="1:23" x14ac:dyDescent="0.3">
      <c r="A1467" t="s">
        <v>1273</v>
      </c>
      <c r="B1467" t="s">
        <v>1791</v>
      </c>
      <c r="C1467" t="s">
        <v>12</v>
      </c>
      <c r="D1467" t="s">
        <v>17</v>
      </c>
      <c r="E1467">
        <v>2406</v>
      </c>
      <c r="F1467">
        <v>115.12</v>
      </c>
      <c r="G1467">
        <v>113.99</v>
      </c>
      <c r="H1467">
        <v>115.12</v>
      </c>
      <c r="I1467">
        <v>1654</v>
      </c>
      <c r="J1467">
        <v>35</v>
      </c>
      <c r="K1467" s="17">
        <f t="shared" si="177"/>
        <v>1929.6666666666667</v>
      </c>
      <c r="L1467" t="str">
        <f t="shared" si="178"/>
        <v>Sufficuent Stock</v>
      </c>
      <c r="P1467" s="19">
        <f t="shared" si="179"/>
        <v>0</v>
      </c>
      <c r="R1467" s="19">
        <f t="shared" si="176"/>
        <v>0</v>
      </c>
      <c r="T1467" s="19">
        <f t="shared" si="180"/>
        <v>188539.46</v>
      </c>
      <c r="U1467" s="19">
        <f t="shared" si="181"/>
        <v>190408.48</v>
      </c>
      <c r="V1467" s="21">
        <f t="shared" si="182"/>
        <v>1869.0200000000186</v>
      </c>
      <c r="W1467" s="18">
        <f t="shared" si="183"/>
        <v>9.9131502763401286E-3</v>
      </c>
    </row>
    <row r="1468" spans="1:23" x14ac:dyDescent="0.3">
      <c r="A1468" t="s">
        <v>42</v>
      </c>
      <c r="B1468" t="s">
        <v>762</v>
      </c>
      <c r="C1468" t="s">
        <v>37</v>
      </c>
      <c r="D1468" t="s">
        <v>13</v>
      </c>
      <c r="E1468">
        <v>2408</v>
      </c>
      <c r="F1468">
        <v>379.54</v>
      </c>
      <c r="G1468">
        <v>329.39</v>
      </c>
      <c r="H1468">
        <v>379.54</v>
      </c>
      <c r="I1468">
        <v>298</v>
      </c>
      <c r="J1468">
        <v>14</v>
      </c>
      <c r="K1468" s="17">
        <f t="shared" si="177"/>
        <v>139.06666666666666</v>
      </c>
      <c r="L1468" t="str">
        <f t="shared" si="178"/>
        <v>Sufficuent Stock</v>
      </c>
      <c r="P1468" s="19">
        <f t="shared" si="179"/>
        <v>0</v>
      </c>
      <c r="R1468" s="19">
        <f t="shared" si="176"/>
        <v>0</v>
      </c>
      <c r="T1468" s="19">
        <f t="shared" si="180"/>
        <v>98158.22</v>
      </c>
      <c r="U1468" s="19">
        <f t="shared" si="181"/>
        <v>113102.92000000001</v>
      </c>
      <c r="V1468" s="21">
        <f t="shared" si="182"/>
        <v>14944.700000000012</v>
      </c>
      <c r="W1468" s="18">
        <f t="shared" si="183"/>
        <v>0.15225113087829029</v>
      </c>
    </row>
    <row r="1469" spans="1:23" x14ac:dyDescent="0.3">
      <c r="A1469" t="s">
        <v>14</v>
      </c>
      <c r="B1469" t="s">
        <v>2809</v>
      </c>
      <c r="C1469" t="s">
        <v>16</v>
      </c>
      <c r="D1469" t="s">
        <v>17</v>
      </c>
      <c r="E1469">
        <v>2411</v>
      </c>
      <c r="F1469">
        <v>313.49</v>
      </c>
      <c r="G1469">
        <v>303.31</v>
      </c>
      <c r="H1469">
        <v>313.49</v>
      </c>
      <c r="I1469">
        <v>2627</v>
      </c>
      <c r="J1469">
        <v>14</v>
      </c>
      <c r="K1469" s="17">
        <f t="shared" si="177"/>
        <v>1225.9333333333334</v>
      </c>
      <c r="L1469" t="str">
        <f t="shared" si="178"/>
        <v>Sufficuent Stock</v>
      </c>
      <c r="P1469" s="19">
        <f t="shared" si="179"/>
        <v>0</v>
      </c>
      <c r="R1469" s="19">
        <f t="shared" si="176"/>
        <v>0</v>
      </c>
      <c r="T1469" s="19">
        <f t="shared" si="180"/>
        <v>796795.37</v>
      </c>
      <c r="U1469" s="19">
        <f t="shared" si="181"/>
        <v>823538.23</v>
      </c>
      <c r="V1469" s="21">
        <f t="shared" si="182"/>
        <v>26742.859999999986</v>
      </c>
      <c r="W1469" s="18">
        <f t="shared" si="183"/>
        <v>3.3563021331311185E-2</v>
      </c>
    </row>
    <row r="1470" spans="1:23" x14ac:dyDescent="0.3">
      <c r="A1470" t="s">
        <v>72</v>
      </c>
      <c r="B1470" t="s">
        <v>787</v>
      </c>
      <c r="C1470" t="s">
        <v>37</v>
      </c>
      <c r="D1470" t="s">
        <v>69</v>
      </c>
      <c r="E1470">
        <v>2416</v>
      </c>
      <c r="F1470">
        <v>85.69</v>
      </c>
      <c r="G1470">
        <v>79.430000000000007</v>
      </c>
      <c r="H1470">
        <v>85.69</v>
      </c>
      <c r="I1470">
        <v>835</v>
      </c>
      <c r="J1470">
        <v>68</v>
      </c>
      <c r="K1470" s="17">
        <f t="shared" si="177"/>
        <v>1892.6666666666665</v>
      </c>
      <c r="L1470" t="str">
        <f t="shared" si="178"/>
        <v>Sufficuent Stock</v>
      </c>
      <c r="P1470" s="19">
        <f t="shared" si="179"/>
        <v>0</v>
      </c>
      <c r="R1470" s="19">
        <f t="shared" si="176"/>
        <v>0</v>
      </c>
      <c r="T1470" s="19">
        <f t="shared" si="180"/>
        <v>66324.05</v>
      </c>
      <c r="U1470" s="19">
        <f t="shared" si="181"/>
        <v>71551.149999999994</v>
      </c>
      <c r="V1470" s="21">
        <f t="shared" si="182"/>
        <v>5227.0999999999913</v>
      </c>
      <c r="W1470" s="18">
        <f t="shared" si="183"/>
        <v>7.8811532166687515E-2</v>
      </c>
    </row>
    <row r="1471" spans="1:23" x14ac:dyDescent="0.3">
      <c r="A1471" t="s">
        <v>872</v>
      </c>
      <c r="B1471" t="s">
        <v>2180</v>
      </c>
      <c r="C1471" t="s">
        <v>37</v>
      </c>
      <c r="D1471" t="s">
        <v>17</v>
      </c>
      <c r="E1471">
        <v>2417</v>
      </c>
      <c r="F1471">
        <v>427.25</v>
      </c>
      <c r="G1471">
        <v>447.29</v>
      </c>
      <c r="H1471">
        <v>427.25</v>
      </c>
      <c r="I1471">
        <v>3265</v>
      </c>
      <c r="J1471">
        <v>90</v>
      </c>
      <c r="K1471" s="17">
        <f t="shared" si="177"/>
        <v>9795</v>
      </c>
      <c r="L1471" t="str">
        <f t="shared" si="178"/>
        <v>High Risk</v>
      </c>
      <c r="P1471" s="19">
        <f t="shared" si="179"/>
        <v>7378</v>
      </c>
      <c r="R1471" s="19">
        <f t="shared" si="176"/>
        <v>3152250.5</v>
      </c>
      <c r="T1471" s="19">
        <f t="shared" si="180"/>
        <v>1460401.85</v>
      </c>
      <c r="U1471" s="19">
        <f t="shared" si="181"/>
        <v>1394971.25</v>
      </c>
      <c r="V1471" s="21">
        <f t="shared" si="182"/>
        <v>-65430.600000000093</v>
      </c>
      <c r="W1471" s="18">
        <f t="shared" si="183"/>
        <v>-4.4803147845916581E-2</v>
      </c>
    </row>
    <row r="1472" spans="1:23" x14ac:dyDescent="0.3">
      <c r="A1472" t="s">
        <v>1353</v>
      </c>
      <c r="B1472" t="s">
        <v>2030</v>
      </c>
      <c r="C1472" t="s">
        <v>50</v>
      </c>
      <c r="D1472" t="s">
        <v>69</v>
      </c>
      <c r="E1472">
        <v>2422</v>
      </c>
      <c r="F1472">
        <v>373.91</v>
      </c>
      <c r="G1472">
        <v>337.07</v>
      </c>
      <c r="H1472">
        <v>373.91</v>
      </c>
      <c r="I1472">
        <v>3348</v>
      </c>
      <c r="J1472">
        <v>33</v>
      </c>
      <c r="K1472" s="17">
        <f t="shared" si="177"/>
        <v>3682.7999999999997</v>
      </c>
      <c r="L1472" t="str">
        <f t="shared" si="178"/>
        <v>High Risk</v>
      </c>
      <c r="P1472" s="19">
        <f t="shared" si="179"/>
        <v>1261</v>
      </c>
      <c r="R1472" s="19">
        <f t="shared" si="176"/>
        <v>471500.51</v>
      </c>
      <c r="T1472" s="19">
        <f t="shared" si="180"/>
        <v>1128510.3599999999</v>
      </c>
      <c r="U1472" s="19">
        <f t="shared" si="181"/>
        <v>1251850.6800000002</v>
      </c>
      <c r="V1472" s="21">
        <f t="shared" si="182"/>
        <v>123340.3200000003</v>
      </c>
      <c r="W1472" s="18">
        <f t="shared" si="183"/>
        <v>0.1092948052333346</v>
      </c>
    </row>
    <row r="1473" spans="1:23" x14ac:dyDescent="0.3">
      <c r="A1473" t="s">
        <v>127</v>
      </c>
      <c r="B1473" t="s">
        <v>2554</v>
      </c>
      <c r="C1473" t="s">
        <v>16</v>
      </c>
      <c r="D1473" t="s">
        <v>13</v>
      </c>
      <c r="E1473">
        <v>2424</v>
      </c>
      <c r="F1473">
        <v>103.3</v>
      </c>
      <c r="G1473">
        <v>100.99</v>
      </c>
      <c r="H1473">
        <v>103.3</v>
      </c>
      <c r="I1473">
        <v>1373</v>
      </c>
      <c r="J1473">
        <v>38</v>
      </c>
      <c r="K1473" s="17">
        <f t="shared" si="177"/>
        <v>1739.1333333333332</v>
      </c>
      <c r="L1473" t="str">
        <f t="shared" si="178"/>
        <v>Sufficuent Stock</v>
      </c>
      <c r="P1473" s="19">
        <f t="shared" si="179"/>
        <v>0</v>
      </c>
      <c r="R1473" s="19">
        <f t="shared" si="176"/>
        <v>0</v>
      </c>
      <c r="T1473" s="19">
        <f t="shared" si="180"/>
        <v>138659.26999999999</v>
      </c>
      <c r="U1473" s="19">
        <f t="shared" si="181"/>
        <v>141830.9</v>
      </c>
      <c r="V1473" s="21">
        <f t="shared" si="182"/>
        <v>3171.6300000000047</v>
      </c>
      <c r="W1473" s="18">
        <f t="shared" si="183"/>
        <v>2.287355183681556E-2</v>
      </c>
    </row>
    <row r="1474" spans="1:23" x14ac:dyDescent="0.3">
      <c r="A1474" t="s">
        <v>395</v>
      </c>
      <c r="B1474" t="s">
        <v>1713</v>
      </c>
      <c r="C1474" t="s">
        <v>37</v>
      </c>
      <c r="D1474" t="s">
        <v>69</v>
      </c>
      <c r="E1474">
        <v>2429</v>
      </c>
      <c r="F1474">
        <v>457.96</v>
      </c>
      <c r="G1474">
        <v>416.55</v>
      </c>
      <c r="H1474">
        <v>457.96</v>
      </c>
      <c r="I1474">
        <v>2755</v>
      </c>
      <c r="J1474">
        <v>84</v>
      </c>
      <c r="K1474" s="17">
        <f t="shared" si="177"/>
        <v>7714</v>
      </c>
      <c r="L1474" t="str">
        <f t="shared" si="178"/>
        <v>High Risk</v>
      </c>
      <c r="P1474" s="19">
        <f t="shared" si="179"/>
        <v>5285</v>
      </c>
      <c r="R1474" s="19">
        <f t="shared" ref="R1474:R1537" si="184">P1474*H1474</f>
        <v>2420318.6</v>
      </c>
      <c r="T1474" s="19">
        <f t="shared" si="180"/>
        <v>1147595.25</v>
      </c>
      <c r="U1474" s="19">
        <f t="shared" si="181"/>
        <v>1261679.8</v>
      </c>
      <c r="V1474" s="21">
        <f t="shared" si="182"/>
        <v>114084.55000000005</v>
      </c>
      <c r="W1474" s="18">
        <f t="shared" si="183"/>
        <v>9.9411835313887933E-2</v>
      </c>
    </row>
    <row r="1475" spans="1:23" x14ac:dyDescent="0.3">
      <c r="A1475" t="s">
        <v>890</v>
      </c>
      <c r="B1475" t="s">
        <v>2943</v>
      </c>
      <c r="C1475" t="s">
        <v>37</v>
      </c>
      <c r="D1475" t="s">
        <v>26</v>
      </c>
      <c r="E1475">
        <v>2430</v>
      </c>
      <c r="F1475">
        <v>157.37</v>
      </c>
      <c r="G1475">
        <v>170.32</v>
      </c>
      <c r="H1475">
        <v>157.37</v>
      </c>
      <c r="I1475">
        <v>2093</v>
      </c>
      <c r="J1475">
        <v>67</v>
      </c>
      <c r="K1475" s="17">
        <f t="shared" ref="K1475:K1538" si="185">(I1475/30)*J1475</f>
        <v>4674.3666666666668</v>
      </c>
      <c r="L1475" t="str">
        <f t="shared" ref="L1475:L1538" si="186">IF(E1475&lt;K1475,"High Risk","Sufficuent Stock")</f>
        <v>High Risk</v>
      </c>
      <c r="P1475" s="19">
        <f t="shared" ref="P1475:P1538" si="187">ROUNDUP(MAX(0,K1475-E1475),0)</f>
        <v>2245</v>
      </c>
      <c r="R1475" s="19">
        <f t="shared" si="184"/>
        <v>353295.65</v>
      </c>
      <c r="T1475" s="19">
        <f t="shared" ref="T1475:T1538" si="188">I1475*G1475</f>
        <v>356479.76</v>
      </c>
      <c r="U1475" s="19">
        <f t="shared" ref="U1475:U1538" si="189">I1475*H1475</f>
        <v>329375.41000000003</v>
      </c>
      <c r="V1475" s="21">
        <f t="shared" ref="V1475:V1538" si="190">U1475-T1475</f>
        <v>-27104.349999999977</v>
      </c>
      <c r="W1475" s="18">
        <f t="shared" ref="W1475:W1538" si="191">IFERROR(V1475/T1475,0)</f>
        <v>-7.603334899013614E-2</v>
      </c>
    </row>
    <row r="1476" spans="1:23" x14ac:dyDescent="0.3">
      <c r="A1476" t="s">
        <v>197</v>
      </c>
      <c r="B1476" t="s">
        <v>2242</v>
      </c>
      <c r="C1476" t="s">
        <v>12</v>
      </c>
      <c r="D1476" t="s">
        <v>20</v>
      </c>
      <c r="E1476">
        <v>2434</v>
      </c>
      <c r="F1476">
        <v>357.47</v>
      </c>
      <c r="G1476">
        <v>300.89</v>
      </c>
      <c r="H1476">
        <v>357.47</v>
      </c>
      <c r="I1476">
        <v>3168</v>
      </c>
      <c r="J1476">
        <v>37</v>
      </c>
      <c r="K1476" s="17">
        <f t="shared" si="185"/>
        <v>3907.2</v>
      </c>
      <c r="L1476" t="str">
        <f t="shared" si="186"/>
        <v>High Risk</v>
      </c>
      <c r="P1476" s="19">
        <f t="shared" si="187"/>
        <v>1474</v>
      </c>
      <c r="R1476" s="19">
        <f t="shared" si="184"/>
        <v>526910.78</v>
      </c>
      <c r="T1476" s="19">
        <f t="shared" si="188"/>
        <v>953219.5199999999</v>
      </c>
      <c r="U1476" s="19">
        <f t="shared" si="189"/>
        <v>1132464.9600000002</v>
      </c>
      <c r="V1476" s="21">
        <f t="shared" si="190"/>
        <v>179245.44000000029</v>
      </c>
      <c r="W1476" s="18">
        <f t="shared" si="191"/>
        <v>0.1880421416464492</v>
      </c>
    </row>
    <row r="1477" spans="1:23" x14ac:dyDescent="0.3">
      <c r="A1477" t="s">
        <v>671</v>
      </c>
      <c r="B1477" t="s">
        <v>1389</v>
      </c>
      <c r="C1477" t="s">
        <v>50</v>
      </c>
      <c r="D1477" t="s">
        <v>69</v>
      </c>
      <c r="E1477">
        <v>2435</v>
      </c>
      <c r="F1477">
        <v>482.94</v>
      </c>
      <c r="G1477">
        <v>441.53</v>
      </c>
      <c r="H1477">
        <v>482.94</v>
      </c>
      <c r="I1477">
        <v>3243</v>
      </c>
      <c r="J1477">
        <v>5</v>
      </c>
      <c r="K1477" s="17">
        <f t="shared" si="185"/>
        <v>540.5</v>
      </c>
      <c r="L1477" t="str">
        <f t="shared" si="186"/>
        <v>Sufficuent Stock</v>
      </c>
      <c r="P1477" s="19">
        <f t="shared" si="187"/>
        <v>0</v>
      </c>
      <c r="R1477" s="19">
        <f t="shared" si="184"/>
        <v>0</v>
      </c>
      <c r="T1477" s="19">
        <f t="shared" si="188"/>
        <v>1431881.7899999998</v>
      </c>
      <c r="U1477" s="19">
        <f t="shared" si="189"/>
        <v>1566174.42</v>
      </c>
      <c r="V1477" s="21">
        <f t="shared" si="190"/>
        <v>134292.63000000012</v>
      </c>
      <c r="W1477" s="18">
        <f t="shared" si="191"/>
        <v>9.3787511607365398E-2</v>
      </c>
    </row>
    <row r="1478" spans="1:23" x14ac:dyDescent="0.3">
      <c r="A1478" t="s">
        <v>213</v>
      </c>
      <c r="B1478" t="s">
        <v>3254</v>
      </c>
      <c r="C1478" t="s">
        <v>12</v>
      </c>
      <c r="D1478" t="s">
        <v>20</v>
      </c>
      <c r="E1478">
        <v>2436</v>
      </c>
      <c r="F1478">
        <v>159.03</v>
      </c>
      <c r="G1478">
        <v>146.69</v>
      </c>
      <c r="H1478">
        <v>159.03</v>
      </c>
      <c r="I1478">
        <v>178</v>
      </c>
      <c r="J1478">
        <v>46</v>
      </c>
      <c r="K1478" s="17">
        <f t="shared" si="185"/>
        <v>272.93333333333334</v>
      </c>
      <c r="L1478" t="str">
        <f t="shared" si="186"/>
        <v>Sufficuent Stock</v>
      </c>
      <c r="P1478" s="19">
        <f t="shared" si="187"/>
        <v>0</v>
      </c>
      <c r="R1478" s="19">
        <f t="shared" si="184"/>
        <v>0</v>
      </c>
      <c r="T1478" s="19">
        <f t="shared" si="188"/>
        <v>26110.82</v>
      </c>
      <c r="U1478" s="19">
        <f t="shared" si="189"/>
        <v>28307.34</v>
      </c>
      <c r="V1478" s="21">
        <f t="shared" si="190"/>
        <v>2196.5200000000004</v>
      </c>
      <c r="W1478" s="18">
        <f t="shared" si="191"/>
        <v>8.4122980434930827E-2</v>
      </c>
    </row>
    <row r="1479" spans="1:23" x14ac:dyDescent="0.3">
      <c r="A1479" t="s">
        <v>370</v>
      </c>
      <c r="B1479" t="s">
        <v>1432</v>
      </c>
      <c r="C1479" t="s">
        <v>50</v>
      </c>
      <c r="D1479" t="s">
        <v>13</v>
      </c>
      <c r="E1479">
        <v>2441</v>
      </c>
      <c r="F1479">
        <v>394.09</v>
      </c>
      <c r="G1479">
        <v>352.29</v>
      </c>
      <c r="H1479">
        <v>394.09</v>
      </c>
      <c r="I1479">
        <v>2335</v>
      </c>
      <c r="J1479">
        <v>69</v>
      </c>
      <c r="K1479" s="17">
        <f t="shared" si="185"/>
        <v>5370.5</v>
      </c>
      <c r="L1479" t="str">
        <f t="shared" si="186"/>
        <v>High Risk</v>
      </c>
      <c r="P1479" s="19">
        <f t="shared" si="187"/>
        <v>2930</v>
      </c>
      <c r="R1479" s="19">
        <f t="shared" si="184"/>
        <v>1154683.7</v>
      </c>
      <c r="T1479" s="19">
        <f t="shared" si="188"/>
        <v>822597.15</v>
      </c>
      <c r="U1479" s="19">
        <f t="shared" si="189"/>
        <v>920200.14999999991</v>
      </c>
      <c r="V1479" s="21">
        <f t="shared" si="190"/>
        <v>97602.999999999884</v>
      </c>
      <c r="W1479" s="18">
        <f t="shared" si="191"/>
        <v>0.11865224672854736</v>
      </c>
    </row>
    <row r="1480" spans="1:23" x14ac:dyDescent="0.3">
      <c r="A1480" t="s">
        <v>1132</v>
      </c>
      <c r="B1480" t="s">
        <v>2976</v>
      </c>
      <c r="C1480" t="s">
        <v>23</v>
      </c>
      <c r="D1480" t="s">
        <v>69</v>
      </c>
      <c r="E1480">
        <v>2442</v>
      </c>
      <c r="F1480">
        <v>339.82</v>
      </c>
      <c r="G1480">
        <v>288.54000000000002</v>
      </c>
      <c r="H1480">
        <v>339.82</v>
      </c>
      <c r="I1480">
        <v>1165</v>
      </c>
      <c r="J1480">
        <v>39</v>
      </c>
      <c r="K1480" s="17">
        <f t="shared" si="185"/>
        <v>1514.5</v>
      </c>
      <c r="L1480" t="str">
        <f t="shared" si="186"/>
        <v>Sufficuent Stock</v>
      </c>
      <c r="P1480" s="19">
        <f t="shared" si="187"/>
        <v>0</v>
      </c>
      <c r="R1480" s="19">
        <f t="shared" si="184"/>
        <v>0</v>
      </c>
      <c r="T1480" s="19">
        <f t="shared" si="188"/>
        <v>336149.10000000003</v>
      </c>
      <c r="U1480" s="19">
        <f t="shared" si="189"/>
        <v>395890.3</v>
      </c>
      <c r="V1480" s="21">
        <f t="shared" si="190"/>
        <v>59741.199999999953</v>
      </c>
      <c r="W1480" s="18">
        <f t="shared" si="191"/>
        <v>0.17772232619394177</v>
      </c>
    </row>
    <row r="1481" spans="1:23" x14ac:dyDescent="0.3">
      <c r="A1481" t="s">
        <v>1076</v>
      </c>
      <c r="B1481" t="s">
        <v>1178</v>
      </c>
      <c r="C1481" t="s">
        <v>16</v>
      </c>
      <c r="D1481" t="s">
        <v>20</v>
      </c>
      <c r="E1481">
        <v>2443</v>
      </c>
      <c r="F1481">
        <v>65.31</v>
      </c>
      <c r="G1481">
        <v>55.34</v>
      </c>
      <c r="H1481">
        <v>65.31</v>
      </c>
      <c r="I1481">
        <v>2780</v>
      </c>
      <c r="J1481">
        <v>56</v>
      </c>
      <c r="K1481" s="17">
        <f t="shared" si="185"/>
        <v>5189.3333333333339</v>
      </c>
      <c r="L1481" t="str">
        <f t="shared" si="186"/>
        <v>High Risk</v>
      </c>
      <c r="P1481" s="19">
        <f t="shared" si="187"/>
        <v>2747</v>
      </c>
      <c r="R1481" s="19">
        <f t="shared" si="184"/>
        <v>179406.57</v>
      </c>
      <c r="T1481" s="19">
        <f t="shared" si="188"/>
        <v>153845.20000000001</v>
      </c>
      <c r="U1481" s="19">
        <f t="shared" si="189"/>
        <v>181561.80000000002</v>
      </c>
      <c r="V1481" s="21">
        <f t="shared" si="190"/>
        <v>27716.600000000006</v>
      </c>
      <c r="W1481" s="18">
        <f t="shared" si="191"/>
        <v>0.18015901698590533</v>
      </c>
    </row>
    <row r="1482" spans="1:23" x14ac:dyDescent="0.3">
      <c r="A1482" t="s">
        <v>387</v>
      </c>
      <c r="B1482" t="s">
        <v>388</v>
      </c>
      <c r="C1482" t="s">
        <v>23</v>
      </c>
      <c r="D1482" t="s">
        <v>17</v>
      </c>
      <c r="E1482">
        <v>2443</v>
      </c>
      <c r="F1482">
        <v>22.23</v>
      </c>
      <c r="G1482">
        <v>19.62</v>
      </c>
      <c r="H1482">
        <v>22.23</v>
      </c>
      <c r="I1482">
        <v>1415</v>
      </c>
      <c r="J1482">
        <v>70</v>
      </c>
      <c r="K1482" s="17">
        <f t="shared" si="185"/>
        <v>3301.6666666666665</v>
      </c>
      <c r="L1482" t="str">
        <f t="shared" si="186"/>
        <v>High Risk</v>
      </c>
      <c r="P1482" s="19">
        <f t="shared" si="187"/>
        <v>859</v>
      </c>
      <c r="R1482" s="19">
        <f t="shared" si="184"/>
        <v>19095.57</v>
      </c>
      <c r="T1482" s="19">
        <f t="shared" si="188"/>
        <v>27762.300000000003</v>
      </c>
      <c r="U1482" s="19">
        <f t="shared" si="189"/>
        <v>31455.45</v>
      </c>
      <c r="V1482" s="21">
        <f t="shared" si="190"/>
        <v>3693.1499999999978</v>
      </c>
      <c r="W1482" s="18">
        <f t="shared" si="191"/>
        <v>0.13302752293577971</v>
      </c>
    </row>
    <row r="1483" spans="1:23" x14ac:dyDescent="0.3">
      <c r="A1483" t="s">
        <v>177</v>
      </c>
      <c r="B1483" t="s">
        <v>1184</v>
      </c>
      <c r="C1483" t="s">
        <v>16</v>
      </c>
      <c r="D1483" t="s">
        <v>20</v>
      </c>
      <c r="E1483">
        <v>2447</v>
      </c>
      <c r="F1483">
        <v>192.72</v>
      </c>
      <c r="G1483">
        <v>168.69</v>
      </c>
      <c r="H1483">
        <v>192.72</v>
      </c>
      <c r="I1483">
        <v>3166</v>
      </c>
      <c r="J1483">
        <v>63</v>
      </c>
      <c r="K1483" s="17">
        <f t="shared" si="185"/>
        <v>6648.5999999999995</v>
      </c>
      <c r="L1483" t="str">
        <f t="shared" si="186"/>
        <v>High Risk</v>
      </c>
      <c r="P1483" s="19">
        <f t="shared" si="187"/>
        <v>4202</v>
      </c>
      <c r="R1483" s="19">
        <f t="shared" si="184"/>
        <v>809809.44</v>
      </c>
      <c r="T1483" s="19">
        <f t="shared" si="188"/>
        <v>534072.54</v>
      </c>
      <c r="U1483" s="19">
        <f t="shared" si="189"/>
        <v>610151.52</v>
      </c>
      <c r="V1483" s="21">
        <f t="shared" si="190"/>
        <v>76078.979999999981</v>
      </c>
      <c r="W1483" s="18">
        <f t="shared" si="191"/>
        <v>0.14245064911968697</v>
      </c>
    </row>
    <row r="1484" spans="1:23" x14ac:dyDescent="0.3">
      <c r="A1484" t="s">
        <v>40</v>
      </c>
      <c r="B1484" t="s">
        <v>3376</v>
      </c>
      <c r="C1484" t="s">
        <v>37</v>
      </c>
      <c r="D1484" t="s">
        <v>26</v>
      </c>
      <c r="E1484">
        <v>2447</v>
      </c>
      <c r="F1484">
        <v>364.38</v>
      </c>
      <c r="G1484">
        <v>331.08</v>
      </c>
      <c r="H1484">
        <v>364.38</v>
      </c>
      <c r="I1484">
        <v>2567</v>
      </c>
      <c r="J1484">
        <v>72</v>
      </c>
      <c r="K1484" s="17">
        <f t="shared" si="185"/>
        <v>6160.7999999999993</v>
      </c>
      <c r="L1484" t="str">
        <f t="shared" si="186"/>
        <v>High Risk</v>
      </c>
      <c r="P1484" s="19">
        <f t="shared" si="187"/>
        <v>3714</v>
      </c>
      <c r="R1484" s="19">
        <f t="shared" si="184"/>
        <v>1353307.32</v>
      </c>
      <c r="T1484" s="19">
        <f t="shared" si="188"/>
        <v>849882.36</v>
      </c>
      <c r="U1484" s="19">
        <f t="shared" si="189"/>
        <v>935363.46</v>
      </c>
      <c r="V1484" s="21">
        <f t="shared" si="190"/>
        <v>85481.099999999977</v>
      </c>
      <c r="W1484" s="18">
        <f t="shared" si="191"/>
        <v>0.10057992026096409</v>
      </c>
    </row>
    <row r="1485" spans="1:23" x14ac:dyDescent="0.3">
      <c r="A1485" t="s">
        <v>278</v>
      </c>
      <c r="B1485" t="s">
        <v>548</v>
      </c>
      <c r="C1485" t="s">
        <v>16</v>
      </c>
      <c r="D1485" t="s">
        <v>26</v>
      </c>
      <c r="E1485">
        <v>2448</v>
      </c>
      <c r="F1485">
        <v>476.75</v>
      </c>
      <c r="G1485">
        <v>416.9</v>
      </c>
      <c r="H1485">
        <v>476.75</v>
      </c>
      <c r="I1485">
        <v>3879</v>
      </c>
      <c r="J1485">
        <v>8</v>
      </c>
      <c r="K1485" s="17">
        <f t="shared" si="185"/>
        <v>1034.4000000000001</v>
      </c>
      <c r="L1485" t="str">
        <f t="shared" si="186"/>
        <v>Sufficuent Stock</v>
      </c>
      <c r="P1485" s="19">
        <f t="shared" si="187"/>
        <v>0</v>
      </c>
      <c r="R1485" s="19">
        <f t="shared" si="184"/>
        <v>0</v>
      </c>
      <c r="T1485" s="19">
        <f t="shared" si="188"/>
        <v>1617155.0999999999</v>
      </c>
      <c r="U1485" s="19">
        <f t="shared" si="189"/>
        <v>1849313.25</v>
      </c>
      <c r="V1485" s="21">
        <f t="shared" si="190"/>
        <v>232158.15000000014</v>
      </c>
      <c r="W1485" s="18">
        <f t="shared" si="191"/>
        <v>0.14355960662029274</v>
      </c>
    </row>
    <row r="1486" spans="1:23" x14ac:dyDescent="0.3">
      <c r="A1486" t="s">
        <v>113</v>
      </c>
      <c r="B1486" t="s">
        <v>1250</v>
      </c>
      <c r="C1486" t="s">
        <v>16</v>
      </c>
      <c r="D1486" t="s">
        <v>20</v>
      </c>
      <c r="E1486">
        <v>2448</v>
      </c>
      <c r="F1486">
        <v>154.24</v>
      </c>
      <c r="G1486">
        <v>137.85</v>
      </c>
      <c r="H1486">
        <v>154.24</v>
      </c>
      <c r="I1486">
        <v>2778</v>
      </c>
      <c r="J1486">
        <v>63</v>
      </c>
      <c r="K1486" s="17">
        <f t="shared" si="185"/>
        <v>5833.7999999999993</v>
      </c>
      <c r="L1486" t="str">
        <f t="shared" si="186"/>
        <v>High Risk</v>
      </c>
      <c r="P1486" s="19">
        <f t="shared" si="187"/>
        <v>3386</v>
      </c>
      <c r="R1486" s="19">
        <f t="shared" si="184"/>
        <v>522256.64000000001</v>
      </c>
      <c r="T1486" s="19">
        <f t="shared" si="188"/>
        <v>382947.3</v>
      </c>
      <c r="U1486" s="19">
        <f t="shared" si="189"/>
        <v>428478.72000000003</v>
      </c>
      <c r="V1486" s="21">
        <f t="shared" si="190"/>
        <v>45531.420000000042</v>
      </c>
      <c r="W1486" s="18">
        <f t="shared" si="191"/>
        <v>0.11889735219441433</v>
      </c>
    </row>
    <row r="1487" spans="1:23" x14ac:dyDescent="0.3">
      <c r="A1487" t="s">
        <v>1497</v>
      </c>
      <c r="B1487" t="s">
        <v>3331</v>
      </c>
      <c r="C1487" t="s">
        <v>12</v>
      </c>
      <c r="D1487" t="s">
        <v>69</v>
      </c>
      <c r="E1487">
        <v>2448</v>
      </c>
      <c r="F1487">
        <v>275.08</v>
      </c>
      <c r="G1487">
        <v>256.8</v>
      </c>
      <c r="H1487">
        <v>275.08</v>
      </c>
      <c r="I1487">
        <v>1007</v>
      </c>
      <c r="J1487">
        <v>51</v>
      </c>
      <c r="K1487" s="17">
        <f t="shared" si="185"/>
        <v>1711.9</v>
      </c>
      <c r="L1487" t="str">
        <f t="shared" si="186"/>
        <v>Sufficuent Stock</v>
      </c>
      <c r="P1487" s="19">
        <f t="shared" si="187"/>
        <v>0</v>
      </c>
      <c r="R1487" s="19">
        <f t="shared" si="184"/>
        <v>0</v>
      </c>
      <c r="T1487" s="19">
        <f t="shared" si="188"/>
        <v>258597.6</v>
      </c>
      <c r="U1487" s="19">
        <f t="shared" si="189"/>
        <v>277005.56</v>
      </c>
      <c r="V1487" s="21">
        <f t="shared" si="190"/>
        <v>18407.959999999992</v>
      </c>
      <c r="W1487" s="18">
        <f t="shared" si="191"/>
        <v>7.118380062305292E-2</v>
      </c>
    </row>
    <row r="1488" spans="1:23" x14ac:dyDescent="0.3">
      <c r="A1488" t="s">
        <v>213</v>
      </c>
      <c r="B1488" t="s">
        <v>2521</v>
      </c>
      <c r="C1488" t="s">
        <v>12</v>
      </c>
      <c r="D1488" t="s">
        <v>17</v>
      </c>
      <c r="E1488">
        <v>2449</v>
      </c>
      <c r="F1488">
        <v>448.5</v>
      </c>
      <c r="G1488">
        <v>480.37</v>
      </c>
      <c r="H1488">
        <v>448.5</v>
      </c>
      <c r="I1488">
        <v>1857</v>
      </c>
      <c r="J1488">
        <v>76</v>
      </c>
      <c r="K1488" s="17">
        <f t="shared" si="185"/>
        <v>4704.3999999999996</v>
      </c>
      <c r="L1488" t="str">
        <f t="shared" si="186"/>
        <v>High Risk</v>
      </c>
      <c r="P1488" s="19">
        <f t="shared" si="187"/>
        <v>2256</v>
      </c>
      <c r="R1488" s="19">
        <f t="shared" si="184"/>
        <v>1011816</v>
      </c>
      <c r="T1488" s="19">
        <f t="shared" si="188"/>
        <v>892047.09</v>
      </c>
      <c r="U1488" s="19">
        <f t="shared" si="189"/>
        <v>832864.5</v>
      </c>
      <c r="V1488" s="21">
        <f t="shared" si="190"/>
        <v>-59182.589999999967</v>
      </c>
      <c r="W1488" s="18">
        <f t="shared" si="191"/>
        <v>-6.6344692632762214E-2</v>
      </c>
    </row>
    <row r="1489" spans="1:23" x14ac:dyDescent="0.3">
      <c r="A1489" t="s">
        <v>163</v>
      </c>
      <c r="B1489" t="s">
        <v>1826</v>
      </c>
      <c r="C1489" t="s">
        <v>50</v>
      </c>
      <c r="D1489" t="s">
        <v>20</v>
      </c>
      <c r="E1489">
        <v>2449</v>
      </c>
      <c r="F1489">
        <v>249.18</v>
      </c>
      <c r="G1489">
        <v>266.68</v>
      </c>
      <c r="H1489">
        <v>249.18</v>
      </c>
      <c r="I1489">
        <v>3880</v>
      </c>
      <c r="J1489">
        <v>36</v>
      </c>
      <c r="K1489" s="17">
        <f t="shared" si="185"/>
        <v>4656</v>
      </c>
      <c r="L1489" t="str">
        <f t="shared" si="186"/>
        <v>High Risk</v>
      </c>
      <c r="P1489" s="19">
        <f t="shared" si="187"/>
        <v>2207</v>
      </c>
      <c r="R1489" s="19">
        <f t="shared" si="184"/>
        <v>549940.26</v>
      </c>
      <c r="T1489" s="19">
        <f t="shared" si="188"/>
        <v>1034718.4</v>
      </c>
      <c r="U1489" s="19">
        <f t="shared" si="189"/>
        <v>966818.4</v>
      </c>
      <c r="V1489" s="21">
        <f t="shared" si="190"/>
        <v>-67900</v>
      </c>
      <c r="W1489" s="18">
        <f t="shared" si="191"/>
        <v>-6.56217189140543E-2</v>
      </c>
    </row>
    <row r="1490" spans="1:23" x14ac:dyDescent="0.3">
      <c r="A1490" t="s">
        <v>229</v>
      </c>
      <c r="B1490" t="s">
        <v>646</v>
      </c>
      <c r="C1490" t="s">
        <v>50</v>
      </c>
      <c r="D1490" t="s">
        <v>69</v>
      </c>
      <c r="E1490">
        <v>2450</v>
      </c>
      <c r="F1490">
        <v>298.37</v>
      </c>
      <c r="G1490">
        <v>277.43</v>
      </c>
      <c r="H1490">
        <v>298.37</v>
      </c>
      <c r="I1490">
        <v>1164</v>
      </c>
      <c r="J1490">
        <v>5</v>
      </c>
      <c r="K1490" s="17">
        <f t="shared" si="185"/>
        <v>194</v>
      </c>
      <c r="L1490" t="str">
        <f t="shared" si="186"/>
        <v>Sufficuent Stock</v>
      </c>
      <c r="P1490" s="19">
        <f t="shared" si="187"/>
        <v>0</v>
      </c>
      <c r="R1490" s="19">
        <f t="shared" si="184"/>
        <v>0</v>
      </c>
      <c r="T1490" s="19">
        <f t="shared" si="188"/>
        <v>322928.52</v>
      </c>
      <c r="U1490" s="19">
        <f t="shared" si="189"/>
        <v>347302.68</v>
      </c>
      <c r="V1490" s="21">
        <f t="shared" si="190"/>
        <v>24374.159999999974</v>
      </c>
      <c r="W1490" s="18">
        <f t="shared" si="191"/>
        <v>7.5478499080849137E-2</v>
      </c>
    </row>
    <row r="1491" spans="1:23" x14ac:dyDescent="0.3">
      <c r="A1491" t="s">
        <v>788</v>
      </c>
      <c r="B1491" t="s">
        <v>3233</v>
      </c>
      <c r="C1491" t="s">
        <v>16</v>
      </c>
      <c r="D1491" t="s">
        <v>13</v>
      </c>
      <c r="E1491">
        <v>2452</v>
      </c>
      <c r="F1491">
        <v>371.54</v>
      </c>
      <c r="G1491">
        <v>321.72000000000003</v>
      </c>
      <c r="H1491">
        <v>371.54</v>
      </c>
      <c r="I1491">
        <v>718</v>
      </c>
      <c r="J1491">
        <v>22</v>
      </c>
      <c r="K1491" s="17">
        <f t="shared" si="185"/>
        <v>526.5333333333333</v>
      </c>
      <c r="L1491" t="str">
        <f t="shared" si="186"/>
        <v>Sufficuent Stock</v>
      </c>
      <c r="P1491" s="19">
        <f t="shared" si="187"/>
        <v>0</v>
      </c>
      <c r="R1491" s="19">
        <f t="shared" si="184"/>
        <v>0</v>
      </c>
      <c r="T1491" s="19">
        <f t="shared" si="188"/>
        <v>230994.96000000002</v>
      </c>
      <c r="U1491" s="19">
        <f t="shared" si="189"/>
        <v>266765.72000000003</v>
      </c>
      <c r="V1491" s="21">
        <f t="shared" si="190"/>
        <v>35770.760000000009</v>
      </c>
      <c r="W1491" s="18">
        <f t="shared" si="191"/>
        <v>0.15485515354967055</v>
      </c>
    </row>
    <row r="1492" spans="1:23" x14ac:dyDescent="0.3">
      <c r="A1492" t="s">
        <v>352</v>
      </c>
      <c r="B1492" t="s">
        <v>2579</v>
      </c>
      <c r="C1492" t="s">
        <v>50</v>
      </c>
      <c r="D1492" t="s">
        <v>20</v>
      </c>
      <c r="E1492">
        <v>2452</v>
      </c>
      <c r="F1492">
        <v>343.4</v>
      </c>
      <c r="G1492">
        <v>332.94</v>
      </c>
      <c r="H1492">
        <v>343.4</v>
      </c>
      <c r="I1492">
        <v>1718</v>
      </c>
      <c r="J1492">
        <v>59</v>
      </c>
      <c r="K1492" s="17">
        <f t="shared" si="185"/>
        <v>3378.7333333333331</v>
      </c>
      <c r="L1492" t="str">
        <f t="shared" si="186"/>
        <v>High Risk</v>
      </c>
      <c r="P1492" s="19">
        <f t="shared" si="187"/>
        <v>927</v>
      </c>
      <c r="R1492" s="19">
        <f t="shared" si="184"/>
        <v>318331.8</v>
      </c>
      <c r="T1492" s="19">
        <f t="shared" si="188"/>
        <v>571990.92000000004</v>
      </c>
      <c r="U1492" s="19">
        <f t="shared" si="189"/>
        <v>589961.19999999995</v>
      </c>
      <c r="V1492" s="21">
        <f t="shared" si="190"/>
        <v>17970.279999999912</v>
      </c>
      <c r="W1492" s="18">
        <f t="shared" si="191"/>
        <v>3.1417072145131099E-2</v>
      </c>
    </row>
    <row r="1493" spans="1:23" x14ac:dyDescent="0.3">
      <c r="A1493" t="s">
        <v>487</v>
      </c>
      <c r="B1493" t="s">
        <v>1587</v>
      </c>
      <c r="C1493" t="s">
        <v>16</v>
      </c>
      <c r="D1493" t="s">
        <v>13</v>
      </c>
      <c r="E1493">
        <v>2452</v>
      </c>
      <c r="F1493">
        <v>539.73</v>
      </c>
      <c r="G1493">
        <v>482.32</v>
      </c>
      <c r="H1493">
        <v>539.73</v>
      </c>
      <c r="I1493">
        <v>729</v>
      </c>
      <c r="J1493">
        <v>89</v>
      </c>
      <c r="K1493" s="17">
        <f t="shared" si="185"/>
        <v>2162.7000000000003</v>
      </c>
      <c r="L1493" t="str">
        <f t="shared" si="186"/>
        <v>Sufficuent Stock</v>
      </c>
      <c r="P1493" s="19">
        <f t="shared" si="187"/>
        <v>0</v>
      </c>
      <c r="R1493" s="19">
        <f t="shared" si="184"/>
        <v>0</v>
      </c>
      <c r="T1493" s="19">
        <f t="shared" si="188"/>
        <v>351611.27999999997</v>
      </c>
      <c r="U1493" s="19">
        <f t="shared" si="189"/>
        <v>393463.17000000004</v>
      </c>
      <c r="V1493" s="21">
        <f t="shared" si="190"/>
        <v>41851.890000000072</v>
      </c>
      <c r="W1493" s="18">
        <f t="shared" si="191"/>
        <v>0.11902886050754707</v>
      </c>
    </row>
    <row r="1494" spans="1:23" x14ac:dyDescent="0.3">
      <c r="A1494" t="s">
        <v>498</v>
      </c>
      <c r="B1494" t="s">
        <v>664</v>
      </c>
      <c r="C1494" t="s">
        <v>50</v>
      </c>
      <c r="D1494" t="s">
        <v>69</v>
      </c>
      <c r="E1494">
        <v>2452</v>
      </c>
      <c r="F1494">
        <v>355.88</v>
      </c>
      <c r="G1494">
        <v>367.81</v>
      </c>
      <c r="H1494">
        <v>355.88</v>
      </c>
      <c r="I1494">
        <v>3535</v>
      </c>
      <c r="J1494">
        <v>74</v>
      </c>
      <c r="K1494" s="17">
        <f t="shared" si="185"/>
        <v>8719.6666666666661</v>
      </c>
      <c r="L1494" t="str">
        <f t="shared" si="186"/>
        <v>High Risk</v>
      </c>
      <c r="P1494" s="19">
        <f t="shared" si="187"/>
        <v>6268</v>
      </c>
      <c r="R1494" s="19">
        <f t="shared" si="184"/>
        <v>2230655.84</v>
      </c>
      <c r="T1494" s="19">
        <f t="shared" si="188"/>
        <v>1300208.3500000001</v>
      </c>
      <c r="U1494" s="19">
        <f t="shared" si="189"/>
        <v>1258035.8</v>
      </c>
      <c r="V1494" s="21">
        <f t="shared" si="190"/>
        <v>-42172.550000000047</v>
      </c>
      <c r="W1494" s="18">
        <f t="shared" si="191"/>
        <v>-3.2435224708409267E-2</v>
      </c>
    </row>
    <row r="1495" spans="1:23" x14ac:dyDescent="0.3">
      <c r="A1495" t="s">
        <v>796</v>
      </c>
      <c r="B1495" t="s">
        <v>2448</v>
      </c>
      <c r="C1495" t="s">
        <v>23</v>
      </c>
      <c r="D1495" t="s">
        <v>20</v>
      </c>
      <c r="E1495">
        <v>2453</v>
      </c>
      <c r="F1495">
        <v>130.99</v>
      </c>
      <c r="G1495">
        <v>112.09</v>
      </c>
      <c r="H1495">
        <v>130.99</v>
      </c>
      <c r="I1495">
        <v>1670</v>
      </c>
      <c r="J1495">
        <v>64</v>
      </c>
      <c r="K1495" s="17">
        <f t="shared" si="185"/>
        <v>3562.6666666666665</v>
      </c>
      <c r="L1495" t="str">
        <f t="shared" si="186"/>
        <v>High Risk</v>
      </c>
      <c r="P1495" s="19">
        <f t="shared" si="187"/>
        <v>1110</v>
      </c>
      <c r="R1495" s="19">
        <f t="shared" si="184"/>
        <v>145398.90000000002</v>
      </c>
      <c r="T1495" s="19">
        <f t="shared" si="188"/>
        <v>187190.30000000002</v>
      </c>
      <c r="U1495" s="19">
        <f t="shared" si="189"/>
        <v>218753.30000000002</v>
      </c>
      <c r="V1495" s="21">
        <f t="shared" si="190"/>
        <v>31563</v>
      </c>
      <c r="W1495" s="18">
        <f t="shared" si="191"/>
        <v>0.16861450620037469</v>
      </c>
    </row>
    <row r="1496" spans="1:23" x14ac:dyDescent="0.3">
      <c r="A1496" t="s">
        <v>63</v>
      </c>
      <c r="B1496" t="s">
        <v>2263</v>
      </c>
      <c r="C1496" t="s">
        <v>37</v>
      </c>
      <c r="D1496" t="s">
        <v>17</v>
      </c>
      <c r="E1496">
        <v>2454</v>
      </c>
      <c r="F1496">
        <v>348.38</v>
      </c>
      <c r="G1496">
        <v>321.64</v>
      </c>
      <c r="H1496">
        <v>348.38</v>
      </c>
      <c r="I1496">
        <v>3479</v>
      </c>
      <c r="J1496">
        <v>29</v>
      </c>
      <c r="K1496" s="17">
        <f t="shared" si="185"/>
        <v>3363.0333333333333</v>
      </c>
      <c r="L1496" t="str">
        <f t="shared" si="186"/>
        <v>High Risk</v>
      </c>
      <c r="P1496" s="19">
        <f t="shared" si="187"/>
        <v>910</v>
      </c>
      <c r="R1496" s="19">
        <f t="shared" si="184"/>
        <v>317025.8</v>
      </c>
      <c r="T1496" s="19">
        <f t="shared" si="188"/>
        <v>1118985.56</v>
      </c>
      <c r="U1496" s="19">
        <f t="shared" si="189"/>
        <v>1212014.02</v>
      </c>
      <c r="V1496" s="21">
        <f t="shared" si="190"/>
        <v>93028.459999999963</v>
      </c>
      <c r="W1496" s="18">
        <f t="shared" si="191"/>
        <v>8.3136425817684337E-2</v>
      </c>
    </row>
    <row r="1497" spans="1:23" x14ac:dyDescent="0.3">
      <c r="A1497" t="s">
        <v>686</v>
      </c>
      <c r="B1497" t="s">
        <v>2020</v>
      </c>
      <c r="C1497" t="s">
        <v>37</v>
      </c>
      <c r="D1497" t="s">
        <v>20</v>
      </c>
      <c r="E1497">
        <v>2455</v>
      </c>
      <c r="F1497">
        <v>428.63</v>
      </c>
      <c r="G1497">
        <v>367.63</v>
      </c>
      <c r="H1497">
        <v>428.63</v>
      </c>
      <c r="I1497">
        <v>2288</v>
      </c>
      <c r="J1497">
        <v>83</v>
      </c>
      <c r="K1497" s="17">
        <f t="shared" si="185"/>
        <v>6330.1333333333332</v>
      </c>
      <c r="L1497" t="str">
        <f t="shared" si="186"/>
        <v>High Risk</v>
      </c>
      <c r="P1497" s="19">
        <f t="shared" si="187"/>
        <v>3876</v>
      </c>
      <c r="R1497" s="19">
        <f t="shared" si="184"/>
        <v>1661369.88</v>
      </c>
      <c r="T1497" s="19">
        <f t="shared" si="188"/>
        <v>841137.44</v>
      </c>
      <c r="U1497" s="19">
        <f t="shared" si="189"/>
        <v>980705.44</v>
      </c>
      <c r="V1497" s="21">
        <f t="shared" si="190"/>
        <v>139568</v>
      </c>
      <c r="W1497" s="18">
        <f t="shared" si="191"/>
        <v>0.16592769904523572</v>
      </c>
    </row>
    <row r="1498" spans="1:23" x14ac:dyDescent="0.3">
      <c r="A1498" t="s">
        <v>521</v>
      </c>
      <c r="B1498" t="s">
        <v>1480</v>
      </c>
      <c r="C1498" t="s">
        <v>23</v>
      </c>
      <c r="D1498" t="s">
        <v>69</v>
      </c>
      <c r="E1498">
        <v>2459</v>
      </c>
      <c r="F1498">
        <v>329.89</v>
      </c>
      <c r="G1498">
        <v>332.28</v>
      </c>
      <c r="H1498">
        <v>329.89</v>
      </c>
      <c r="I1498">
        <v>180</v>
      </c>
      <c r="J1498">
        <v>50</v>
      </c>
      <c r="K1498" s="17">
        <f t="shared" si="185"/>
        <v>300</v>
      </c>
      <c r="L1498" t="str">
        <f t="shared" si="186"/>
        <v>Sufficuent Stock</v>
      </c>
      <c r="P1498" s="19">
        <f t="shared" si="187"/>
        <v>0</v>
      </c>
      <c r="R1498" s="19">
        <f t="shared" si="184"/>
        <v>0</v>
      </c>
      <c r="T1498" s="19">
        <f t="shared" si="188"/>
        <v>59810.399999999994</v>
      </c>
      <c r="U1498" s="19">
        <f t="shared" si="189"/>
        <v>59380.2</v>
      </c>
      <c r="V1498" s="21">
        <f t="shared" si="190"/>
        <v>-430.19999999999709</v>
      </c>
      <c r="W1498" s="18">
        <f t="shared" si="191"/>
        <v>-7.1927290237148913E-3</v>
      </c>
    </row>
    <row r="1499" spans="1:23" x14ac:dyDescent="0.3">
      <c r="A1499" t="s">
        <v>238</v>
      </c>
      <c r="B1499" t="s">
        <v>239</v>
      </c>
      <c r="C1499" t="s">
        <v>12</v>
      </c>
      <c r="D1499" t="s">
        <v>69</v>
      </c>
      <c r="E1499">
        <v>2460</v>
      </c>
      <c r="F1499">
        <v>202.26</v>
      </c>
      <c r="G1499">
        <v>182.5</v>
      </c>
      <c r="H1499">
        <v>202.26</v>
      </c>
      <c r="I1499">
        <v>682</v>
      </c>
      <c r="J1499">
        <v>75</v>
      </c>
      <c r="K1499" s="17">
        <f t="shared" si="185"/>
        <v>1705</v>
      </c>
      <c r="L1499" t="str">
        <f t="shared" si="186"/>
        <v>Sufficuent Stock</v>
      </c>
      <c r="P1499" s="19">
        <f t="shared" si="187"/>
        <v>0</v>
      </c>
      <c r="R1499" s="19">
        <f t="shared" si="184"/>
        <v>0</v>
      </c>
      <c r="T1499" s="19">
        <f t="shared" si="188"/>
        <v>124465</v>
      </c>
      <c r="U1499" s="19">
        <f t="shared" si="189"/>
        <v>137941.32</v>
      </c>
      <c r="V1499" s="21">
        <f t="shared" si="190"/>
        <v>13476.320000000007</v>
      </c>
      <c r="W1499" s="18">
        <f t="shared" si="191"/>
        <v>0.10827397260273978</v>
      </c>
    </row>
    <row r="1500" spans="1:23" x14ac:dyDescent="0.3">
      <c r="A1500" t="s">
        <v>411</v>
      </c>
      <c r="B1500" t="s">
        <v>412</v>
      </c>
      <c r="C1500" t="s">
        <v>37</v>
      </c>
      <c r="D1500" t="s">
        <v>17</v>
      </c>
      <c r="E1500">
        <v>2462</v>
      </c>
      <c r="F1500">
        <v>406.05</v>
      </c>
      <c r="G1500">
        <v>388.56</v>
      </c>
      <c r="H1500">
        <v>406.05</v>
      </c>
      <c r="I1500">
        <v>3099</v>
      </c>
      <c r="J1500">
        <v>13</v>
      </c>
      <c r="K1500" s="17">
        <f t="shared" si="185"/>
        <v>1342.8999999999999</v>
      </c>
      <c r="L1500" t="str">
        <f t="shared" si="186"/>
        <v>Sufficuent Stock</v>
      </c>
      <c r="P1500" s="19">
        <f t="shared" si="187"/>
        <v>0</v>
      </c>
      <c r="R1500" s="19">
        <f t="shared" si="184"/>
        <v>0</v>
      </c>
      <c r="T1500" s="19">
        <f t="shared" si="188"/>
        <v>1204147.44</v>
      </c>
      <c r="U1500" s="19">
        <f t="shared" si="189"/>
        <v>1258348.95</v>
      </c>
      <c r="V1500" s="21">
        <f t="shared" si="190"/>
        <v>54201.510000000009</v>
      </c>
      <c r="W1500" s="18">
        <f t="shared" si="191"/>
        <v>4.5012353304508965E-2</v>
      </c>
    </row>
    <row r="1501" spans="1:23" x14ac:dyDescent="0.3">
      <c r="A1501" t="s">
        <v>927</v>
      </c>
      <c r="B1501" t="s">
        <v>1315</v>
      </c>
      <c r="C1501" t="s">
        <v>23</v>
      </c>
      <c r="D1501" t="s">
        <v>26</v>
      </c>
      <c r="E1501">
        <v>2462</v>
      </c>
      <c r="F1501">
        <v>215.67</v>
      </c>
      <c r="G1501">
        <v>221.04</v>
      </c>
      <c r="H1501">
        <v>215.67</v>
      </c>
      <c r="I1501">
        <v>1719</v>
      </c>
      <c r="J1501">
        <v>16</v>
      </c>
      <c r="K1501" s="17">
        <f t="shared" si="185"/>
        <v>916.8</v>
      </c>
      <c r="L1501" t="str">
        <f t="shared" si="186"/>
        <v>Sufficuent Stock</v>
      </c>
      <c r="P1501" s="19">
        <f t="shared" si="187"/>
        <v>0</v>
      </c>
      <c r="R1501" s="19">
        <f t="shared" si="184"/>
        <v>0</v>
      </c>
      <c r="T1501" s="19">
        <f t="shared" si="188"/>
        <v>379967.76</v>
      </c>
      <c r="U1501" s="19">
        <f t="shared" si="189"/>
        <v>370736.73</v>
      </c>
      <c r="V1501" s="21">
        <f t="shared" si="190"/>
        <v>-9231.0300000000279</v>
      </c>
      <c r="W1501" s="18">
        <f t="shared" si="191"/>
        <v>-2.429424538545067E-2</v>
      </c>
    </row>
    <row r="1502" spans="1:23" x14ac:dyDescent="0.3">
      <c r="A1502" t="s">
        <v>511</v>
      </c>
      <c r="B1502" t="s">
        <v>2723</v>
      </c>
      <c r="C1502" t="s">
        <v>12</v>
      </c>
      <c r="D1502" t="s">
        <v>13</v>
      </c>
      <c r="E1502">
        <v>2463</v>
      </c>
      <c r="F1502">
        <v>296.27999999999997</v>
      </c>
      <c r="G1502">
        <v>250.6</v>
      </c>
      <c r="H1502">
        <v>296.27999999999997</v>
      </c>
      <c r="I1502">
        <v>322</v>
      </c>
      <c r="J1502">
        <v>67</v>
      </c>
      <c r="K1502" s="17">
        <f t="shared" si="185"/>
        <v>719.13333333333333</v>
      </c>
      <c r="L1502" t="str">
        <f t="shared" si="186"/>
        <v>Sufficuent Stock</v>
      </c>
      <c r="P1502" s="19">
        <f t="shared" si="187"/>
        <v>0</v>
      </c>
      <c r="R1502" s="19">
        <f t="shared" si="184"/>
        <v>0</v>
      </c>
      <c r="T1502" s="19">
        <f t="shared" si="188"/>
        <v>80693.2</v>
      </c>
      <c r="U1502" s="19">
        <f t="shared" si="189"/>
        <v>95402.159999999989</v>
      </c>
      <c r="V1502" s="21">
        <f t="shared" si="190"/>
        <v>14708.959999999992</v>
      </c>
      <c r="W1502" s="18">
        <f t="shared" si="191"/>
        <v>0.18228252194732633</v>
      </c>
    </row>
    <row r="1503" spans="1:23" x14ac:dyDescent="0.3">
      <c r="A1503" t="s">
        <v>552</v>
      </c>
      <c r="B1503" t="s">
        <v>2857</v>
      </c>
      <c r="C1503" t="s">
        <v>16</v>
      </c>
      <c r="D1503" t="s">
        <v>69</v>
      </c>
      <c r="E1503">
        <v>2464</v>
      </c>
      <c r="F1503">
        <v>257.17</v>
      </c>
      <c r="G1503">
        <v>251.33</v>
      </c>
      <c r="H1503">
        <v>257.17</v>
      </c>
      <c r="I1503">
        <v>618</v>
      </c>
      <c r="J1503">
        <v>8</v>
      </c>
      <c r="K1503" s="17">
        <f t="shared" si="185"/>
        <v>164.8</v>
      </c>
      <c r="L1503" t="str">
        <f t="shared" si="186"/>
        <v>Sufficuent Stock</v>
      </c>
      <c r="P1503" s="19">
        <f t="shared" si="187"/>
        <v>0</v>
      </c>
      <c r="R1503" s="19">
        <f t="shared" si="184"/>
        <v>0</v>
      </c>
      <c r="T1503" s="19">
        <f t="shared" si="188"/>
        <v>155321.94</v>
      </c>
      <c r="U1503" s="19">
        <f t="shared" si="189"/>
        <v>158931.06</v>
      </c>
      <c r="V1503" s="21">
        <f t="shared" si="190"/>
        <v>3609.1199999999953</v>
      </c>
      <c r="W1503" s="18">
        <f t="shared" si="191"/>
        <v>2.3236382445390492E-2</v>
      </c>
    </row>
    <row r="1504" spans="1:23" x14ac:dyDescent="0.3">
      <c r="A1504" t="s">
        <v>119</v>
      </c>
      <c r="B1504" t="s">
        <v>2682</v>
      </c>
      <c r="C1504" t="s">
        <v>37</v>
      </c>
      <c r="D1504" t="s">
        <v>17</v>
      </c>
      <c r="E1504">
        <v>2465</v>
      </c>
      <c r="F1504">
        <v>30.43</v>
      </c>
      <c r="G1504">
        <v>28.02</v>
      </c>
      <c r="H1504">
        <v>30.43</v>
      </c>
      <c r="I1504">
        <v>2793</v>
      </c>
      <c r="J1504">
        <v>14</v>
      </c>
      <c r="K1504" s="17">
        <f t="shared" si="185"/>
        <v>1303.3999999999999</v>
      </c>
      <c r="L1504" t="str">
        <f t="shared" si="186"/>
        <v>Sufficuent Stock</v>
      </c>
      <c r="P1504" s="19">
        <f t="shared" si="187"/>
        <v>0</v>
      </c>
      <c r="R1504" s="19">
        <f t="shared" si="184"/>
        <v>0</v>
      </c>
      <c r="T1504" s="19">
        <f t="shared" si="188"/>
        <v>78259.86</v>
      </c>
      <c r="U1504" s="19">
        <f t="shared" si="189"/>
        <v>84990.99</v>
      </c>
      <c r="V1504" s="21">
        <f t="shared" si="190"/>
        <v>6731.1300000000047</v>
      </c>
      <c r="W1504" s="18">
        <f t="shared" si="191"/>
        <v>8.6009992862241313E-2</v>
      </c>
    </row>
    <row r="1505" spans="1:23" x14ac:dyDescent="0.3">
      <c r="A1505" t="s">
        <v>896</v>
      </c>
      <c r="B1505" t="s">
        <v>1458</v>
      </c>
      <c r="C1505" t="s">
        <v>12</v>
      </c>
      <c r="D1505" t="s">
        <v>13</v>
      </c>
      <c r="E1505">
        <v>2465</v>
      </c>
      <c r="F1505">
        <v>510.91</v>
      </c>
      <c r="G1505">
        <v>466.93</v>
      </c>
      <c r="H1505">
        <v>510.91</v>
      </c>
      <c r="I1505">
        <v>1784</v>
      </c>
      <c r="J1505">
        <v>60</v>
      </c>
      <c r="K1505" s="17">
        <f t="shared" si="185"/>
        <v>3568</v>
      </c>
      <c r="L1505" t="str">
        <f t="shared" si="186"/>
        <v>High Risk</v>
      </c>
      <c r="P1505" s="19">
        <f t="shared" si="187"/>
        <v>1103</v>
      </c>
      <c r="R1505" s="19">
        <f t="shared" si="184"/>
        <v>563533.73</v>
      </c>
      <c r="T1505" s="19">
        <f t="shared" si="188"/>
        <v>833003.12</v>
      </c>
      <c r="U1505" s="19">
        <f t="shared" si="189"/>
        <v>911463.44000000006</v>
      </c>
      <c r="V1505" s="21">
        <f t="shared" si="190"/>
        <v>78460.320000000065</v>
      </c>
      <c r="W1505" s="18">
        <f t="shared" si="191"/>
        <v>9.4189707236630837E-2</v>
      </c>
    </row>
    <row r="1506" spans="1:23" x14ac:dyDescent="0.3">
      <c r="A1506" t="s">
        <v>721</v>
      </c>
      <c r="B1506" t="s">
        <v>875</v>
      </c>
      <c r="C1506" t="s">
        <v>23</v>
      </c>
      <c r="D1506" t="s">
        <v>20</v>
      </c>
      <c r="E1506">
        <v>2466</v>
      </c>
      <c r="F1506">
        <v>156.25</v>
      </c>
      <c r="G1506">
        <v>148.41999999999999</v>
      </c>
      <c r="H1506">
        <v>156.25</v>
      </c>
      <c r="I1506">
        <v>3738</v>
      </c>
      <c r="J1506">
        <v>87</v>
      </c>
      <c r="K1506" s="17">
        <f t="shared" si="185"/>
        <v>10840.199999999999</v>
      </c>
      <c r="L1506" t="str">
        <f t="shared" si="186"/>
        <v>High Risk</v>
      </c>
      <c r="P1506" s="19">
        <f t="shared" si="187"/>
        <v>8375</v>
      </c>
      <c r="R1506" s="19">
        <f t="shared" si="184"/>
        <v>1308593.75</v>
      </c>
      <c r="T1506" s="19">
        <f t="shared" si="188"/>
        <v>554793.96</v>
      </c>
      <c r="U1506" s="19">
        <f t="shared" si="189"/>
        <v>584062.5</v>
      </c>
      <c r="V1506" s="21">
        <f t="shared" si="190"/>
        <v>29268.540000000037</v>
      </c>
      <c r="W1506" s="18">
        <f t="shared" si="191"/>
        <v>5.2755693302789453E-2</v>
      </c>
    </row>
    <row r="1507" spans="1:23" x14ac:dyDescent="0.3">
      <c r="A1507" t="s">
        <v>666</v>
      </c>
      <c r="B1507" t="s">
        <v>667</v>
      </c>
      <c r="C1507" t="s">
        <v>16</v>
      </c>
      <c r="D1507" t="s">
        <v>17</v>
      </c>
      <c r="E1507">
        <v>2466</v>
      </c>
      <c r="F1507">
        <v>67.69</v>
      </c>
      <c r="G1507">
        <v>56.79</v>
      </c>
      <c r="H1507">
        <v>67.69</v>
      </c>
      <c r="I1507">
        <v>1118</v>
      </c>
      <c r="J1507">
        <v>29</v>
      </c>
      <c r="K1507" s="17">
        <f t="shared" si="185"/>
        <v>1080.7333333333333</v>
      </c>
      <c r="L1507" t="str">
        <f t="shared" si="186"/>
        <v>Sufficuent Stock</v>
      </c>
      <c r="P1507" s="19">
        <f t="shared" si="187"/>
        <v>0</v>
      </c>
      <c r="R1507" s="19">
        <f t="shared" si="184"/>
        <v>0</v>
      </c>
      <c r="T1507" s="19">
        <f t="shared" si="188"/>
        <v>63491.22</v>
      </c>
      <c r="U1507" s="19">
        <f t="shared" si="189"/>
        <v>75677.42</v>
      </c>
      <c r="V1507" s="21">
        <f t="shared" si="190"/>
        <v>12186.199999999997</v>
      </c>
      <c r="W1507" s="18">
        <f t="shared" si="191"/>
        <v>0.19193519985913007</v>
      </c>
    </row>
    <row r="1508" spans="1:23" x14ac:dyDescent="0.3">
      <c r="A1508" t="s">
        <v>759</v>
      </c>
      <c r="B1508" t="s">
        <v>1607</v>
      </c>
      <c r="C1508" t="s">
        <v>12</v>
      </c>
      <c r="D1508" t="s">
        <v>20</v>
      </c>
      <c r="E1508">
        <v>2467</v>
      </c>
      <c r="F1508">
        <v>95.07</v>
      </c>
      <c r="G1508">
        <v>102.72</v>
      </c>
      <c r="H1508">
        <v>95.07</v>
      </c>
      <c r="I1508">
        <v>3380</v>
      </c>
      <c r="J1508">
        <v>8</v>
      </c>
      <c r="K1508" s="17">
        <f t="shared" si="185"/>
        <v>901.33333333333337</v>
      </c>
      <c r="L1508" t="str">
        <f t="shared" si="186"/>
        <v>Sufficuent Stock</v>
      </c>
      <c r="P1508" s="19">
        <f t="shared" si="187"/>
        <v>0</v>
      </c>
      <c r="R1508" s="19">
        <f t="shared" si="184"/>
        <v>0</v>
      </c>
      <c r="T1508" s="19">
        <f t="shared" si="188"/>
        <v>347193.59999999998</v>
      </c>
      <c r="U1508" s="19">
        <f t="shared" si="189"/>
        <v>321336.59999999998</v>
      </c>
      <c r="V1508" s="21">
        <f t="shared" si="190"/>
        <v>-25857</v>
      </c>
      <c r="W1508" s="18">
        <f t="shared" si="191"/>
        <v>-7.4474299065420566E-2</v>
      </c>
    </row>
    <row r="1509" spans="1:23" x14ac:dyDescent="0.3">
      <c r="A1509" t="s">
        <v>109</v>
      </c>
      <c r="B1509" t="s">
        <v>1582</v>
      </c>
      <c r="C1509" t="s">
        <v>23</v>
      </c>
      <c r="D1509" t="s">
        <v>20</v>
      </c>
      <c r="E1509">
        <v>2467</v>
      </c>
      <c r="F1509">
        <v>530.27</v>
      </c>
      <c r="G1509">
        <v>495.92</v>
      </c>
      <c r="H1509">
        <v>530.27</v>
      </c>
      <c r="I1509">
        <v>3306</v>
      </c>
      <c r="J1509">
        <v>12</v>
      </c>
      <c r="K1509" s="17">
        <f t="shared" si="185"/>
        <v>1322.4</v>
      </c>
      <c r="L1509" t="str">
        <f t="shared" si="186"/>
        <v>Sufficuent Stock</v>
      </c>
      <c r="P1509" s="19">
        <f t="shared" si="187"/>
        <v>0</v>
      </c>
      <c r="R1509" s="19">
        <f t="shared" si="184"/>
        <v>0</v>
      </c>
      <c r="T1509" s="19">
        <f t="shared" si="188"/>
        <v>1639511.52</v>
      </c>
      <c r="U1509" s="19">
        <f t="shared" si="189"/>
        <v>1753072.6199999999</v>
      </c>
      <c r="V1509" s="21">
        <f t="shared" si="190"/>
        <v>113561.09999999986</v>
      </c>
      <c r="W1509" s="18">
        <f t="shared" si="191"/>
        <v>6.9265204065171712E-2</v>
      </c>
    </row>
    <row r="1510" spans="1:23" x14ac:dyDescent="0.3">
      <c r="A1510" t="s">
        <v>869</v>
      </c>
      <c r="B1510" t="s">
        <v>982</v>
      </c>
      <c r="C1510" t="s">
        <v>12</v>
      </c>
      <c r="D1510" t="s">
        <v>17</v>
      </c>
      <c r="E1510">
        <v>2472</v>
      </c>
      <c r="F1510">
        <v>187.24</v>
      </c>
      <c r="G1510">
        <v>167.08</v>
      </c>
      <c r="H1510">
        <v>187.24</v>
      </c>
      <c r="I1510">
        <v>3327</v>
      </c>
      <c r="J1510">
        <v>85</v>
      </c>
      <c r="K1510" s="17">
        <f t="shared" si="185"/>
        <v>9426.5</v>
      </c>
      <c r="L1510" t="str">
        <f t="shared" si="186"/>
        <v>High Risk</v>
      </c>
      <c r="P1510" s="19">
        <f t="shared" si="187"/>
        <v>6955</v>
      </c>
      <c r="R1510" s="19">
        <f t="shared" si="184"/>
        <v>1302254.2</v>
      </c>
      <c r="T1510" s="19">
        <f t="shared" si="188"/>
        <v>555875.16</v>
      </c>
      <c r="U1510" s="19">
        <f t="shared" si="189"/>
        <v>622947.48</v>
      </c>
      <c r="V1510" s="21">
        <f t="shared" si="190"/>
        <v>67072.319999999949</v>
      </c>
      <c r="W1510" s="18">
        <f t="shared" si="191"/>
        <v>0.12066076131194628</v>
      </c>
    </row>
    <row r="1511" spans="1:23" x14ac:dyDescent="0.3">
      <c r="A1511" t="s">
        <v>266</v>
      </c>
      <c r="B1511" t="s">
        <v>1810</v>
      </c>
      <c r="C1511" t="s">
        <v>23</v>
      </c>
      <c r="D1511" t="s">
        <v>17</v>
      </c>
      <c r="E1511">
        <v>2478</v>
      </c>
      <c r="F1511">
        <v>330.83</v>
      </c>
      <c r="G1511">
        <v>336.87</v>
      </c>
      <c r="H1511">
        <v>330.83</v>
      </c>
      <c r="I1511">
        <v>3370</v>
      </c>
      <c r="J1511">
        <v>40</v>
      </c>
      <c r="K1511" s="17">
        <f t="shared" si="185"/>
        <v>4493.333333333333</v>
      </c>
      <c r="L1511" t="str">
        <f t="shared" si="186"/>
        <v>High Risk</v>
      </c>
      <c r="P1511" s="19">
        <f t="shared" si="187"/>
        <v>2016</v>
      </c>
      <c r="R1511" s="19">
        <f t="shared" si="184"/>
        <v>666953.27999999991</v>
      </c>
      <c r="T1511" s="19">
        <f t="shared" si="188"/>
        <v>1135251.8999999999</v>
      </c>
      <c r="U1511" s="19">
        <f t="shared" si="189"/>
        <v>1114897.0999999999</v>
      </c>
      <c r="V1511" s="21">
        <f t="shared" si="190"/>
        <v>-20354.800000000047</v>
      </c>
      <c r="W1511" s="18">
        <f t="shared" si="191"/>
        <v>-1.7929765191320137E-2</v>
      </c>
    </row>
    <row r="1512" spans="1:23" x14ac:dyDescent="0.3">
      <c r="A1512" t="s">
        <v>474</v>
      </c>
      <c r="B1512" t="s">
        <v>3303</v>
      </c>
      <c r="C1512" t="s">
        <v>12</v>
      </c>
      <c r="D1512" t="s">
        <v>20</v>
      </c>
      <c r="E1512">
        <v>2479</v>
      </c>
      <c r="F1512">
        <v>162.63999999999999</v>
      </c>
      <c r="G1512">
        <v>166.09</v>
      </c>
      <c r="H1512">
        <v>162.63999999999999</v>
      </c>
      <c r="I1512">
        <v>2226</v>
      </c>
      <c r="J1512">
        <v>22</v>
      </c>
      <c r="K1512" s="17">
        <f t="shared" si="185"/>
        <v>1632.4</v>
      </c>
      <c r="L1512" t="str">
        <f t="shared" si="186"/>
        <v>Sufficuent Stock</v>
      </c>
      <c r="P1512" s="19">
        <f t="shared" si="187"/>
        <v>0</v>
      </c>
      <c r="R1512" s="19">
        <f t="shared" si="184"/>
        <v>0</v>
      </c>
      <c r="T1512" s="19">
        <f t="shared" si="188"/>
        <v>369716.34</v>
      </c>
      <c r="U1512" s="19">
        <f t="shared" si="189"/>
        <v>362036.63999999996</v>
      </c>
      <c r="V1512" s="21">
        <f t="shared" si="190"/>
        <v>-7679.7000000000698</v>
      </c>
      <c r="W1512" s="18">
        <f t="shared" si="191"/>
        <v>-2.0771870672527129E-2</v>
      </c>
    </row>
    <row r="1513" spans="1:23" x14ac:dyDescent="0.3">
      <c r="A1513" t="s">
        <v>1375</v>
      </c>
      <c r="B1513" t="s">
        <v>2268</v>
      </c>
      <c r="C1513" t="s">
        <v>23</v>
      </c>
      <c r="D1513" t="s">
        <v>13</v>
      </c>
      <c r="E1513">
        <v>2479</v>
      </c>
      <c r="F1513">
        <v>205.12</v>
      </c>
      <c r="G1513">
        <v>208.09</v>
      </c>
      <c r="H1513">
        <v>205.12</v>
      </c>
      <c r="I1513">
        <v>3650</v>
      </c>
      <c r="J1513">
        <v>51</v>
      </c>
      <c r="K1513" s="17">
        <f t="shared" si="185"/>
        <v>6205</v>
      </c>
      <c r="L1513" t="str">
        <f t="shared" si="186"/>
        <v>High Risk</v>
      </c>
      <c r="P1513" s="19">
        <f t="shared" si="187"/>
        <v>3726</v>
      </c>
      <c r="R1513" s="19">
        <f t="shared" si="184"/>
        <v>764277.12</v>
      </c>
      <c r="T1513" s="19">
        <f t="shared" si="188"/>
        <v>759528.5</v>
      </c>
      <c r="U1513" s="19">
        <f t="shared" si="189"/>
        <v>748688</v>
      </c>
      <c r="V1513" s="21">
        <f t="shared" si="190"/>
        <v>-10840.5</v>
      </c>
      <c r="W1513" s="18">
        <f t="shared" si="191"/>
        <v>-1.4272670479119611E-2</v>
      </c>
    </row>
    <row r="1514" spans="1:23" x14ac:dyDescent="0.3">
      <c r="A1514" t="s">
        <v>659</v>
      </c>
      <c r="B1514" t="s">
        <v>2955</v>
      </c>
      <c r="C1514" t="s">
        <v>12</v>
      </c>
      <c r="D1514" t="s">
        <v>26</v>
      </c>
      <c r="E1514">
        <v>2481</v>
      </c>
      <c r="F1514">
        <v>544.96</v>
      </c>
      <c r="G1514">
        <v>472.97</v>
      </c>
      <c r="H1514">
        <v>544.96</v>
      </c>
      <c r="I1514">
        <v>2317</v>
      </c>
      <c r="J1514">
        <v>29</v>
      </c>
      <c r="K1514" s="17">
        <f t="shared" si="185"/>
        <v>2239.7666666666669</v>
      </c>
      <c r="L1514" t="str">
        <f t="shared" si="186"/>
        <v>Sufficuent Stock</v>
      </c>
      <c r="P1514" s="19">
        <f t="shared" si="187"/>
        <v>0</v>
      </c>
      <c r="R1514" s="19">
        <f t="shared" si="184"/>
        <v>0</v>
      </c>
      <c r="T1514" s="19">
        <f t="shared" si="188"/>
        <v>1095871.49</v>
      </c>
      <c r="U1514" s="19">
        <f t="shared" si="189"/>
        <v>1262672.32</v>
      </c>
      <c r="V1514" s="21">
        <f t="shared" si="190"/>
        <v>166800.83000000007</v>
      </c>
      <c r="W1514" s="18">
        <f t="shared" si="191"/>
        <v>0.15220838530985059</v>
      </c>
    </row>
    <row r="1515" spans="1:23" x14ac:dyDescent="0.3">
      <c r="A1515" t="s">
        <v>328</v>
      </c>
      <c r="B1515" t="s">
        <v>1642</v>
      </c>
      <c r="C1515" t="s">
        <v>37</v>
      </c>
      <c r="D1515" t="s">
        <v>13</v>
      </c>
      <c r="E1515">
        <v>2487</v>
      </c>
      <c r="F1515">
        <v>60.48</v>
      </c>
      <c r="G1515">
        <v>66</v>
      </c>
      <c r="H1515">
        <v>60.48</v>
      </c>
      <c r="I1515">
        <v>2629</v>
      </c>
      <c r="J1515">
        <v>46</v>
      </c>
      <c r="K1515" s="17">
        <f t="shared" si="185"/>
        <v>4031.1333333333337</v>
      </c>
      <c r="L1515" t="str">
        <f t="shared" si="186"/>
        <v>High Risk</v>
      </c>
      <c r="P1515" s="19">
        <f t="shared" si="187"/>
        <v>1545</v>
      </c>
      <c r="R1515" s="19">
        <f t="shared" si="184"/>
        <v>93441.599999999991</v>
      </c>
      <c r="T1515" s="19">
        <f t="shared" si="188"/>
        <v>173514</v>
      </c>
      <c r="U1515" s="19">
        <f t="shared" si="189"/>
        <v>159001.91999999998</v>
      </c>
      <c r="V1515" s="21">
        <f t="shared" si="190"/>
        <v>-14512.080000000016</v>
      </c>
      <c r="W1515" s="18">
        <f t="shared" si="191"/>
        <v>-8.3636363636363731E-2</v>
      </c>
    </row>
    <row r="1516" spans="1:23" x14ac:dyDescent="0.3">
      <c r="A1516" t="s">
        <v>31</v>
      </c>
      <c r="B1516" t="s">
        <v>2501</v>
      </c>
      <c r="C1516" t="s">
        <v>37</v>
      </c>
      <c r="D1516" t="s">
        <v>13</v>
      </c>
      <c r="E1516">
        <v>2488</v>
      </c>
      <c r="F1516">
        <v>478.76</v>
      </c>
      <c r="G1516">
        <v>481.53</v>
      </c>
      <c r="H1516">
        <v>478.76</v>
      </c>
      <c r="I1516">
        <v>1814</v>
      </c>
      <c r="J1516">
        <v>29</v>
      </c>
      <c r="K1516" s="17">
        <f t="shared" si="185"/>
        <v>1753.5333333333333</v>
      </c>
      <c r="L1516" t="str">
        <f t="shared" si="186"/>
        <v>Sufficuent Stock</v>
      </c>
      <c r="P1516" s="19">
        <f t="shared" si="187"/>
        <v>0</v>
      </c>
      <c r="R1516" s="19">
        <f t="shared" si="184"/>
        <v>0</v>
      </c>
      <c r="T1516" s="19">
        <f t="shared" si="188"/>
        <v>873495.41999999993</v>
      </c>
      <c r="U1516" s="19">
        <f t="shared" si="189"/>
        <v>868470.64</v>
      </c>
      <c r="V1516" s="21">
        <f t="shared" si="190"/>
        <v>-5024.7799999999115</v>
      </c>
      <c r="W1516" s="18">
        <f t="shared" si="191"/>
        <v>-5.7524972483541034E-3</v>
      </c>
    </row>
    <row r="1517" spans="1:23" x14ac:dyDescent="0.3">
      <c r="A1517" t="s">
        <v>453</v>
      </c>
      <c r="B1517" t="s">
        <v>2625</v>
      </c>
      <c r="C1517" t="s">
        <v>23</v>
      </c>
      <c r="D1517" t="s">
        <v>17</v>
      </c>
      <c r="E1517">
        <v>2489</v>
      </c>
      <c r="F1517">
        <v>251.57</v>
      </c>
      <c r="G1517">
        <v>242.26</v>
      </c>
      <c r="H1517">
        <v>251.57</v>
      </c>
      <c r="I1517">
        <v>925</v>
      </c>
      <c r="J1517">
        <v>89</v>
      </c>
      <c r="K1517" s="17">
        <f t="shared" si="185"/>
        <v>2744.1666666666665</v>
      </c>
      <c r="L1517" t="str">
        <f t="shared" si="186"/>
        <v>High Risk</v>
      </c>
      <c r="P1517" s="19">
        <f t="shared" si="187"/>
        <v>256</v>
      </c>
      <c r="R1517" s="19">
        <f t="shared" si="184"/>
        <v>64401.919999999998</v>
      </c>
      <c r="T1517" s="19">
        <f t="shared" si="188"/>
        <v>224090.5</v>
      </c>
      <c r="U1517" s="19">
        <f t="shared" si="189"/>
        <v>232702.25</v>
      </c>
      <c r="V1517" s="21">
        <f t="shared" si="190"/>
        <v>8611.75</v>
      </c>
      <c r="W1517" s="18">
        <f t="shared" si="191"/>
        <v>3.8429786180137045E-2</v>
      </c>
    </row>
    <row r="1518" spans="1:23" x14ac:dyDescent="0.3">
      <c r="A1518" t="s">
        <v>1829</v>
      </c>
      <c r="B1518" t="s">
        <v>2712</v>
      </c>
      <c r="C1518" t="s">
        <v>37</v>
      </c>
      <c r="D1518" t="s">
        <v>69</v>
      </c>
      <c r="E1518">
        <v>2489</v>
      </c>
      <c r="F1518">
        <v>183.13</v>
      </c>
      <c r="G1518">
        <v>186.98</v>
      </c>
      <c r="H1518">
        <v>183.13</v>
      </c>
      <c r="I1518">
        <v>1409</v>
      </c>
      <c r="J1518">
        <v>35</v>
      </c>
      <c r="K1518" s="17">
        <f t="shared" si="185"/>
        <v>1643.8333333333335</v>
      </c>
      <c r="L1518" t="str">
        <f t="shared" si="186"/>
        <v>Sufficuent Stock</v>
      </c>
      <c r="P1518" s="19">
        <f t="shared" si="187"/>
        <v>0</v>
      </c>
      <c r="R1518" s="19">
        <f t="shared" si="184"/>
        <v>0</v>
      </c>
      <c r="T1518" s="19">
        <f t="shared" si="188"/>
        <v>263454.82</v>
      </c>
      <c r="U1518" s="19">
        <f t="shared" si="189"/>
        <v>258030.16999999998</v>
      </c>
      <c r="V1518" s="21">
        <f t="shared" si="190"/>
        <v>-5424.6500000000233</v>
      </c>
      <c r="W1518" s="18">
        <f t="shared" si="191"/>
        <v>-2.0590437479944466E-2</v>
      </c>
    </row>
    <row r="1519" spans="1:23" x14ac:dyDescent="0.3">
      <c r="A1519" t="s">
        <v>857</v>
      </c>
      <c r="B1519" t="s">
        <v>1965</v>
      </c>
      <c r="C1519" t="s">
        <v>50</v>
      </c>
      <c r="D1519" t="s">
        <v>26</v>
      </c>
      <c r="E1519">
        <v>2492</v>
      </c>
      <c r="F1519">
        <v>249.57</v>
      </c>
      <c r="G1519">
        <v>223.11</v>
      </c>
      <c r="H1519">
        <v>249.57</v>
      </c>
      <c r="I1519">
        <v>3944</v>
      </c>
      <c r="J1519">
        <v>74</v>
      </c>
      <c r="K1519" s="17">
        <f t="shared" si="185"/>
        <v>9728.5333333333328</v>
      </c>
      <c r="L1519" t="str">
        <f t="shared" si="186"/>
        <v>High Risk</v>
      </c>
      <c r="P1519" s="19">
        <f t="shared" si="187"/>
        <v>7237</v>
      </c>
      <c r="R1519" s="19">
        <f t="shared" si="184"/>
        <v>1806138.0899999999</v>
      </c>
      <c r="T1519" s="19">
        <f t="shared" si="188"/>
        <v>879945.84000000008</v>
      </c>
      <c r="U1519" s="19">
        <f t="shared" si="189"/>
        <v>984304.08</v>
      </c>
      <c r="V1519" s="21">
        <f t="shared" si="190"/>
        <v>104358.23999999987</v>
      </c>
      <c r="W1519" s="18">
        <f t="shared" si="191"/>
        <v>0.11859620814844681</v>
      </c>
    </row>
    <row r="1520" spans="1:23" x14ac:dyDescent="0.3">
      <c r="A1520" t="s">
        <v>432</v>
      </c>
      <c r="B1520" t="s">
        <v>508</v>
      </c>
      <c r="C1520" t="s">
        <v>23</v>
      </c>
      <c r="D1520" t="s">
        <v>69</v>
      </c>
      <c r="E1520">
        <v>2494</v>
      </c>
      <c r="F1520">
        <v>459.6</v>
      </c>
      <c r="G1520">
        <v>463.55</v>
      </c>
      <c r="H1520">
        <v>459.6</v>
      </c>
      <c r="I1520">
        <v>3120</v>
      </c>
      <c r="J1520">
        <v>40</v>
      </c>
      <c r="K1520" s="17">
        <f t="shared" si="185"/>
        <v>4160</v>
      </c>
      <c r="L1520" t="str">
        <f t="shared" si="186"/>
        <v>High Risk</v>
      </c>
      <c r="P1520" s="19">
        <f t="shared" si="187"/>
        <v>1666</v>
      </c>
      <c r="R1520" s="19">
        <f t="shared" si="184"/>
        <v>765693.60000000009</v>
      </c>
      <c r="T1520" s="19">
        <f t="shared" si="188"/>
        <v>1446276</v>
      </c>
      <c r="U1520" s="19">
        <f t="shared" si="189"/>
        <v>1433952</v>
      </c>
      <c r="V1520" s="21">
        <f t="shared" si="190"/>
        <v>-12324</v>
      </c>
      <c r="W1520" s="18">
        <f t="shared" si="191"/>
        <v>-8.5211951245820292E-3</v>
      </c>
    </row>
    <row r="1521" spans="1:23" x14ac:dyDescent="0.3">
      <c r="A1521" t="s">
        <v>831</v>
      </c>
      <c r="B1521" t="s">
        <v>1897</v>
      </c>
      <c r="C1521" t="s">
        <v>50</v>
      </c>
      <c r="D1521" t="s">
        <v>13</v>
      </c>
      <c r="E1521">
        <v>2495</v>
      </c>
      <c r="F1521">
        <v>143.63999999999999</v>
      </c>
      <c r="G1521">
        <v>129.43</v>
      </c>
      <c r="H1521">
        <v>143.63999999999999</v>
      </c>
      <c r="I1521">
        <v>3405</v>
      </c>
      <c r="J1521">
        <v>35</v>
      </c>
      <c r="K1521" s="17">
        <f t="shared" si="185"/>
        <v>3972.5</v>
      </c>
      <c r="L1521" t="str">
        <f t="shared" si="186"/>
        <v>High Risk</v>
      </c>
      <c r="P1521" s="19">
        <f t="shared" si="187"/>
        <v>1478</v>
      </c>
      <c r="R1521" s="19">
        <f t="shared" si="184"/>
        <v>212299.91999999998</v>
      </c>
      <c r="T1521" s="19">
        <f t="shared" si="188"/>
        <v>440709.15</v>
      </c>
      <c r="U1521" s="19">
        <f t="shared" si="189"/>
        <v>489094.19999999995</v>
      </c>
      <c r="V1521" s="21">
        <f t="shared" si="190"/>
        <v>48385.04999999993</v>
      </c>
      <c r="W1521" s="18">
        <f t="shared" si="191"/>
        <v>0.10978907517577052</v>
      </c>
    </row>
    <row r="1522" spans="1:23" x14ac:dyDescent="0.3">
      <c r="A1522" t="s">
        <v>543</v>
      </c>
      <c r="B1522" t="s">
        <v>1778</v>
      </c>
      <c r="C1522" t="s">
        <v>50</v>
      </c>
      <c r="D1522" t="s">
        <v>13</v>
      </c>
      <c r="E1522">
        <v>2496</v>
      </c>
      <c r="F1522">
        <v>480.57</v>
      </c>
      <c r="G1522">
        <v>483.47</v>
      </c>
      <c r="H1522">
        <v>480.57</v>
      </c>
      <c r="I1522">
        <v>1327</v>
      </c>
      <c r="J1522">
        <v>54</v>
      </c>
      <c r="K1522" s="17">
        <f t="shared" si="185"/>
        <v>2388.6</v>
      </c>
      <c r="L1522" t="str">
        <f t="shared" si="186"/>
        <v>Sufficuent Stock</v>
      </c>
      <c r="P1522" s="19">
        <f t="shared" si="187"/>
        <v>0</v>
      </c>
      <c r="R1522" s="19">
        <f t="shared" si="184"/>
        <v>0</v>
      </c>
      <c r="T1522" s="19">
        <f t="shared" si="188"/>
        <v>641564.69000000006</v>
      </c>
      <c r="U1522" s="19">
        <f t="shared" si="189"/>
        <v>637716.39</v>
      </c>
      <c r="V1522" s="21">
        <f t="shared" si="190"/>
        <v>-3848.3000000000466</v>
      </c>
      <c r="W1522" s="18">
        <f t="shared" si="191"/>
        <v>-5.9983039278549543E-3</v>
      </c>
    </row>
    <row r="1523" spans="1:23" x14ac:dyDescent="0.3">
      <c r="A1523" t="s">
        <v>976</v>
      </c>
      <c r="B1523" t="s">
        <v>977</v>
      </c>
      <c r="C1523" t="s">
        <v>37</v>
      </c>
      <c r="D1523" t="s">
        <v>69</v>
      </c>
      <c r="E1523">
        <v>2497</v>
      </c>
      <c r="F1523">
        <v>113.41</v>
      </c>
      <c r="G1523">
        <v>97.71</v>
      </c>
      <c r="H1523">
        <v>113.41</v>
      </c>
      <c r="I1523">
        <v>1694</v>
      </c>
      <c r="J1523">
        <v>41</v>
      </c>
      <c r="K1523" s="17">
        <f t="shared" si="185"/>
        <v>2315.1333333333332</v>
      </c>
      <c r="L1523" t="str">
        <f t="shared" si="186"/>
        <v>Sufficuent Stock</v>
      </c>
      <c r="P1523" s="19">
        <f t="shared" si="187"/>
        <v>0</v>
      </c>
      <c r="R1523" s="19">
        <f t="shared" si="184"/>
        <v>0</v>
      </c>
      <c r="T1523" s="19">
        <f t="shared" si="188"/>
        <v>165520.74</v>
      </c>
      <c r="U1523" s="19">
        <f t="shared" si="189"/>
        <v>192116.54</v>
      </c>
      <c r="V1523" s="21">
        <f t="shared" si="190"/>
        <v>26595.800000000017</v>
      </c>
      <c r="W1523" s="18">
        <f t="shared" si="191"/>
        <v>0.16067956196909233</v>
      </c>
    </row>
    <row r="1524" spans="1:23" x14ac:dyDescent="0.3">
      <c r="A1524" t="s">
        <v>288</v>
      </c>
      <c r="B1524" t="s">
        <v>790</v>
      </c>
      <c r="C1524" t="s">
        <v>16</v>
      </c>
      <c r="D1524" t="s">
        <v>17</v>
      </c>
      <c r="E1524">
        <v>2499</v>
      </c>
      <c r="F1524">
        <v>240.16</v>
      </c>
      <c r="G1524">
        <v>227.17</v>
      </c>
      <c r="H1524">
        <v>240.16</v>
      </c>
      <c r="I1524">
        <v>2456</v>
      </c>
      <c r="J1524">
        <v>25</v>
      </c>
      <c r="K1524" s="17">
        <f t="shared" si="185"/>
        <v>2046.6666666666665</v>
      </c>
      <c r="L1524" t="str">
        <f t="shared" si="186"/>
        <v>Sufficuent Stock</v>
      </c>
      <c r="P1524" s="19">
        <f t="shared" si="187"/>
        <v>0</v>
      </c>
      <c r="R1524" s="19">
        <f t="shared" si="184"/>
        <v>0</v>
      </c>
      <c r="T1524" s="19">
        <f t="shared" si="188"/>
        <v>557929.52</v>
      </c>
      <c r="U1524" s="19">
        <f t="shared" si="189"/>
        <v>589832.95999999996</v>
      </c>
      <c r="V1524" s="21">
        <f t="shared" si="190"/>
        <v>31903.439999999944</v>
      </c>
      <c r="W1524" s="18">
        <f t="shared" si="191"/>
        <v>5.7181846194479802E-2</v>
      </c>
    </row>
    <row r="1525" spans="1:23" x14ac:dyDescent="0.3">
      <c r="A1525" t="s">
        <v>61</v>
      </c>
      <c r="B1525" t="s">
        <v>1006</v>
      </c>
      <c r="C1525" t="s">
        <v>37</v>
      </c>
      <c r="D1525" t="s">
        <v>20</v>
      </c>
      <c r="E1525">
        <v>2503</v>
      </c>
      <c r="F1525">
        <v>17.3</v>
      </c>
      <c r="G1525">
        <v>14.68</v>
      </c>
      <c r="H1525">
        <v>17.3</v>
      </c>
      <c r="I1525">
        <v>1068</v>
      </c>
      <c r="J1525">
        <v>59</v>
      </c>
      <c r="K1525" s="17">
        <f t="shared" si="185"/>
        <v>2100.4</v>
      </c>
      <c r="L1525" t="str">
        <f t="shared" si="186"/>
        <v>Sufficuent Stock</v>
      </c>
      <c r="P1525" s="19">
        <f t="shared" si="187"/>
        <v>0</v>
      </c>
      <c r="R1525" s="19">
        <f t="shared" si="184"/>
        <v>0</v>
      </c>
      <c r="T1525" s="19">
        <f t="shared" si="188"/>
        <v>15678.24</v>
      </c>
      <c r="U1525" s="19">
        <f t="shared" si="189"/>
        <v>18476.400000000001</v>
      </c>
      <c r="V1525" s="21">
        <f t="shared" si="190"/>
        <v>2798.1600000000017</v>
      </c>
      <c r="W1525" s="18">
        <f t="shared" si="191"/>
        <v>0.178474114441417</v>
      </c>
    </row>
    <row r="1526" spans="1:23" x14ac:dyDescent="0.3">
      <c r="A1526" t="s">
        <v>638</v>
      </c>
      <c r="B1526" t="s">
        <v>1633</v>
      </c>
      <c r="C1526" t="s">
        <v>37</v>
      </c>
      <c r="D1526" t="s">
        <v>26</v>
      </c>
      <c r="E1526">
        <v>2503</v>
      </c>
      <c r="F1526">
        <v>51.33</v>
      </c>
      <c r="G1526">
        <v>54.66</v>
      </c>
      <c r="H1526">
        <v>51.33</v>
      </c>
      <c r="I1526">
        <v>638</v>
      </c>
      <c r="J1526">
        <v>44</v>
      </c>
      <c r="K1526" s="17">
        <f t="shared" si="185"/>
        <v>935.73333333333335</v>
      </c>
      <c r="L1526" t="str">
        <f t="shared" si="186"/>
        <v>Sufficuent Stock</v>
      </c>
      <c r="P1526" s="19">
        <f t="shared" si="187"/>
        <v>0</v>
      </c>
      <c r="R1526" s="19">
        <f t="shared" si="184"/>
        <v>0</v>
      </c>
      <c r="T1526" s="19">
        <f t="shared" si="188"/>
        <v>34873.079999999994</v>
      </c>
      <c r="U1526" s="19">
        <f t="shared" si="189"/>
        <v>32748.539999999997</v>
      </c>
      <c r="V1526" s="21">
        <f t="shared" si="190"/>
        <v>-2124.5399999999972</v>
      </c>
      <c r="W1526" s="18">
        <f t="shared" si="191"/>
        <v>-6.0922063666300701E-2</v>
      </c>
    </row>
    <row r="1527" spans="1:23" x14ac:dyDescent="0.3">
      <c r="A1527" t="s">
        <v>541</v>
      </c>
      <c r="B1527" t="s">
        <v>974</v>
      </c>
      <c r="C1527" t="s">
        <v>12</v>
      </c>
      <c r="D1527" t="s">
        <v>17</v>
      </c>
      <c r="E1527">
        <v>2503</v>
      </c>
      <c r="F1527">
        <v>65.75</v>
      </c>
      <c r="G1527">
        <v>68.38</v>
      </c>
      <c r="H1527">
        <v>65.75</v>
      </c>
      <c r="I1527">
        <v>2534</v>
      </c>
      <c r="J1527">
        <v>33</v>
      </c>
      <c r="K1527" s="17">
        <f t="shared" si="185"/>
        <v>2787.4</v>
      </c>
      <c r="L1527" t="str">
        <f t="shared" si="186"/>
        <v>High Risk</v>
      </c>
      <c r="P1527" s="19">
        <f t="shared" si="187"/>
        <v>285</v>
      </c>
      <c r="R1527" s="19">
        <f t="shared" si="184"/>
        <v>18738.75</v>
      </c>
      <c r="T1527" s="19">
        <f t="shared" si="188"/>
        <v>173274.91999999998</v>
      </c>
      <c r="U1527" s="19">
        <f t="shared" si="189"/>
        <v>166610.5</v>
      </c>
      <c r="V1527" s="21">
        <f t="shared" si="190"/>
        <v>-6664.4199999999837</v>
      </c>
      <c r="W1527" s="18">
        <f t="shared" si="191"/>
        <v>-3.8461538461538373E-2</v>
      </c>
    </row>
    <row r="1528" spans="1:23" x14ac:dyDescent="0.3">
      <c r="A1528" t="s">
        <v>453</v>
      </c>
      <c r="B1528" t="s">
        <v>937</v>
      </c>
      <c r="C1528" t="s">
        <v>16</v>
      </c>
      <c r="D1528" t="s">
        <v>17</v>
      </c>
      <c r="E1528">
        <v>2506</v>
      </c>
      <c r="F1528">
        <v>195.32</v>
      </c>
      <c r="G1528">
        <v>175.71</v>
      </c>
      <c r="H1528">
        <v>195.32</v>
      </c>
      <c r="I1528">
        <v>1343</v>
      </c>
      <c r="J1528">
        <v>52</v>
      </c>
      <c r="K1528" s="17">
        <f t="shared" si="185"/>
        <v>2327.8666666666668</v>
      </c>
      <c r="L1528" t="str">
        <f t="shared" si="186"/>
        <v>Sufficuent Stock</v>
      </c>
      <c r="P1528" s="19">
        <f t="shared" si="187"/>
        <v>0</v>
      </c>
      <c r="R1528" s="19">
        <f t="shared" si="184"/>
        <v>0</v>
      </c>
      <c r="T1528" s="19">
        <f t="shared" si="188"/>
        <v>235978.53</v>
      </c>
      <c r="U1528" s="19">
        <f t="shared" si="189"/>
        <v>262314.76</v>
      </c>
      <c r="V1528" s="21">
        <f t="shared" si="190"/>
        <v>26336.23000000001</v>
      </c>
      <c r="W1528" s="18">
        <f t="shared" si="191"/>
        <v>0.1116043480735303</v>
      </c>
    </row>
    <row r="1529" spans="1:23" x14ac:dyDescent="0.3">
      <c r="A1529" t="s">
        <v>251</v>
      </c>
      <c r="B1529" t="s">
        <v>703</v>
      </c>
      <c r="C1529" t="s">
        <v>37</v>
      </c>
      <c r="D1529" t="s">
        <v>20</v>
      </c>
      <c r="E1529">
        <v>2511</v>
      </c>
      <c r="F1529">
        <v>376.41</v>
      </c>
      <c r="G1529">
        <v>389.82</v>
      </c>
      <c r="H1529">
        <v>376.41</v>
      </c>
      <c r="I1529">
        <v>1516</v>
      </c>
      <c r="J1529">
        <v>48</v>
      </c>
      <c r="K1529" s="17">
        <f t="shared" si="185"/>
        <v>2425.6</v>
      </c>
      <c r="L1529" t="str">
        <f t="shared" si="186"/>
        <v>Sufficuent Stock</v>
      </c>
      <c r="P1529" s="19">
        <f t="shared" si="187"/>
        <v>0</v>
      </c>
      <c r="R1529" s="19">
        <f t="shared" si="184"/>
        <v>0</v>
      </c>
      <c r="T1529" s="19">
        <f t="shared" si="188"/>
        <v>590967.12</v>
      </c>
      <c r="U1529" s="19">
        <f t="shared" si="189"/>
        <v>570637.56000000006</v>
      </c>
      <c r="V1529" s="21">
        <f t="shared" si="190"/>
        <v>-20329.559999999939</v>
      </c>
      <c r="W1529" s="18">
        <f t="shared" si="191"/>
        <v>-3.4400492535016057E-2</v>
      </c>
    </row>
    <row r="1530" spans="1:23" x14ac:dyDescent="0.3">
      <c r="A1530" t="s">
        <v>119</v>
      </c>
      <c r="B1530" t="s">
        <v>2144</v>
      </c>
      <c r="C1530" t="s">
        <v>16</v>
      </c>
      <c r="D1530" t="s">
        <v>20</v>
      </c>
      <c r="E1530">
        <v>2512</v>
      </c>
      <c r="F1530">
        <v>328.31</v>
      </c>
      <c r="G1530">
        <v>291.44</v>
      </c>
      <c r="H1530">
        <v>328.31</v>
      </c>
      <c r="I1530">
        <v>201</v>
      </c>
      <c r="J1530">
        <v>50</v>
      </c>
      <c r="K1530" s="17">
        <f t="shared" si="185"/>
        <v>335</v>
      </c>
      <c r="L1530" t="str">
        <f t="shared" si="186"/>
        <v>Sufficuent Stock</v>
      </c>
      <c r="P1530" s="19">
        <f t="shared" si="187"/>
        <v>0</v>
      </c>
      <c r="R1530" s="19">
        <f t="shared" si="184"/>
        <v>0</v>
      </c>
      <c r="T1530" s="19">
        <f t="shared" si="188"/>
        <v>58579.44</v>
      </c>
      <c r="U1530" s="19">
        <f t="shared" si="189"/>
        <v>65990.31</v>
      </c>
      <c r="V1530" s="21">
        <f t="shared" si="190"/>
        <v>7410.8699999999953</v>
      </c>
      <c r="W1530" s="18">
        <f t="shared" si="191"/>
        <v>0.12650974471589341</v>
      </c>
    </row>
    <row r="1531" spans="1:23" x14ac:dyDescent="0.3">
      <c r="A1531" t="s">
        <v>590</v>
      </c>
      <c r="B1531" t="s">
        <v>2570</v>
      </c>
      <c r="C1531" t="s">
        <v>23</v>
      </c>
      <c r="D1531" t="s">
        <v>26</v>
      </c>
      <c r="E1531">
        <v>2512</v>
      </c>
      <c r="F1531">
        <v>356.61</v>
      </c>
      <c r="G1531">
        <v>379.61</v>
      </c>
      <c r="H1531">
        <v>356.61</v>
      </c>
      <c r="I1531">
        <v>71</v>
      </c>
      <c r="J1531">
        <v>18</v>
      </c>
      <c r="K1531" s="17">
        <f t="shared" si="185"/>
        <v>42.6</v>
      </c>
      <c r="L1531" t="str">
        <f t="shared" si="186"/>
        <v>Sufficuent Stock</v>
      </c>
      <c r="P1531" s="19">
        <f t="shared" si="187"/>
        <v>0</v>
      </c>
      <c r="R1531" s="19">
        <f t="shared" si="184"/>
        <v>0</v>
      </c>
      <c r="T1531" s="19">
        <f t="shared" si="188"/>
        <v>26952.31</v>
      </c>
      <c r="U1531" s="19">
        <f t="shared" si="189"/>
        <v>25319.31</v>
      </c>
      <c r="V1531" s="21">
        <f t="shared" si="190"/>
        <v>-1633</v>
      </c>
      <c r="W1531" s="18">
        <f t="shared" si="191"/>
        <v>-6.0588498722372958E-2</v>
      </c>
    </row>
    <row r="1532" spans="1:23" x14ac:dyDescent="0.3">
      <c r="A1532" t="s">
        <v>363</v>
      </c>
      <c r="B1532" t="s">
        <v>2466</v>
      </c>
      <c r="C1532" t="s">
        <v>50</v>
      </c>
      <c r="D1532" t="s">
        <v>26</v>
      </c>
      <c r="E1532">
        <v>2513</v>
      </c>
      <c r="F1532">
        <v>407.58</v>
      </c>
      <c r="G1532">
        <v>340.52</v>
      </c>
      <c r="H1532">
        <v>407.58</v>
      </c>
      <c r="I1532">
        <v>2397</v>
      </c>
      <c r="J1532">
        <v>61</v>
      </c>
      <c r="K1532" s="17">
        <f t="shared" si="185"/>
        <v>4873.9000000000005</v>
      </c>
      <c r="L1532" t="str">
        <f t="shared" si="186"/>
        <v>High Risk</v>
      </c>
      <c r="P1532" s="19">
        <f t="shared" si="187"/>
        <v>2361</v>
      </c>
      <c r="R1532" s="19">
        <f t="shared" si="184"/>
        <v>962296.38</v>
      </c>
      <c r="T1532" s="19">
        <f t="shared" si="188"/>
        <v>816226.44</v>
      </c>
      <c r="U1532" s="19">
        <f t="shared" si="189"/>
        <v>976969.26</v>
      </c>
      <c r="V1532" s="21">
        <f t="shared" si="190"/>
        <v>160742.82000000007</v>
      </c>
      <c r="W1532" s="18">
        <f t="shared" si="191"/>
        <v>0.19693410078703169</v>
      </c>
    </row>
    <row r="1533" spans="1:23" x14ac:dyDescent="0.3">
      <c r="A1533" t="s">
        <v>46</v>
      </c>
      <c r="B1533" t="s">
        <v>2771</v>
      </c>
      <c r="C1533" t="s">
        <v>50</v>
      </c>
      <c r="D1533" t="s">
        <v>69</v>
      </c>
      <c r="E1533">
        <v>2513</v>
      </c>
      <c r="F1533">
        <v>491.59</v>
      </c>
      <c r="G1533">
        <v>472.81</v>
      </c>
      <c r="H1533">
        <v>491.59</v>
      </c>
      <c r="I1533">
        <v>2795</v>
      </c>
      <c r="J1533">
        <v>41</v>
      </c>
      <c r="K1533" s="17">
        <f t="shared" si="185"/>
        <v>3819.8333333333335</v>
      </c>
      <c r="L1533" t="str">
        <f t="shared" si="186"/>
        <v>High Risk</v>
      </c>
      <c r="P1533" s="19">
        <f t="shared" si="187"/>
        <v>1307</v>
      </c>
      <c r="R1533" s="19">
        <f t="shared" si="184"/>
        <v>642508.13</v>
      </c>
      <c r="T1533" s="19">
        <f t="shared" si="188"/>
        <v>1321503.95</v>
      </c>
      <c r="U1533" s="19">
        <f t="shared" si="189"/>
        <v>1373994.0499999998</v>
      </c>
      <c r="V1533" s="21">
        <f t="shared" si="190"/>
        <v>52490.09999999986</v>
      </c>
      <c r="W1533" s="18">
        <f t="shared" si="191"/>
        <v>3.9719972081808656E-2</v>
      </c>
    </row>
    <row r="1534" spans="1:23" x14ac:dyDescent="0.3">
      <c r="A1534" t="s">
        <v>759</v>
      </c>
      <c r="B1534" t="s">
        <v>2935</v>
      </c>
      <c r="C1534" t="s">
        <v>50</v>
      </c>
      <c r="D1534" t="s">
        <v>13</v>
      </c>
      <c r="E1534">
        <v>2515</v>
      </c>
      <c r="F1534">
        <v>308.95</v>
      </c>
      <c r="G1534">
        <v>283.02</v>
      </c>
      <c r="H1534">
        <v>308.95</v>
      </c>
      <c r="I1534">
        <v>731</v>
      </c>
      <c r="J1534">
        <v>60</v>
      </c>
      <c r="K1534" s="17">
        <f t="shared" si="185"/>
        <v>1462</v>
      </c>
      <c r="L1534" t="str">
        <f t="shared" si="186"/>
        <v>Sufficuent Stock</v>
      </c>
      <c r="P1534" s="19">
        <f t="shared" si="187"/>
        <v>0</v>
      </c>
      <c r="R1534" s="19">
        <f t="shared" si="184"/>
        <v>0</v>
      </c>
      <c r="T1534" s="19">
        <f t="shared" si="188"/>
        <v>206887.62</v>
      </c>
      <c r="U1534" s="19">
        <f t="shared" si="189"/>
        <v>225842.44999999998</v>
      </c>
      <c r="V1534" s="21">
        <f t="shared" si="190"/>
        <v>18954.829999999987</v>
      </c>
      <c r="W1534" s="18">
        <f t="shared" si="191"/>
        <v>9.1618966857465844E-2</v>
      </c>
    </row>
    <row r="1535" spans="1:23" x14ac:dyDescent="0.3">
      <c r="A1535" t="s">
        <v>654</v>
      </c>
      <c r="B1535" t="s">
        <v>1663</v>
      </c>
      <c r="C1535" t="s">
        <v>50</v>
      </c>
      <c r="D1535" t="s">
        <v>17</v>
      </c>
      <c r="E1535">
        <v>2516</v>
      </c>
      <c r="F1535">
        <v>320.56</v>
      </c>
      <c r="G1535">
        <v>325.88</v>
      </c>
      <c r="H1535">
        <v>320.56</v>
      </c>
      <c r="I1535">
        <v>2200</v>
      </c>
      <c r="J1535">
        <v>70</v>
      </c>
      <c r="K1535" s="17">
        <f t="shared" si="185"/>
        <v>5133.333333333333</v>
      </c>
      <c r="L1535" t="str">
        <f t="shared" si="186"/>
        <v>High Risk</v>
      </c>
      <c r="P1535" s="19">
        <f t="shared" si="187"/>
        <v>2618</v>
      </c>
      <c r="R1535" s="19">
        <f t="shared" si="184"/>
        <v>839226.08</v>
      </c>
      <c r="T1535" s="19">
        <f t="shared" si="188"/>
        <v>716936</v>
      </c>
      <c r="U1535" s="19">
        <f t="shared" si="189"/>
        <v>705232</v>
      </c>
      <c r="V1535" s="21">
        <f t="shared" si="190"/>
        <v>-11704</v>
      </c>
      <c r="W1535" s="18">
        <f t="shared" si="191"/>
        <v>-1.6325027617527924E-2</v>
      </c>
    </row>
    <row r="1536" spans="1:23" x14ac:dyDescent="0.3">
      <c r="A1536" t="s">
        <v>275</v>
      </c>
      <c r="B1536" t="s">
        <v>276</v>
      </c>
      <c r="C1536" t="s">
        <v>23</v>
      </c>
      <c r="D1536" t="s">
        <v>26</v>
      </c>
      <c r="E1536">
        <v>2517</v>
      </c>
      <c r="F1536">
        <v>440.3</v>
      </c>
      <c r="G1536">
        <v>474.66</v>
      </c>
      <c r="H1536">
        <v>440.3</v>
      </c>
      <c r="I1536">
        <v>3805</v>
      </c>
      <c r="J1536">
        <v>65</v>
      </c>
      <c r="K1536" s="17">
        <f t="shared" si="185"/>
        <v>8244.1666666666661</v>
      </c>
      <c r="L1536" t="str">
        <f t="shared" si="186"/>
        <v>High Risk</v>
      </c>
      <c r="P1536" s="19">
        <f t="shared" si="187"/>
        <v>5728</v>
      </c>
      <c r="R1536" s="19">
        <f t="shared" si="184"/>
        <v>2522038.4</v>
      </c>
      <c r="T1536" s="19">
        <f t="shared" si="188"/>
        <v>1806081.3</v>
      </c>
      <c r="U1536" s="19">
        <f t="shared" si="189"/>
        <v>1675341.5</v>
      </c>
      <c r="V1536" s="21">
        <f t="shared" si="190"/>
        <v>-130739.80000000005</v>
      </c>
      <c r="W1536" s="18">
        <f t="shared" si="191"/>
        <v>-7.2388657144061036E-2</v>
      </c>
    </row>
    <row r="1537" spans="1:23" x14ac:dyDescent="0.3">
      <c r="A1537" t="s">
        <v>48</v>
      </c>
      <c r="B1537" t="s">
        <v>761</v>
      </c>
      <c r="C1537" t="s">
        <v>50</v>
      </c>
      <c r="D1537" t="s">
        <v>13</v>
      </c>
      <c r="E1537">
        <v>2517</v>
      </c>
      <c r="F1537">
        <v>433.6</v>
      </c>
      <c r="G1537">
        <v>362.07</v>
      </c>
      <c r="H1537">
        <v>433.6</v>
      </c>
      <c r="I1537">
        <v>2792</v>
      </c>
      <c r="J1537">
        <v>85</v>
      </c>
      <c r="K1537" s="17">
        <f t="shared" si="185"/>
        <v>7910.6666666666661</v>
      </c>
      <c r="L1537" t="str">
        <f t="shared" si="186"/>
        <v>High Risk</v>
      </c>
      <c r="P1537" s="19">
        <f t="shared" si="187"/>
        <v>5394</v>
      </c>
      <c r="R1537" s="19">
        <f t="shared" si="184"/>
        <v>2338838.4</v>
      </c>
      <c r="T1537" s="19">
        <f t="shared" si="188"/>
        <v>1010899.44</v>
      </c>
      <c r="U1537" s="19">
        <f t="shared" si="189"/>
        <v>1210611.2</v>
      </c>
      <c r="V1537" s="21">
        <f t="shared" si="190"/>
        <v>199711.76</v>
      </c>
      <c r="W1537" s="18">
        <f t="shared" si="191"/>
        <v>0.19755848316623859</v>
      </c>
    </row>
    <row r="1538" spans="1:23" x14ac:dyDescent="0.3">
      <c r="A1538" t="s">
        <v>1076</v>
      </c>
      <c r="B1538" t="s">
        <v>1400</v>
      </c>
      <c r="C1538" t="s">
        <v>50</v>
      </c>
      <c r="D1538" t="s">
        <v>20</v>
      </c>
      <c r="E1538">
        <v>2518</v>
      </c>
      <c r="F1538">
        <v>310.88</v>
      </c>
      <c r="G1538">
        <v>300.02999999999997</v>
      </c>
      <c r="H1538">
        <v>310.88</v>
      </c>
      <c r="I1538">
        <v>3259</v>
      </c>
      <c r="J1538">
        <v>9</v>
      </c>
      <c r="K1538" s="17">
        <f t="shared" si="185"/>
        <v>977.7</v>
      </c>
      <c r="L1538" t="str">
        <f t="shared" si="186"/>
        <v>Sufficuent Stock</v>
      </c>
      <c r="P1538" s="19">
        <f t="shared" si="187"/>
        <v>0</v>
      </c>
      <c r="R1538" s="19">
        <f t="shared" ref="R1538:R1601" si="192">P1538*H1538</f>
        <v>0</v>
      </c>
      <c r="T1538" s="19">
        <f t="shared" si="188"/>
        <v>977797.7699999999</v>
      </c>
      <c r="U1538" s="19">
        <f t="shared" si="189"/>
        <v>1013157.92</v>
      </c>
      <c r="V1538" s="21">
        <f t="shared" si="190"/>
        <v>35360.15000000014</v>
      </c>
      <c r="W1538" s="18">
        <f t="shared" si="191"/>
        <v>3.6163050361630651E-2</v>
      </c>
    </row>
    <row r="1539" spans="1:23" x14ac:dyDescent="0.3">
      <c r="A1539" t="s">
        <v>472</v>
      </c>
      <c r="B1539" t="s">
        <v>2659</v>
      </c>
      <c r="C1539" t="s">
        <v>23</v>
      </c>
      <c r="D1539" t="s">
        <v>17</v>
      </c>
      <c r="E1539">
        <v>2520</v>
      </c>
      <c r="F1539">
        <v>438.58</v>
      </c>
      <c r="G1539">
        <v>465.69</v>
      </c>
      <c r="H1539">
        <v>438.58</v>
      </c>
      <c r="I1539">
        <v>2178</v>
      </c>
      <c r="J1539">
        <v>64</v>
      </c>
      <c r="K1539" s="17">
        <f t="shared" ref="K1539:K1602" si="193">(I1539/30)*J1539</f>
        <v>4646.3999999999996</v>
      </c>
      <c r="L1539" t="str">
        <f t="shared" ref="L1539:L1602" si="194">IF(E1539&lt;K1539,"High Risk","Sufficuent Stock")</f>
        <v>High Risk</v>
      </c>
      <c r="P1539" s="19">
        <f t="shared" ref="P1539:P1602" si="195">ROUNDUP(MAX(0,K1539-E1539),0)</f>
        <v>2127</v>
      </c>
      <c r="R1539" s="19">
        <f t="shared" si="192"/>
        <v>932859.65999999992</v>
      </c>
      <c r="T1539" s="19">
        <f t="shared" ref="T1539:T1602" si="196">I1539*G1539</f>
        <v>1014272.82</v>
      </c>
      <c r="U1539" s="19">
        <f t="shared" ref="U1539:U1602" si="197">I1539*H1539</f>
        <v>955227.24</v>
      </c>
      <c r="V1539" s="21">
        <f t="shared" ref="V1539:V1602" si="198">U1539-T1539</f>
        <v>-59045.579999999958</v>
      </c>
      <c r="W1539" s="18">
        <f t="shared" ref="W1539:W1602" si="199">IFERROR(V1539/T1539,0)</f>
        <v>-5.8214692177199386E-2</v>
      </c>
    </row>
    <row r="1540" spans="1:23" x14ac:dyDescent="0.3">
      <c r="A1540" t="s">
        <v>831</v>
      </c>
      <c r="B1540" t="s">
        <v>2987</v>
      </c>
      <c r="C1540" t="s">
        <v>50</v>
      </c>
      <c r="D1540" t="s">
        <v>26</v>
      </c>
      <c r="E1540">
        <v>2520</v>
      </c>
      <c r="F1540">
        <v>360.22</v>
      </c>
      <c r="G1540">
        <v>388.79</v>
      </c>
      <c r="H1540">
        <v>360.22</v>
      </c>
      <c r="I1540">
        <v>3428</v>
      </c>
      <c r="J1540">
        <v>33</v>
      </c>
      <c r="K1540" s="17">
        <f t="shared" si="193"/>
        <v>3770.8</v>
      </c>
      <c r="L1540" t="str">
        <f t="shared" si="194"/>
        <v>High Risk</v>
      </c>
      <c r="P1540" s="19">
        <f t="shared" si="195"/>
        <v>1251</v>
      </c>
      <c r="R1540" s="19">
        <f t="shared" si="192"/>
        <v>450635.22000000003</v>
      </c>
      <c r="T1540" s="19">
        <f t="shared" si="196"/>
        <v>1332772.1200000001</v>
      </c>
      <c r="U1540" s="19">
        <f t="shared" si="197"/>
        <v>1234834.1600000001</v>
      </c>
      <c r="V1540" s="21">
        <f t="shared" si="198"/>
        <v>-97937.959999999963</v>
      </c>
      <c r="W1540" s="18">
        <f t="shared" si="199"/>
        <v>-7.3484400318938214E-2</v>
      </c>
    </row>
    <row r="1541" spans="1:23" x14ac:dyDescent="0.3">
      <c r="A1541" t="s">
        <v>829</v>
      </c>
      <c r="B1541" t="s">
        <v>2937</v>
      </c>
      <c r="C1541" t="s">
        <v>23</v>
      </c>
      <c r="D1541" t="s">
        <v>26</v>
      </c>
      <c r="E1541">
        <v>2520</v>
      </c>
      <c r="F1541">
        <v>335.49</v>
      </c>
      <c r="G1541">
        <v>315.14</v>
      </c>
      <c r="H1541">
        <v>335.49</v>
      </c>
      <c r="I1541">
        <v>2588</v>
      </c>
      <c r="J1541">
        <v>19</v>
      </c>
      <c r="K1541" s="17">
        <f t="shared" si="193"/>
        <v>1639.0666666666666</v>
      </c>
      <c r="L1541" t="str">
        <f t="shared" si="194"/>
        <v>Sufficuent Stock</v>
      </c>
      <c r="P1541" s="19">
        <f t="shared" si="195"/>
        <v>0</v>
      </c>
      <c r="R1541" s="19">
        <f t="shared" si="192"/>
        <v>0</v>
      </c>
      <c r="T1541" s="19">
        <f t="shared" si="196"/>
        <v>815582.32</v>
      </c>
      <c r="U1541" s="19">
        <f t="shared" si="197"/>
        <v>868248.12</v>
      </c>
      <c r="V1541" s="21">
        <f t="shared" si="198"/>
        <v>52665.800000000047</v>
      </c>
      <c r="W1541" s="18">
        <f t="shared" si="199"/>
        <v>6.4574474836580631E-2</v>
      </c>
    </row>
    <row r="1542" spans="1:23" x14ac:dyDescent="0.3">
      <c r="A1542" t="s">
        <v>692</v>
      </c>
      <c r="B1542" t="s">
        <v>2816</v>
      </c>
      <c r="C1542" t="s">
        <v>12</v>
      </c>
      <c r="D1542" t="s">
        <v>69</v>
      </c>
      <c r="E1542">
        <v>2521</v>
      </c>
      <c r="F1542">
        <v>312.16000000000003</v>
      </c>
      <c r="G1542">
        <v>336.34</v>
      </c>
      <c r="H1542">
        <v>312.16000000000003</v>
      </c>
      <c r="I1542">
        <v>2137</v>
      </c>
      <c r="J1542">
        <v>70</v>
      </c>
      <c r="K1542" s="17">
        <f t="shared" si="193"/>
        <v>4986.333333333333</v>
      </c>
      <c r="L1542" t="str">
        <f t="shared" si="194"/>
        <v>High Risk</v>
      </c>
      <c r="P1542" s="19">
        <f t="shared" si="195"/>
        <v>2466</v>
      </c>
      <c r="R1542" s="19">
        <f t="shared" si="192"/>
        <v>769786.56</v>
      </c>
      <c r="T1542" s="19">
        <f t="shared" si="196"/>
        <v>718758.58</v>
      </c>
      <c r="U1542" s="19">
        <f t="shared" si="197"/>
        <v>667085.92000000004</v>
      </c>
      <c r="V1542" s="21">
        <f t="shared" si="198"/>
        <v>-51672.659999999916</v>
      </c>
      <c r="W1542" s="18">
        <f t="shared" si="199"/>
        <v>-7.1891538324314566E-2</v>
      </c>
    </row>
    <row r="1543" spans="1:23" x14ac:dyDescent="0.3">
      <c r="A1543" t="s">
        <v>416</v>
      </c>
      <c r="B1543" t="s">
        <v>1248</v>
      </c>
      <c r="C1543" t="s">
        <v>23</v>
      </c>
      <c r="D1543" t="s">
        <v>17</v>
      </c>
      <c r="E1543">
        <v>2522</v>
      </c>
      <c r="F1543">
        <v>23.35</v>
      </c>
      <c r="G1543">
        <v>21.28</v>
      </c>
      <c r="H1543">
        <v>23.35</v>
      </c>
      <c r="I1543">
        <v>782</v>
      </c>
      <c r="J1543">
        <v>70</v>
      </c>
      <c r="K1543" s="17">
        <f t="shared" si="193"/>
        <v>1824.6666666666667</v>
      </c>
      <c r="L1543" t="str">
        <f t="shared" si="194"/>
        <v>Sufficuent Stock</v>
      </c>
      <c r="P1543" s="19">
        <f t="shared" si="195"/>
        <v>0</v>
      </c>
      <c r="R1543" s="19">
        <f t="shared" si="192"/>
        <v>0</v>
      </c>
      <c r="T1543" s="19">
        <f t="shared" si="196"/>
        <v>16640.96</v>
      </c>
      <c r="U1543" s="19">
        <f t="shared" si="197"/>
        <v>18259.7</v>
      </c>
      <c r="V1543" s="21">
        <f t="shared" si="198"/>
        <v>1618.7400000000016</v>
      </c>
      <c r="W1543" s="18">
        <f t="shared" si="199"/>
        <v>9.7274436090225666E-2</v>
      </c>
    </row>
    <row r="1544" spans="1:23" x14ac:dyDescent="0.3">
      <c r="A1544" t="s">
        <v>163</v>
      </c>
      <c r="B1544" t="s">
        <v>2166</v>
      </c>
      <c r="C1544" t="s">
        <v>12</v>
      </c>
      <c r="D1544" t="s">
        <v>69</v>
      </c>
      <c r="E1544">
        <v>2522</v>
      </c>
      <c r="F1544">
        <v>345.86</v>
      </c>
      <c r="G1544">
        <v>314.86</v>
      </c>
      <c r="H1544">
        <v>345.86</v>
      </c>
      <c r="I1544">
        <v>3819</v>
      </c>
      <c r="J1544">
        <v>23</v>
      </c>
      <c r="K1544" s="17">
        <f t="shared" si="193"/>
        <v>2927.9</v>
      </c>
      <c r="L1544" t="str">
        <f t="shared" si="194"/>
        <v>High Risk</v>
      </c>
      <c r="P1544" s="19">
        <f t="shared" si="195"/>
        <v>406</v>
      </c>
      <c r="R1544" s="19">
        <f t="shared" si="192"/>
        <v>140419.16</v>
      </c>
      <c r="T1544" s="19">
        <f t="shared" si="196"/>
        <v>1202450.3400000001</v>
      </c>
      <c r="U1544" s="19">
        <f t="shared" si="197"/>
        <v>1320839.3400000001</v>
      </c>
      <c r="V1544" s="21">
        <f t="shared" si="198"/>
        <v>118389</v>
      </c>
      <c r="W1544" s="18">
        <f t="shared" si="199"/>
        <v>9.8456456837959727E-2</v>
      </c>
    </row>
    <row r="1545" spans="1:23" x14ac:dyDescent="0.3">
      <c r="A1545" t="s">
        <v>605</v>
      </c>
      <c r="B1545" t="s">
        <v>606</v>
      </c>
      <c r="C1545" t="s">
        <v>16</v>
      </c>
      <c r="D1545" t="s">
        <v>13</v>
      </c>
      <c r="E1545">
        <v>2523</v>
      </c>
      <c r="F1545">
        <v>306.77</v>
      </c>
      <c r="G1545">
        <v>280.20999999999998</v>
      </c>
      <c r="H1545">
        <v>306.77</v>
      </c>
      <c r="I1545">
        <v>3380</v>
      </c>
      <c r="J1545">
        <v>67</v>
      </c>
      <c r="K1545" s="17">
        <f t="shared" si="193"/>
        <v>7548.666666666667</v>
      </c>
      <c r="L1545" t="str">
        <f t="shared" si="194"/>
        <v>High Risk</v>
      </c>
      <c r="P1545" s="19">
        <f t="shared" si="195"/>
        <v>5026</v>
      </c>
      <c r="R1545" s="19">
        <f t="shared" si="192"/>
        <v>1541826.02</v>
      </c>
      <c r="T1545" s="19">
        <f t="shared" si="196"/>
        <v>947109.79999999993</v>
      </c>
      <c r="U1545" s="19">
        <f t="shared" si="197"/>
        <v>1036882.6</v>
      </c>
      <c r="V1545" s="21">
        <f t="shared" si="198"/>
        <v>89772.800000000047</v>
      </c>
      <c r="W1545" s="18">
        <f t="shared" si="199"/>
        <v>9.4786053317155047E-2</v>
      </c>
    </row>
    <row r="1546" spans="1:23" x14ac:dyDescent="0.3">
      <c r="A1546" t="s">
        <v>631</v>
      </c>
      <c r="B1546" t="s">
        <v>632</v>
      </c>
      <c r="C1546" t="s">
        <v>12</v>
      </c>
      <c r="D1546" t="s">
        <v>26</v>
      </c>
      <c r="E1546">
        <v>2524</v>
      </c>
      <c r="F1546">
        <v>476.65</v>
      </c>
      <c r="G1546">
        <v>440.6</v>
      </c>
      <c r="H1546">
        <v>476.65</v>
      </c>
      <c r="I1546">
        <v>1773</v>
      </c>
      <c r="J1546">
        <v>85</v>
      </c>
      <c r="K1546" s="17">
        <f t="shared" si="193"/>
        <v>5023.5</v>
      </c>
      <c r="L1546" t="str">
        <f t="shared" si="194"/>
        <v>High Risk</v>
      </c>
      <c r="P1546" s="19">
        <f t="shared" si="195"/>
        <v>2500</v>
      </c>
      <c r="R1546" s="19">
        <f t="shared" si="192"/>
        <v>1191625</v>
      </c>
      <c r="T1546" s="19">
        <f t="shared" si="196"/>
        <v>781183.8</v>
      </c>
      <c r="U1546" s="19">
        <f t="shared" si="197"/>
        <v>845100.45</v>
      </c>
      <c r="V1546" s="21">
        <f t="shared" si="198"/>
        <v>63916.649999999907</v>
      </c>
      <c r="W1546" s="18">
        <f t="shared" si="199"/>
        <v>8.1820245120290389E-2</v>
      </c>
    </row>
    <row r="1547" spans="1:23" x14ac:dyDescent="0.3">
      <c r="A1547" t="s">
        <v>453</v>
      </c>
      <c r="B1547" t="s">
        <v>2789</v>
      </c>
      <c r="C1547" t="s">
        <v>16</v>
      </c>
      <c r="D1547" t="s">
        <v>13</v>
      </c>
      <c r="E1547">
        <v>2528</v>
      </c>
      <c r="F1547">
        <v>158.44999999999999</v>
      </c>
      <c r="G1547">
        <v>145.25</v>
      </c>
      <c r="H1547">
        <v>158.44999999999999</v>
      </c>
      <c r="I1547">
        <v>2763</v>
      </c>
      <c r="J1547">
        <v>84</v>
      </c>
      <c r="K1547" s="17">
        <f t="shared" si="193"/>
        <v>7736.4</v>
      </c>
      <c r="L1547" t="str">
        <f t="shared" si="194"/>
        <v>High Risk</v>
      </c>
      <c r="P1547" s="19">
        <f t="shared" si="195"/>
        <v>5209</v>
      </c>
      <c r="R1547" s="19">
        <f t="shared" si="192"/>
        <v>825366.04999999993</v>
      </c>
      <c r="T1547" s="19">
        <f t="shared" si="196"/>
        <v>401325.75</v>
      </c>
      <c r="U1547" s="19">
        <f t="shared" si="197"/>
        <v>437797.35</v>
      </c>
      <c r="V1547" s="21">
        <f t="shared" si="198"/>
        <v>36471.599999999977</v>
      </c>
      <c r="W1547" s="18">
        <f t="shared" si="199"/>
        <v>9.0877796901893224E-2</v>
      </c>
    </row>
    <row r="1548" spans="1:23" x14ac:dyDescent="0.3">
      <c r="A1548" t="s">
        <v>424</v>
      </c>
      <c r="B1548" t="s">
        <v>2974</v>
      </c>
      <c r="C1548" t="s">
        <v>23</v>
      </c>
      <c r="D1548" t="s">
        <v>17</v>
      </c>
      <c r="E1548">
        <v>2528</v>
      </c>
      <c r="F1548">
        <v>89.86</v>
      </c>
      <c r="G1548">
        <v>79.84</v>
      </c>
      <c r="H1548">
        <v>89.86</v>
      </c>
      <c r="I1548">
        <v>1282</v>
      </c>
      <c r="J1548">
        <v>7</v>
      </c>
      <c r="K1548" s="17">
        <f t="shared" si="193"/>
        <v>299.13333333333333</v>
      </c>
      <c r="L1548" t="str">
        <f t="shared" si="194"/>
        <v>Sufficuent Stock</v>
      </c>
      <c r="P1548" s="19">
        <f t="shared" si="195"/>
        <v>0</v>
      </c>
      <c r="R1548" s="19">
        <f t="shared" si="192"/>
        <v>0</v>
      </c>
      <c r="T1548" s="19">
        <f t="shared" si="196"/>
        <v>102354.88</v>
      </c>
      <c r="U1548" s="19">
        <f t="shared" si="197"/>
        <v>115200.52</v>
      </c>
      <c r="V1548" s="21">
        <f t="shared" si="198"/>
        <v>12845.64</v>
      </c>
      <c r="W1548" s="18">
        <f t="shared" si="199"/>
        <v>0.12550100200400802</v>
      </c>
    </row>
    <row r="1549" spans="1:23" x14ac:dyDescent="0.3">
      <c r="A1549" t="s">
        <v>709</v>
      </c>
      <c r="B1549" t="s">
        <v>2866</v>
      </c>
      <c r="C1549" t="s">
        <v>23</v>
      </c>
      <c r="D1549" t="s">
        <v>20</v>
      </c>
      <c r="E1549">
        <v>2528</v>
      </c>
      <c r="F1549">
        <v>163.37</v>
      </c>
      <c r="G1549">
        <v>149.4</v>
      </c>
      <c r="H1549">
        <v>163.37</v>
      </c>
      <c r="I1549">
        <v>3916</v>
      </c>
      <c r="J1549">
        <v>90</v>
      </c>
      <c r="K1549" s="17">
        <f t="shared" si="193"/>
        <v>11748</v>
      </c>
      <c r="L1549" t="str">
        <f t="shared" si="194"/>
        <v>High Risk</v>
      </c>
      <c r="P1549" s="19">
        <f t="shared" si="195"/>
        <v>9220</v>
      </c>
      <c r="R1549" s="19">
        <f t="shared" si="192"/>
        <v>1506271.4000000001</v>
      </c>
      <c r="T1549" s="19">
        <f t="shared" si="196"/>
        <v>585050.4</v>
      </c>
      <c r="U1549" s="19">
        <f t="shared" si="197"/>
        <v>639756.92000000004</v>
      </c>
      <c r="V1549" s="21">
        <f t="shared" si="198"/>
        <v>54706.520000000019</v>
      </c>
      <c r="W1549" s="18">
        <f t="shared" si="199"/>
        <v>9.3507362784471248E-2</v>
      </c>
    </row>
    <row r="1550" spans="1:23" x14ac:dyDescent="0.3">
      <c r="A1550" t="s">
        <v>374</v>
      </c>
      <c r="B1550" t="s">
        <v>2750</v>
      </c>
      <c r="C1550" t="s">
        <v>50</v>
      </c>
      <c r="D1550" t="s">
        <v>26</v>
      </c>
      <c r="E1550">
        <v>2530</v>
      </c>
      <c r="F1550">
        <v>77.5</v>
      </c>
      <c r="G1550">
        <v>65.31</v>
      </c>
      <c r="H1550">
        <v>77.5</v>
      </c>
      <c r="I1550">
        <v>1289</v>
      </c>
      <c r="J1550">
        <v>48</v>
      </c>
      <c r="K1550" s="17">
        <f t="shared" si="193"/>
        <v>2062.4</v>
      </c>
      <c r="L1550" t="str">
        <f t="shared" si="194"/>
        <v>Sufficuent Stock</v>
      </c>
      <c r="P1550" s="19">
        <f t="shared" si="195"/>
        <v>0</v>
      </c>
      <c r="R1550" s="19">
        <f t="shared" si="192"/>
        <v>0</v>
      </c>
      <c r="T1550" s="19">
        <f t="shared" si="196"/>
        <v>84184.59</v>
      </c>
      <c r="U1550" s="19">
        <f t="shared" si="197"/>
        <v>99897.5</v>
      </c>
      <c r="V1550" s="21">
        <f t="shared" si="198"/>
        <v>15712.910000000003</v>
      </c>
      <c r="W1550" s="18">
        <f t="shared" si="199"/>
        <v>0.18664829275761757</v>
      </c>
    </row>
    <row r="1551" spans="1:23" x14ac:dyDescent="0.3">
      <c r="A1551" t="s">
        <v>857</v>
      </c>
      <c r="B1551" t="s">
        <v>2640</v>
      </c>
      <c r="C1551" t="s">
        <v>16</v>
      </c>
      <c r="D1551" t="s">
        <v>13</v>
      </c>
      <c r="E1551">
        <v>2532</v>
      </c>
      <c r="F1551">
        <v>510.24</v>
      </c>
      <c r="G1551">
        <v>497.59</v>
      </c>
      <c r="H1551">
        <v>510.24</v>
      </c>
      <c r="I1551">
        <v>3779</v>
      </c>
      <c r="J1551">
        <v>62</v>
      </c>
      <c r="K1551" s="17">
        <f t="shared" si="193"/>
        <v>7809.9333333333334</v>
      </c>
      <c r="L1551" t="str">
        <f t="shared" si="194"/>
        <v>High Risk</v>
      </c>
      <c r="P1551" s="19">
        <f t="shared" si="195"/>
        <v>5278</v>
      </c>
      <c r="R1551" s="19">
        <f t="shared" si="192"/>
        <v>2693046.72</v>
      </c>
      <c r="T1551" s="19">
        <f t="shared" si="196"/>
        <v>1880392.6099999999</v>
      </c>
      <c r="U1551" s="19">
        <f t="shared" si="197"/>
        <v>1928196.96</v>
      </c>
      <c r="V1551" s="21">
        <f t="shared" si="198"/>
        <v>47804.350000000093</v>
      </c>
      <c r="W1551" s="18">
        <f t="shared" si="199"/>
        <v>2.5422536626539975E-2</v>
      </c>
    </row>
    <row r="1552" spans="1:23" x14ac:dyDescent="0.3">
      <c r="A1552" t="s">
        <v>365</v>
      </c>
      <c r="B1552" t="s">
        <v>2010</v>
      </c>
      <c r="C1552" t="s">
        <v>12</v>
      </c>
      <c r="D1552" t="s">
        <v>17</v>
      </c>
      <c r="E1552">
        <v>2533</v>
      </c>
      <c r="F1552">
        <v>76.849999999999994</v>
      </c>
      <c r="G1552">
        <v>67.72</v>
      </c>
      <c r="H1552">
        <v>76.849999999999994</v>
      </c>
      <c r="I1552">
        <v>2460</v>
      </c>
      <c r="J1552">
        <v>78</v>
      </c>
      <c r="K1552" s="17">
        <f t="shared" si="193"/>
        <v>6396</v>
      </c>
      <c r="L1552" t="str">
        <f t="shared" si="194"/>
        <v>High Risk</v>
      </c>
      <c r="P1552" s="19">
        <f t="shared" si="195"/>
        <v>3863</v>
      </c>
      <c r="R1552" s="19">
        <f t="shared" si="192"/>
        <v>296871.55</v>
      </c>
      <c r="T1552" s="19">
        <f t="shared" si="196"/>
        <v>166591.20000000001</v>
      </c>
      <c r="U1552" s="19">
        <f t="shared" si="197"/>
        <v>189051</v>
      </c>
      <c r="V1552" s="21">
        <f t="shared" si="198"/>
        <v>22459.799999999988</v>
      </c>
      <c r="W1552" s="18">
        <f t="shared" si="199"/>
        <v>0.13481984642646183</v>
      </c>
    </row>
    <row r="1553" spans="1:23" x14ac:dyDescent="0.3">
      <c r="A1553" t="s">
        <v>283</v>
      </c>
      <c r="B1553" t="s">
        <v>284</v>
      </c>
      <c r="C1553" t="s">
        <v>37</v>
      </c>
      <c r="D1553" t="s">
        <v>17</v>
      </c>
      <c r="E1553">
        <v>2533</v>
      </c>
      <c r="F1553">
        <v>259.58999999999997</v>
      </c>
      <c r="G1553">
        <v>225.65</v>
      </c>
      <c r="H1553">
        <v>259.58999999999997</v>
      </c>
      <c r="I1553">
        <v>2607</v>
      </c>
      <c r="J1553">
        <v>71</v>
      </c>
      <c r="K1553" s="17">
        <f t="shared" si="193"/>
        <v>6169.9000000000005</v>
      </c>
      <c r="L1553" t="str">
        <f t="shared" si="194"/>
        <v>High Risk</v>
      </c>
      <c r="P1553" s="19">
        <f t="shared" si="195"/>
        <v>3637</v>
      </c>
      <c r="R1553" s="19">
        <f t="shared" si="192"/>
        <v>944128.83</v>
      </c>
      <c r="T1553" s="19">
        <f t="shared" si="196"/>
        <v>588269.55000000005</v>
      </c>
      <c r="U1553" s="19">
        <f t="shared" si="197"/>
        <v>676751.12999999989</v>
      </c>
      <c r="V1553" s="21">
        <f t="shared" si="198"/>
        <v>88481.579999999842</v>
      </c>
      <c r="W1553" s="18">
        <f t="shared" si="199"/>
        <v>0.150409926877908</v>
      </c>
    </row>
    <row r="1554" spans="1:23" x14ac:dyDescent="0.3">
      <c r="A1554" t="s">
        <v>833</v>
      </c>
      <c r="B1554" t="s">
        <v>1687</v>
      </c>
      <c r="C1554" t="s">
        <v>23</v>
      </c>
      <c r="D1554" t="s">
        <v>20</v>
      </c>
      <c r="E1554">
        <v>2534</v>
      </c>
      <c r="F1554">
        <v>78.23</v>
      </c>
      <c r="G1554">
        <v>85.31</v>
      </c>
      <c r="H1554">
        <v>78.23</v>
      </c>
      <c r="I1554">
        <v>124</v>
      </c>
      <c r="J1554">
        <v>87</v>
      </c>
      <c r="K1554" s="17">
        <f t="shared" si="193"/>
        <v>359.6</v>
      </c>
      <c r="L1554" t="str">
        <f t="shared" si="194"/>
        <v>Sufficuent Stock</v>
      </c>
      <c r="P1554" s="19">
        <f t="shared" si="195"/>
        <v>0</v>
      </c>
      <c r="R1554" s="19">
        <f t="shared" si="192"/>
        <v>0</v>
      </c>
      <c r="T1554" s="19">
        <f t="shared" si="196"/>
        <v>10578.44</v>
      </c>
      <c r="U1554" s="19">
        <f t="shared" si="197"/>
        <v>9700.52</v>
      </c>
      <c r="V1554" s="21">
        <f t="shared" si="198"/>
        <v>-877.92000000000007</v>
      </c>
      <c r="W1554" s="18">
        <f t="shared" si="199"/>
        <v>-8.2991442972687846E-2</v>
      </c>
    </row>
    <row r="1555" spans="1:23" x14ac:dyDescent="0.3">
      <c r="A1555" t="s">
        <v>1002</v>
      </c>
      <c r="B1555" t="s">
        <v>2705</v>
      </c>
      <c r="C1555" t="s">
        <v>12</v>
      </c>
      <c r="D1555" t="s">
        <v>13</v>
      </c>
      <c r="E1555">
        <v>2534</v>
      </c>
      <c r="F1555">
        <v>87.84</v>
      </c>
      <c r="G1555">
        <v>85.58</v>
      </c>
      <c r="H1555">
        <v>87.84</v>
      </c>
      <c r="I1555">
        <v>1818</v>
      </c>
      <c r="J1555">
        <v>61</v>
      </c>
      <c r="K1555" s="17">
        <f t="shared" si="193"/>
        <v>3696.6</v>
      </c>
      <c r="L1555" t="str">
        <f t="shared" si="194"/>
        <v>High Risk</v>
      </c>
      <c r="P1555" s="19">
        <f t="shared" si="195"/>
        <v>1163</v>
      </c>
      <c r="R1555" s="19">
        <f t="shared" si="192"/>
        <v>102157.92</v>
      </c>
      <c r="T1555" s="19">
        <f t="shared" si="196"/>
        <v>155584.44</v>
      </c>
      <c r="U1555" s="19">
        <f t="shared" si="197"/>
        <v>159693.12</v>
      </c>
      <c r="V1555" s="21">
        <f t="shared" si="198"/>
        <v>4108.679999999993</v>
      </c>
      <c r="W1555" s="18">
        <f t="shared" si="199"/>
        <v>2.6408039261509652E-2</v>
      </c>
    </row>
    <row r="1556" spans="1:23" x14ac:dyDescent="0.3">
      <c r="A1556" t="s">
        <v>1276</v>
      </c>
      <c r="B1556" t="s">
        <v>2135</v>
      </c>
      <c r="C1556" t="s">
        <v>16</v>
      </c>
      <c r="D1556" t="s">
        <v>26</v>
      </c>
      <c r="E1556">
        <v>2536</v>
      </c>
      <c r="F1556">
        <v>168.22</v>
      </c>
      <c r="G1556">
        <v>169.43</v>
      </c>
      <c r="H1556">
        <v>168.22</v>
      </c>
      <c r="I1556">
        <v>3109</v>
      </c>
      <c r="J1556">
        <v>13</v>
      </c>
      <c r="K1556" s="17">
        <f t="shared" si="193"/>
        <v>1347.2333333333333</v>
      </c>
      <c r="L1556" t="str">
        <f t="shared" si="194"/>
        <v>Sufficuent Stock</v>
      </c>
      <c r="P1556" s="19">
        <f t="shared" si="195"/>
        <v>0</v>
      </c>
      <c r="R1556" s="19">
        <f t="shared" si="192"/>
        <v>0</v>
      </c>
      <c r="T1556" s="19">
        <f t="shared" si="196"/>
        <v>526757.87</v>
      </c>
      <c r="U1556" s="19">
        <f t="shared" si="197"/>
        <v>522995.98</v>
      </c>
      <c r="V1556" s="21">
        <f t="shared" si="198"/>
        <v>-3761.890000000014</v>
      </c>
      <c r="W1556" s="18">
        <f t="shared" si="199"/>
        <v>-7.141592398040515E-3</v>
      </c>
    </row>
    <row r="1557" spans="1:23" x14ac:dyDescent="0.3">
      <c r="A1557" t="s">
        <v>1445</v>
      </c>
      <c r="B1557" t="s">
        <v>2615</v>
      </c>
      <c r="C1557" t="s">
        <v>23</v>
      </c>
      <c r="D1557" t="s">
        <v>26</v>
      </c>
      <c r="E1557">
        <v>2538</v>
      </c>
      <c r="F1557">
        <v>277.27</v>
      </c>
      <c r="G1557">
        <v>235.97</v>
      </c>
      <c r="H1557">
        <v>277.27</v>
      </c>
      <c r="I1557">
        <v>3561</v>
      </c>
      <c r="J1557">
        <v>81</v>
      </c>
      <c r="K1557" s="17">
        <f t="shared" si="193"/>
        <v>9614.7000000000007</v>
      </c>
      <c r="L1557" t="str">
        <f t="shared" si="194"/>
        <v>High Risk</v>
      </c>
      <c r="P1557" s="19">
        <f t="shared" si="195"/>
        <v>7077</v>
      </c>
      <c r="R1557" s="19">
        <f t="shared" si="192"/>
        <v>1962239.7899999998</v>
      </c>
      <c r="T1557" s="19">
        <f t="shared" si="196"/>
        <v>840289.17</v>
      </c>
      <c r="U1557" s="19">
        <f t="shared" si="197"/>
        <v>987358.47</v>
      </c>
      <c r="V1557" s="21">
        <f t="shared" si="198"/>
        <v>147069.29999999993</v>
      </c>
      <c r="W1557" s="18">
        <f t="shared" si="199"/>
        <v>0.1750222485909225</v>
      </c>
    </row>
    <row r="1558" spans="1:23" x14ac:dyDescent="0.3">
      <c r="A1558" t="s">
        <v>35</v>
      </c>
      <c r="B1558" t="s">
        <v>2611</v>
      </c>
      <c r="C1558" t="s">
        <v>16</v>
      </c>
      <c r="D1558" t="s">
        <v>17</v>
      </c>
      <c r="E1558">
        <v>2538</v>
      </c>
      <c r="F1558">
        <v>118.68</v>
      </c>
      <c r="G1558">
        <v>111.71</v>
      </c>
      <c r="H1558">
        <v>118.68</v>
      </c>
      <c r="I1558">
        <v>3487</v>
      </c>
      <c r="J1558">
        <v>26</v>
      </c>
      <c r="K1558" s="17">
        <f t="shared" si="193"/>
        <v>3022.0666666666666</v>
      </c>
      <c r="L1558" t="str">
        <f t="shared" si="194"/>
        <v>High Risk</v>
      </c>
      <c r="P1558" s="19">
        <f t="shared" si="195"/>
        <v>485</v>
      </c>
      <c r="R1558" s="19">
        <f t="shared" si="192"/>
        <v>57559.8</v>
      </c>
      <c r="T1558" s="19">
        <f t="shared" si="196"/>
        <v>389532.76999999996</v>
      </c>
      <c r="U1558" s="19">
        <f t="shared" si="197"/>
        <v>413837.16000000003</v>
      </c>
      <c r="V1558" s="21">
        <f t="shared" si="198"/>
        <v>24304.390000000072</v>
      </c>
      <c r="W1558" s="18">
        <f t="shared" si="199"/>
        <v>6.2393697967952924E-2</v>
      </c>
    </row>
    <row r="1559" spans="1:23" x14ac:dyDescent="0.3">
      <c r="A1559" t="s">
        <v>909</v>
      </c>
      <c r="B1559" t="s">
        <v>910</v>
      </c>
      <c r="C1559" t="s">
        <v>50</v>
      </c>
      <c r="D1559" t="s">
        <v>20</v>
      </c>
      <c r="E1559">
        <v>2539</v>
      </c>
      <c r="F1559">
        <v>515.39</v>
      </c>
      <c r="G1559">
        <v>494.98</v>
      </c>
      <c r="H1559">
        <v>515.39</v>
      </c>
      <c r="I1559">
        <v>371</v>
      </c>
      <c r="J1559">
        <v>42</v>
      </c>
      <c r="K1559" s="17">
        <f t="shared" si="193"/>
        <v>519.4</v>
      </c>
      <c r="L1559" t="str">
        <f t="shared" si="194"/>
        <v>Sufficuent Stock</v>
      </c>
      <c r="P1559" s="19">
        <f t="shared" si="195"/>
        <v>0</v>
      </c>
      <c r="R1559" s="19">
        <f t="shared" si="192"/>
        <v>0</v>
      </c>
      <c r="T1559" s="19">
        <f t="shared" si="196"/>
        <v>183637.58000000002</v>
      </c>
      <c r="U1559" s="19">
        <f t="shared" si="197"/>
        <v>191209.69</v>
      </c>
      <c r="V1559" s="21">
        <f t="shared" si="198"/>
        <v>7572.109999999986</v>
      </c>
      <c r="W1559" s="18">
        <f t="shared" si="199"/>
        <v>4.1233989252090916E-2</v>
      </c>
    </row>
    <row r="1560" spans="1:23" x14ac:dyDescent="0.3">
      <c r="A1560" t="s">
        <v>374</v>
      </c>
      <c r="B1560" t="s">
        <v>3278</v>
      </c>
      <c r="C1560" t="s">
        <v>50</v>
      </c>
      <c r="D1560" t="s">
        <v>13</v>
      </c>
      <c r="E1560">
        <v>2539</v>
      </c>
      <c r="F1560">
        <v>50.68</v>
      </c>
      <c r="G1560">
        <v>53.51</v>
      </c>
      <c r="H1560">
        <v>50.68</v>
      </c>
      <c r="I1560">
        <v>1708</v>
      </c>
      <c r="J1560">
        <v>50</v>
      </c>
      <c r="K1560" s="17">
        <f t="shared" si="193"/>
        <v>2846.6666666666665</v>
      </c>
      <c r="L1560" t="str">
        <f t="shared" si="194"/>
        <v>High Risk</v>
      </c>
      <c r="P1560" s="19">
        <f t="shared" si="195"/>
        <v>308</v>
      </c>
      <c r="R1560" s="19">
        <f t="shared" si="192"/>
        <v>15609.44</v>
      </c>
      <c r="T1560" s="19">
        <f t="shared" si="196"/>
        <v>91395.08</v>
      </c>
      <c r="U1560" s="19">
        <f t="shared" si="197"/>
        <v>86561.44</v>
      </c>
      <c r="V1560" s="21">
        <f t="shared" si="198"/>
        <v>-4833.6399999999994</v>
      </c>
      <c r="W1560" s="18">
        <f t="shared" si="199"/>
        <v>-5.2887310783031202E-2</v>
      </c>
    </row>
    <row r="1561" spans="1:23" x14ac:dyDescent="0.3">
      <c r="A1561" t="s">
        <v>952</v>
      </c>
      <c r="B1561" t="s">
        <v>1189</v>
      </c>
      <c r="C1561" t="s">
        <v>23</v>
      </c>
      <c r="D1561" t="s">
        <v>69</v>
      </c>
      <c r="E1561">
        <v>2539</v>
      </c>
      <c r="F1561">
        <v>468.68</v>
      </c>
      <c r="G1561">
        <v>461.3</v>
      </c>
      <c r="H1561">
        <v>468.68</v>
      </c>
      <c r="I1561">
        <v>3002</v>
      </c>
      <c r="J1561">
        <v>31</v>
      </c>
      <c r="K1561" s="17">
        <f t="shared" si="193"/>
        <v>3102.0666666666666</v>
      </c>
      <c r="L1561" t="str">
        <f t="shared" si="194"/>
        <v>High Risk</v>
      </c>
      <c r="P1561" s="19">
        <f t="shared" si="195"/>
        <v>564</v>
      </c>
      <c r="R1561" s="19">
        <f t="shared" si="192"/>
        <v>264335.52</v>
      </c>
      <c r="T1561" s="19">
        <f t="shared" si="196"/>
        <v>1384822.6</v>
      </c>
      <c r="U1561" s="19">
        <f t="shared" si="197"/>
        <v>1406977.36</v>
      </c>
      <c r="V1561" s="21">
        <f t="shared" si="198"/>
        <v>22154.760000000009</v>
      </c>
      <c r="W1561" s="18">
        <f t="shared" si="199"/>
        <v>1.5998265770648175E-2</v>
      </c>
    </row>
    <row r="1562" spans="1:23" x14ac:dyDescent="0.3">
      <c r="A1562" t="s">
        <v>546</v>
      </c>
      <c r="B1562" t="s">
        <v>1249</v>
      </c>
      <c r="C1562" t="s">
        <v>50</v>
      </c>
      <c r="D1562" t="s">
        <v>69</v>
      </c>
      <c r="E1562">
        <v>2540</v>
      </c>
      <c r="F1562">
        <v>475.26</v>
      </c>
      <c r="G1562">
        <v>445.52</v>
      </c>
      <c r="H1562">
        <v>475.26</v>
      </c>
      <c r="I1562">
        <v>1017</v>
      </c>
      <c r="J1562">
        <v>22</v>
      </c>
      <c r="K1562" s="17">
        <f t="shared" si="193"/>
        <v>745.8</v>
      </c>
      <c r="L1562" t="str">
        <f t="shared" si="194"/>
        <v>Sufficuent Stock</v>
      </c>
      <c r="P1562" s="19">
        <f t="shared" si="195"/>
        <v>0</v>
      </c>
      <c r="R1562" s="19">
        <f t="shared" si="192"/>
        <v>0</v>
      </c>
      <c r="T1562" s="19">
        <f t="shared" si="196"/>
        <v>453093.83999999997</v>
      </c>
      <c r="U1562" s="19">
        <f t="shared" si="197"/>
        <v>483339.42</v>
      </c>
      <c r="V1562" s="21">
        <f t="shared" si="198"/>
        <v>30245.580000000016</v>
      </c>
      <c r="W1562" s="18">
        <f t="shared" si="199"/>
        <v>6.6753456634943475E-2</v>
      </c>
    </row>
    <row r="1563" spans="1:23" x14ac:dyDescent="0.3">
      <c r="A1563" t="s">
        <v>46</v>
      </c>
      <c r="B1563" t="s">
        <v>2916</v>
      </c>
      <c r="C1563" t="s">
        <v>16</v>
      </c>
      <c r="D1563" t="s">
        <v>26</v>
      </c>
      <c r="E1563">
        <v>2541</v>
      </c>
      <c r="F1563">
        <v>148.99</v>
      </c>
      <c r="G1563">
        <v>154.11000000000001</v>
      </c>
      <c r="H1563">
        <v>148.99</v>
      </c>
      <c r="I1563">
        <v>1473</v>
      </c>
      <c r="J1563">
        <v>19</v>
      </c>
      <c r="K1563" s="17">
        <f t="shared" si="193"/>
        <v>932.9</v>
      </c>
      <c r="L1563" t="str">
        <f t="shared" si="194"/>
        <v>Sufficuent Stock</v>
      </c>
      <c r="P1563" s="19">
        <f t="shared" si="195"/>
        <v>0</v>
      </c>
      <c r="R1563" s="19">
        <f t="shared" si="192"/>
        <v>0</v>
      </c>
      <c r="T1563" s="19">
        <f t="shared" si="196"/>
        <v>227004.03000000003</v>
      </c>
      <c r="U1563" s="19">
        <f t="shared" si="197"/>
        <v>219462.27000000002</v>
      </c>
      <c r="V1563" s="21">
        <f t="shared" si="198"/>
        <v>-7541.7600000000093</v>
      </c>
      <c r="W1563" s="18">
        <f t="shared" si="199"/>
        <v>-3.322302251638444E-2</v>
      </c>
    </row>
    <row r="1564" spans="1:23" x14ac:dyDescent="0.3">
      <c r="A1564" t="s">
        <v>1158</v>
      </c>
      <c r="B1564" t="s">
        <v>1350</v>
      </c>
      <c r="C1564" t="s">
        <v>37</v>
      </c>
      <c r="D1564" t="s">
        <v>20</v>
      </c>
      <c r="E1564">
        <v>2542</v>
      </c>
      <c r="F1564">
        <v>493.26</v>
      </c>
      <c r="G1564">
        <v>459.32</v>
      </c>
      <c r="H1564">
        <v>493.26</v>
      </c>
      <c r="I1564">
        <v>3380</v>
      </c>
      <c r="J1564">
        <v>15</v>
      </c>
      <c r="K1564" s="17">
        <f t="shared" si="193"/>
        <v>1690</v>
      </c>
      <c r="L1564" t="str">
        <f t="shared" si="194"/>
        <v>Sufficuent Stock</v>
      </c>
      <c r="P1564" s="19">
        <f t="shared" si="195"/>
        <v>0</v>
      </c>
      <c r="R1564" s="19">
        <f t="shared" si="192"/>
        <v>0</v>
      </c>
      <c r="T1564" s="19">
        <f t="shared" si="196"/>
        <v>1552501.6</v>
      </c>
      <c r="U1564" s="19">
        <f t="shared" si="197"/>
        <v>1667218.8</v>
      </c>
      <c r="V1564" s="21">
        <f t="shared" si="198"/>
        <v>114717.19999999995</v>
      </c>
      <c r="W1564" s="18">
        <f t="shared" si="199"/>
        <v>7.3891840111469098E-2</v>
      </c>
    </row>
    <row r="1565" spans="1:23" x14ac:dyDescent="0.3">
      <c r="A1565" t="s">
        <v>1445</v>
      </c>
      <c r="B1565" t="s">
        <v>2949</v>
      </c>
      <c r="C1565" t="s">
        <v>23</v>
      </c>
      <c r="D1565" t="s">
        <v>69</v>
      </c>
      <c r="E1565">
        <v>2543</v>
      </c>
      <c r="F1565">
        <v>536.29999999999995</v>
      </c>
      <c r="G1565">
        <v>450.93</v>
      </c>
      <c r="H1565">
        <v>536.29999999999995</v>
      </c>
      <c r="I1565">
        <v>612</v>
      </c>
      <c r="J1565">
        <v>42</v>
      </c>
      <c r="K1565" s="17">
        <f t="shared" si="193"/>
        <v>856.8</v>
      </c>
      <c r="L1565" t="str">
        <f t="shared" si="194"/>
        <v>Sufficuent Stock</v>
      </c>
      <c r="P1565" s="19">
        <f t="shared" si="195"/>
        <v>0</v>
      </c>
      <c r="R1565" s="19">
        <f t="shared" si="192"/>
        <v>0</v>
      </c>
      <c r="T1565" s="19">
        <f t="shared" si="196"/>
        <v>275969.16000000003</v>
      </c>
      <c r="U1565" s="19">
        <f t="shared" si="197"/>
        <v>328215.59999999998</v>
      </c>
      <c r="V1565" s="21">
        <f t="shared" si="198"/>
        <v>52246.439999999944</v>
      </c>
      <c r="W1565" s="18">
        <f t="shared" si="199"/>
        <v>0.18931985008759653</v>
      </c>
    </row>
    <row r="1566" spans="1:23" x14ac:dyDescent="0.3">
      <c r="A1566" t="s">
        <v>31</v>
      </c>
      <c r="B1566" t="s">
        <v>913</v>
      </c>
      <c r="C1566" t="s">
        <v>23</v>
      </c>
      <c r="D1566" t="s">
        <v>26</v>
      </c>
      <c r="E1566">
        <v>2551</v>
      </c>
      <c r="F1566">
        <v>373.87</v>
      </c>
      <c r="G1566">
        <v>390.49</v>
      </c>
      <c r="H1566">
        <v>373.87</v>
      </c>
      <c r="I1566">
        <v>3016</v>
      </c>
      <c r="J1566">
        <v>12</v>
      </c>
      <c r="K1566" s="17">
        <f t="shared" si="193"/>
        <v>1206.4000000000001</v>
      </c>
      <c r="L1566" t="str">
        <f t="shared" si="194"/>
        <v>Sufficuent Stock</v>
      </c>
      <c r="P1566" s="19">
        <f t="shared" si="195"/>
        <v>0</v>
      </c>
      <c r="R1566" s="19">
        <f t="shared" si="192"/>
        <v>0</v>
      </c>
      <c r="T1566" s="19">
        <f t="shared" si="196"/>
        <v>1177717.8400000001</v>
      </c>
      <c r="U1566" s="19">
        <f t="shared" si="197"/>
        <v>1127591.92</v>
      </c>
      <c r="V1566" s="21">
        <f t="shared" si="198"/>
        <v>-50125.920000000158</v>
      </c>
      <c r="W1566" s="18">
        <f t="shared" si="199"/>
        <v>-4.2561909395887353E-2</v>
      </c>
    </row>
    <row r="1567" spans="1:23" x14ac:dyDescent="0.3">
      <c r="A1567" t="s">
        <v>323</v>
      </c>
      <c r="B1567" t="s">
        <v>2181</v>
      </c>
      <c r="C1567" t="s">
        <v>23</v>
      </c>
      <c r="D1567" t="s">
        <v>26</v>
      </c>
      <c r="E1567">
        <v>2560</v>
      </c>
      <c r="F1567">
        <v>346.68</v>
      </c>
      <c r="G1567">
        <v>296.39999999999998</v>
      </c>
      <c r="H1567">
        <v>346.68</v>
      </c>
      <c r="I1567">
        <v>1059</v>
      </c>
      <c r="J1567">
        <v>69</v>
      </c>
      <c r="K1567" s="17">
        <f t="shared" si="193"/>
        <v>2435.6999999999998</v>
      </c>
      <c r="L1567" t="str">
        <f t="shared" si="194"/>
        <v>Sufficuent Stock</v>
      </c>
      <c r="P1567" s="19">
        <f t="shared" si="195"/>
        <v>0</v>
      </c>
      <c r="R1567" s="19">
        <f t="shared" si="192"/>
        <v>0</v>
      </c>
      <c r="T1567" s="19">
        <f t="shared" si="196"/>
        <v>313887.59999999998</v>
      </c>
      <c r="U1567" s="19">
        <f t="shared" si="197"/>
        <v>367134.12</v>
      </c>
      <c r="V1567" s="21">
        <f t="shared" si="198"/>
        <v>53246.520000000019</v>
      </c>
      <c r="W1567" s="18">
        <f t="shared" si="199"/>
        <v>0.16963562753036446</v>
      </c>
    </row>
    <row r="1568" spans="1:23" x14ac:dyDescent="0.3">
      <c r="A1568" t="s">
        <v>84</v>
      </c>
      <c r="B1568" t="s">
        <v>1515</v>
      </c>
      <c r="C1568" t="s">
        <v>23</v>
      </c>
      <c r="D1568" t="s">
        <v>26</v>
      </c>
      <c r="E1568">
        <v>2561</v>
      </c>
      <c r="F1568">
        <v>590.30999999999995</v>
      </c>
      <c r="G1568">
        <v>494.76</v>
      </c>
      <c r="H1568">
        <v>590.30999999999995</v>
      </c>
      <c r="I1568">
        <v>264</v>
      </c>
      <c r="J1568">
        <v>44</v>
      </c>
      <c r="K1568" s="17">
        <f t="shared" si="193"/>
        <v>387.20000000000005</v>
      </c>
      <c r="L1568" t="str">
        <f t="shared" si="194"/>
        <v>Sufficuent Stock</v>
      </c>
      <c r="P1568" s="19">
        <f t="shared" si="195"/>
        <v>0</v>
      </c>
      <c r="R1568" s="19">
        <f t="shared" si="192"/>
        <v>0</v>
      </c>
      <c r="T1568" s="19">
        <f t="shared" si="196"/>
        <v>130616.64</v>
      </c>
      <c r="U1568" s="19">
        <f t="shared" si="197"/>
        <v>155841.84</v>
      </c>
      <c r="V1568" s="21">
        <f t="shared" si="198"/>
        <v>25225.199999999997</v>
      </c>
      <c r="W1568" s="18">
        <f t="shared" si="199"/>
        <v>0.1931239388794567</v>
      </c>
    </row>
    <row r="1569" spans="1:23" x14ac:dyDescent="0.3">
      <c r="A1569" t="s">
        <v>1281</v>
      </c>
      <c r="B1569" t="s">
        <v>1569</v>
      </c>
      <c r="C1569" t="s">
        <v>16</v>
      </c>
      <c r="D1569" t="s">
        <v>20</v>
      </c>
      <c r="E1569">
        <v>2562</v>
      </c>
      <c r="F1569">
        <v>93.21</v>
      </c>
      <c r="G1569">
        <v>96.82</v>
      </c>
      <c r="H1569">
        <v>93.21</v>
      </c>
      <c r="I1569">
        <v>1110</v>
      </c>
      <c r="J1569">
        <v>6</v>
      </c>
      <c r="K1569" s="17">
        <f t="shared" si="193"/>
        <v>222</v>
      </c>
      <c r="L1569" t="str">
        <f t="shared" si="194"/>
        <v>Sufficuent Stock</v>
      </c>
      <c r="P1569" s="19">
        <f t="shared" si="195"/>
        <v>0</v>
      </c>
      <c r="R1569" s="19">
        <f t="shared" si="192"/>
        <v>0</v>
      </c>
      <c r="T1569" s="19">
        <f t="shared" si="196"/>
        <v>107470.2</v>
      </c>
      <c r="U1569" s="19">
        <f t="shared" si="197"/>
        <v>103463.09999999999</v>
      </c>
      <c r="V1569" s="21">
        <f t="shared" si="198"/>
        <v>-4007.1000000000058</v>
      </c>
      <c r="W1569" s="18">
        <f t="shared" si="199"/>
        <v>-3.728568477587281E-2</v>
      </c>
    </row>
    <row r="1570" spans="1:23" x14ac:dyDescent="0.3">
      <c r="A1570" t="s">
        <v>173</v>
      </c>
      <c r="B1570" t="s">
        <v>2090</v>
      </c>
      <c r="C1570" t="s">
        <v>50</v>
      </c>
      <c r="D1570" t="s">
        <v>26</v>
      </c>
      <c r="E1570">
        <v>2563</v>
      </c>
      <c r="F1570">
        <v>205.69</v>
      </c>
      <c r="G1570">
        <v>219.7</v>
      </c>
      <c r="H1570">
        <v>205.69</v>
      </c>
      <c r="I1570">
        <v>3084</v>
      </c>
      <c r="J1570">
        <v>21</v>
      </c>
      <c r="K1570" s="17">
        <f t="shared" si="193"/>
        <v>2158.7999999999997</v>
      </c>
      <c r="L1570" t="str">
        <f t="shared" si="194"/>
        <v>Sufficuent Stock</v>
      </c>
      <c r="P1570" s="19">
        <f t="shared" si="195"/>
        <v>0</v>
      </c>
      <c r="R1570" s="19">
        <f t="shared" si="192"/>
        <v>0</v>
      </c>
      <c r="T1570" s="19">
        <f t="shared" si="196"/>
        <v>677554.79999999993</v>
      </c>
      <c r="U1570" s="19">
        <f t="shared" si="197"/>
        <v>634347.96</v>
      </c>
      <c r="V1570" s="21">
        <f t="shared" si="198"/>
        <v>-43206.839999999967</v>
      </c>
      <c r="W1570" s="18">
        <f t="shared" si="199"/>
        <v>-6.3768775603095088E-2</v>
      </c>
    </row>
    <row r="1571" spans="1:23" x14ac:dyDescent="0.3">
      <c r="A1571" t="s">
        <v>976</v>
      </c>
      <c r="B1571" t="s">
        <v>3193</v>
      </c>
      <c r="C1571" t="s">
        <v>12</v>
      </c>
      <c r="D1571" t="s">
        <v>20</v>
      </c>
      <c r="E1571">
        <v>2564</v>
      </c>
      <c r="F1571">
        <v>112.15</v>
      </c>
      <c r="G1571">
        <v>97.68</v>
      </c>
      <c r="H1571">
        <v>112.15</v>
      </c>
      <c r="I1571">
        <v>3778</v>
      </c>
      <c r="J1571">
        <v>49</v>
      </c>
      <c r="K1571" s="17">
        <f t="shared" si="193"/>
        <v>6170.7333333333336</v>
      </c>
      <c r="L1571" t="str">
        <f t="shared" si="194"/>
        <v>High Risk</v>
      </c>
      <c r="P1571" s="19">
        <f t="shared" si="195"/>
        <v>3607</v>
      </c>
      <c r="R1571" s="19">
        <f t="shared" si="192"/>
        <v>404525.05000000005</v>
      </c>
      <c r="T1571" s="19">
        <f t="shared" si="196"/>
        <v>369035.04000000004</v>
      </c>
      <c r="U1571" s="19">
        <f t="shared" si="197"/>
        <v>423702.7</v>
      </c>
      <c r="V1571" s="21">
        <f t="shared" si="198"/>
        <v>54667.659999999974</v>
      </c>
      <c r="W1571" s="18">
        <f t="shared" si="199"/>
        <v>0.14813677313677306</v>
      </c>
    </row>
    <row r="1572" spans="1:23" x14ac:dyDescent="0.3">
      <c r="A1572" t="s">
        <v>857</v>
      </c>
      <c r="B1572" t="s">
        <v>2061</v>
      </c>
      <c r="C1572" t="s">
        <v>16</v>
      </c>
      <c r="D1572" t="s">
        <v>17</v>
      </c>
      <c r="E1572">
        <v>2565</v>
      </c>
      <c r="F1572">
        <v>360.35</v>
      </c>
      <c r="G1572">
        <v>339.93</v>
      </c>
      <c r="H1572">
        <v>360.35</v>
      </c>
      <c r="I1572">
        <v>3270</v>
      </c>
      <c r="J1572">
        <v>76</v>
      </c>
      <c r="K1572" s="17">
        <f t="shared" si="193"/>
        <v>8284</v>
      </c>
      <c r="L1572" t="str">
        <f t="shared" si="194"/>
        <v>High Risk</v>
      </c>
      <c r="P1572" s="19">
        <f t="shared" si="195"/>
        <v>5719</v>
      </c>
      <c r="R1572" s="19">
        <f t="shared" si="192"/>
        <v>2060841.6500000001</v>
      </c>
      <c r="T1572" s="19">
        <f t="shared" si="196"/>
        <v>1111571.1000000001</v>
      </c>
      <c r="U1572" s="19">
        <f t="shared" si="197"/>
        <v>1178344.5</v>
      </c>
      <c r="V1572" s="21">
        <f t="shared" si="198"/>
        <v>66773.399999999907</v>
      </c>
      <c r="W1572" s="18">
        <f t="shared" si="199"/>
        <v>6.0071191127585001E-2</v>
      </c>
    </row>
    <row r="1573" spans="1:23" x14ac:dyDescent="0.3">
      <c r="A1573" t="s">
        <v>2050</v>
      </c>
      <c r="B1573" t="s">
        <v>2245</v>
      </c>
      <c r="C1573" t="s">
        <v>12</v>
      </c>
      <c r="D1573" t="s">
        <v>20</v>
      </c>
      <c r="E1573">
        <v>2566</v>
      </c>
      <c r="F1573">
        <v>379.15</v>
      </c>
      <c r="G1573">
        <v>403.2</v>
      </c>
      <c r="H1573">
        <v>379.15</v>
      </c>
      <c r="I1573">
        <v>2746</v>
      </c>
      <c r="J1573">
        <v>84</v>
      </c>
      <c r="K1573" s="17">
        <f t="shared" si="193"/>
        <v>7688.8</v>
      </c>
      <c r="L1573" t="str">
        <f t="shared" si="194"/>
        <v>High Risk</v>
      </c>
      <c r="P1573" s="19">
        <f t="shared" si="195"/>
        <v>5123</v>
      </c>
      <c r="R1573" s="19">
        <f t="shared" si="192"/>
        <v>1942385.45</v>
      </c>
      <c r="T1573" s="19">
        <f t="shared" si="196"/>
        <v>1107187.2</v>
      </c>
      <c r="U1573" s="19">
        <f t="shared" si="197"/>
        <v>1041145.8999999999</v>
      </c>
      <c r="V1573" s="21">
        <f t="shared" si="198"/>
        <v>-66041.300000000047</v>
      </c>
      <c r="W1573" s="18">
        <f t="shared" si="199"/>
        <v>-5.9647817460317505E-2</v>
      </c>
    </row>
    <row r="1574" spans="1:23" x14ac:dyDescent="0.3">
      <c r="A1574" t="s">
        <v>796</v>
      </c>
      <c r="B1574" t="s">
        <v>1878</v>
      </c>
      <c r="C1574" t="s">
        <v>16</v>
      </c>
      <c r="D1574" t="s">
        <v>13</v>
      </c>
      <c r="E1574">
        <v>2566</v>
      </c>
      <c r="F1574">
        <v>410.39</v>
      </c>
      <c r="G1574">
        <v>435.05</v>
      </c>
      <c r="H1574">
        <v>410.39</v>
      </c>
      <c r="I1574">
        <v>518</v>
      </c>
      <c r="J1574">
        <v>63</v>
      </c>
      <c r="K1574" s="17">
        <f t="shared" si="193"/>
        <v>1087.8</v>
      </c>
      <c r="L1574" t="str">
        <f t="shared" si="194"/>
        <v>Sufficuent Stock</v>
      </c>
      <c r="P1574" s="19">
        <f t="shared" si="195"/>
        <v>0</v>
      </c>
      <c r="R1574" s="19">
        <f t="shared" si="192"/>
        <v>0</v>
      </c>
      <c r="T1574" s="19">
        <f t="shared" si="196"/>
        <v>225355.9</v>
      </c>
      <c r="U1574" s="19">
        <f t="shared" si="197"/>
        <v>212582.02</v>
      </c>
      <c r="V1574" s="21">
        <f t="shared" si="198"/>
        <v>-12773.880000000005</v>
      </c>
      <c r="W1574" s="18">
        <f t="shared" si="199"/>
        <v>-5.6683139868980596E-2</v>
      </c>
    </row>
    <row r="1575" spans="1:23" x14ac:dyDescent="0.3">
      <c r="A1575" t="s">
        <v>240</v>
      </c>
      <c r="B1575" t="s">
        <v>1875</v>
      </c>
      <c r="C1575" t="s">
        <v>50</v>
      </c>
      <c r="D1575" t="s">
        <v>26</v>
      </c>
      <c r="E1575">
        <v>2566</v>
      </c>
      <c r="F1575">
        <v>226.8</v>
      </c>
      <c r="G1575">
        <v>193.62</v>
      </c>
      <c r="H1575">
        <v>226.8</v>
      </c>
      <c r="I1575">
        <v>1432</v>
      </c>
      <c r="J1575">
        <v>19</v>
      </c>
      <c r="K1575" s="17">
        <f t="shared" si="193"/>
        <v>906.93333333333339</v>
      </c>
      <c r="L1575" t="str">
        <f t="shared" si="194"/>
        <v>Sufficuent Stock</v>
      </c>
      <c r="P1575" s="19">
        <f t="shared" si="195"/>
        <v>0</v>
      </c>
      <c r="R1575" s="19">
        <f t="shared" si="192"/>
        <v>0</v>
      </c>
      <c r="T1575" s="19">
        <f t="shared" si="196"/>
        <v>277263.84000000003</v>
      </c>
      <c r="U1575" s="19">
        <f t="shared" si="197"/>
        <v>324777.60000000003</v>
      </c>
      <c r="V1575" s="21">
        <f t="shared" si="198"/>
        <v>47513.760000000009</v>
      </c>
      <c r="W1575" s="18">
        <f t="shared" si="199"/>
        <v>0.17136659436008678</v>
      </c>
    </row>
    <row r="1576" spans="1:23" x14ac:dyDescent="0.3">
      <c r="A1576" t="s">
        <v>188</v>
      </c>
      <c r="B1576" t="s">
        <v>506</v>
      </c>
      <c r="C1576" t="s">
        <v>50</v>
      </c>
      <c r="D1576" t="s">
        <v>17</v>
      </c>
      <c r="E1576">
        <v>2571</v>
      </c>
      <c r="F1576">
        <v>425.68</v>
      </c>
      <c r="G1576">
        <v>392.99</v>
      </c>
      <c r="H1576">
        <v>425.68</v>
      </c>
      <c r="I1576">
        <v>2230</v>
      </c>
      <c r="J1576">
        <v>17</v>
      </c>
      <c r="K1576" s="17">
        <f t="shared" si="193"/>
        <v>1263.6666666666665</v>
      </c>
      <c r="L1576" t="str">
        <f t="shared" si="194"/>
        <v>Sufficuent Stock</v>
      </c>
      <c r="P1576" s="19">
        <f t="shared" si="195"/>
        <v>0</v>
      </c>
      <c r="R1576" s="19">
        <f t="shared" si="192"/>
        <v>0</v>
      </c>
      <c r="T1576" s="19">
        <f t="shared" si="196"/>
        <v>876367.70000000007</v>
      </c>
      <c r="U1576" s="19">
        <f t="shared" si="197"/>
        <v>949266.4</v>
      </c>
      <c r="V1576" s="21">
        <f t="shared" si="198"/>
        <v>72898.699999999953</v>
      </c>
      <c r="W1576" s="18">
        <f t="shared" si="199"/>
        <v>8.3182778187740086E-2</v>
      </c>
    </row>
    <row r="1577" spans="1:23" x14ac:dyDescent="0.3">
      <c r="A1577" t="s">
        <v>413</v>
      </c>
      <c r="B1577" t="s">
        <v>604</v>
      </c>
      <c r="C1577" t="s">
        <v>16</v>
      </c>
      <c r="D1577" t="s">
        <v>26</v>
      </c>
      <c r="E1577">
        <v>2575</v>
      </c>
      <c r="F1577">
        <v>501.69</v>
      </c>
      <c r="G1577">
        <v>467.34</v>
      </c>
      <c r="H1577">
        <v>501.69</v>
      </c>
      <c r="I1577">
        <v>850</v>
      </c>
      <c r="J1577">
        <v>56</v>
      </c>
      <c r="K1577" s="17">
        <f t="shared" si="193"/>
        <v>1586.6666666666665</v>
      </c>
      <c r="L1577" t="str">
        <f t="shared" si="194"/>
        <v>Sufficuent Stock</v>
      </c>
      <c r="P1577" s="19">
        <f t="shared" si="195"/>
        <v>0</v>
      </c>
      <c r="R1577" s="19">
        <f t="shared" si="192"/>
        <v>0</v>
      </c>
      <c r="T1577" s="19">
        <f t="shared" si="196"/>
        <v>397239</v>
      </c>
      <c r="U1577" s="19">
        <f t="shared" si="197"/>
        <v>426436.5</v>
      </c>
      <c r="V1577" s="21">
        <f t="shared" si="198"/>
        <v>29197.5</v>
      </c>
      <c r="W1577" s="18">
        <f t="shared" si="199"/>
        <v>7.3501091282577993E-2</v>
      </c>
    </row>
    <row r="1578" spans="1:23" x14ac:dyDescent="0.3">
      <c r="A1578" t="s">
        <v>33</v>
      </c>
      <c r="B1578" t="s">
        <v>3201</v>
      </c>
      <c r="C1578" t="s">
        <v>16</v>
      </c>
      <c r="D1578" t="s">
        <v>20</v>
      </c>
      <c r="E1578">
        <v>2579</v>
      </c>
      <c r="F1578">
        <v>185.4</v>
      </c>
      <c r="G1578">
        <v>194.17</v>
      </c>
      <c r="H1578">
        <v>185.4</v>
      </c>
      <c r="I1578">
        <v>2968</v>
      </c>
      <c r="J1578">
        <v>58</v>
      </c>
      <c r="K1578" s="17">
        <f t="shared" si="193"/>
        <v>5738.1333333333332</v>
      </c>
      <c r="L1578" t="str">
        <f t="shared" si="194"/>
        <v>High Risk</v>
      </c>
      <c r="P1578" s="19">
        <f t="shared" si="195"/>
        <v>3160</v>
      </c>
      <c r="R1578" s="19">
        <f t="shared" si="192"/>
        <v>585864</v>
      </c>
      <c r="T1578" s="19">
        <f t="shared" si="196"/>
        <v>576296.55999999994</v>
      </c>
      <c r="U1578" s="19">
        <f t="shared" si="197"/>
        <v>550267.20000000007</v>
      </c>
      <c r="V1578" s="21">
        <f t="shared" si="198"/>
        <v>-26029.35999999987</v>
      </c>
      <c r="W1578" s="18">
        <f t="shared" si="199"/>
        <v>-4.5166606581861037E-2</v>
      </c>
    </row>
    <row r="1579" spans="1:23" x14ac:dyDescent="0.3">
      <c r="A1579" t="s">
        <v>121</v>
      </c>
      <c r="B1579" t="s">
        <v>1352</v>
      </c>
      <c r="C1579" t="s">
        <v>16</v>
      </c>
      <c r="D1579" t="s">
        <v>20</v>
      </c>
      <c r="E1579">
        <v>2580</v>
      </c>
      <c r="F1579">
        <v>322.01</v>
      </c>
      <c r="G1579">
        <v>352.53</v>
      </c>
      <c r="H1579">
        <v>322.01</v>
      </c>
      <c r="I1579">
        <v>754</v>
      </c>
      <c r="J1579">
        <v>64</v>
      </c>
      <c r="K1579" s="17">
        <f t="shared" si="193"/>
        <v>1608.5333333333333</v>
      </c>
      <c r="L1579" t="str">
        <f t="shared" si="194"/>
        <v>Sufficuent Stock</v>
      </c>
      <c r="P1579" s="19">
        <f t="shared" si="195"/>
        <v>0</v>
      </c>
      <c r="R1579" s="19">
        <f t="shared" si="192"/>
        <v>0</v>
      </c>
      <c r="T1579" s="19">
        <f t="shared" si="196"/>
        <v>265807.62</v>
      </c>
      <c r="U1579" s="19">
        <f t="shared" si="197"/>
        <v>242795.53999999998</v>
      </c>
      <c r="V1579" s="21">
        <f t="shared" si="198"/>
        <v>-23012.080000000016</v>
      </c>
      <c r="W1579" s="18">
        <f t="shared" si="199"/>
        <v>-8.6574192267324823E-2</v>
      </c>
    </row>
    <row r="1580" spans="1:23" x14ac:dyDescent="0.3">
      <c r="A1580" t="s">
        <v>335</v>
      </c>
      <c r="B1580" t="s">
        <v>1185</v>
      </c>
      <c r="C1580" t="s">
        <v>12</v>
      </c>
      <c r="D1580" t="s">
        <v>20</v>
      </c>
      <c r="E1580">
        <v>2582</v>
      </c>
      <c r="F1580">
        <v>194.33</v>
      </c>
      <c r="G1580">
        <v>200.44</v>
      </c>
      <c r="H1580">
        <v>194.33</v>
      </c>
      <c r="I1580">
        <v>3928</v>
      </c>
      <c r="J1580">
        <v>48</v>
      </c>
      <c r="K1580" s="17">
        <f t="shared" si="193"/>
        <v>6284.8</v>
      </c>
      <c r="L1580" t="str">
        <f t="shared" si="194"/>
        <v>High Risk</v>
      </c>
      <c r="P1580" s="19">
        <f t="shared" si="195"/>
        <v>3703</v>
      </c>
      <c r="R1580" s="19">
        <f t="shared" si="192"/>
        <v>719603.99</v>
      </c>
      <c r="T1580" s="19">
        <f t="shared" si="196"/>
        <v>787328.32</v>
      </c>
      <c r="U1580" s="19">
        <f t="shared" si="197"/>
        <v>763328.24000000011</v>
      </c>
      <c r="V1580" s="21">
        <f t="shared" si="198"/>
        <v>-24000.079999999842</v>
      </c>
      <c r="W1580" s="18">
        <f t="shared" si="199"/>
        <v>-3.0482937537417484E-2</v>
      </c>
    </row>
    <row r="1581" spans="1:23" x14ac:dyDescent="0.3">
      <c r="A1581" t="s">
        <v>121</v>
      </c>
      <c r="B1581" t="s">
        <v>122</v>
      </c>
      <c r="C1581" t="s">
        <v>50</v>
      </c>
      <c r="D1581" t="s">
        <v>69</v>
      </c>
      <c r="E1581">
        <v>2582</v>
      </c>
      <c r="F1581">
        <v>335.06</v>
      </c>
      <c r="G1581">
        <v>296.7</v>
      </c>
      <c r="H1581">
        <v>335.06</v>
      </c>
      <c r="I1581">
        <v>938</v>
      </c>
      <c r="J1581">
        <v>27</v>
      </c>
      <c r="K1581" s="17">
        <f t="shared" si="193"/>
        <v>844.19999999999993</v>
      </c>
      <c r="L1581" t="str">
        <f t="shared" si="194"/>
        <v>Sufficuent Stock</v>
      </c>
      <c r="P1581" s="19">
        <f t="shared" si="195"/>
        <v>0</v>
      </c>
      <c r="R1581" s="19">
        <f t="shared" si="192"/>
        <v>0</v>
      </c>
      <c r="T1581" s="19">
        <f t="shared" si="196"/>
        <v>278304.59999999998</v>
      </c>
      <c r="U1581" s="19">
        <f t="shared" si="197"/>
        <v>314286.28000000003</v>
      </c>
      <c r="V1581" s="21">
        <f t="shared" si="198"/>
        <v>35981.680000000051</v>
      </c>
      <c r="W1581" s="18">
        <f t="shared" si="199"/>
        <v>0.12928884395011817</v>
      </c>
    </row>
    <row r="1582" spans="1:23" x14ac:dyDescent="0.3">
      <c r="A1582" t="s">
        <v>1033</v>
      </c>
      <c r="B1582" t="s">
        <v>2453</v>
      </c>
      <c r="C1582" t="s">
        <v>12</v>
      </c>
      <c r="D1582" t="s">
        <v>17</v>
      </c>
      <c r="E1582">
        <v>2584</v>
      </c>
      <c r="F1582">
        <v>67.900000000000006</v>
      </c>
      <c r="G1582">
        <v>57.56</v>
      </c>
      <c r="H1582">
        <v>67.900000000000006</v>
      </c>
      <c r="I1582">
        <v>1396</v>
      </c>
      <c r="J1582">
        <v>74</v>
      </c>
      <c r="K1582" s="17">
        <f t="shared" si="193"/>
        <v>3443.4666666666667</v>
      </c>
      <c r="L1582" t="str">
        <f t="shared" si="194"/>
        <v>High Risk</v>
      </c>
      <c r="P1582" s="19">
        <f t="shared" si="195"/>
        <v>860</v>
      </c>
      <c r="R1582" s="19">
        <f t="shared" si="192"/>
        <v>58394.000000000007</v>
      </c>
      <c r="T1582" s="19">
        <f t="shared" si="196"/>
        <v>80353.760000000009</v>
      </c>
      <c r="U1582" s="19">
        <f t="shared" si="197"/>
        <v>94788.400000000009</v>
      </c>
      <c r="V1582" s="21">
        <f t="shared" si="198"/>
        <v>14434.64</v>
      </c>
      <c r="W1582" s="18">
        <f t="shared" si="199"/>
        <v>0.17963863794301596</v>
      </c>
    </row>
    <row r="1583" spans="1:23" x14ac:dyDescent="0.3">
      <c r="A1583" t="s">
        <v>1243</v>
      </c>
      <c r="B1583" t="s">
        <v>1244</v>
      </c>
      <c r="C1583" t="s">
        <v>50</v>
      </c>
      <c r="D1583" t="s">
        <v>17</v>
      </c>
      <c r="E1583">
        <v>2587</v>
      </c>
      <c r="F1583">
        <v>112.55</v>
      </c>
      <c r="G1583">
        <v>117.58</v>
      </c>
      <c r="H1583">
        <v>112.55</v>
      </c>
      <c r="I1583">
        <v>3741</v>
      </c>
      <c r="J1583">
        <v>33</v>
      </c>
      <c r="K1583" s="17">
        <f t="shared" si="193"/>
        <v>4115.1000000000004</v>
      </c>
      <c r="L1583" t="str">
        <f t="shared" si="194"/>
        <v>High Risk</v>
      </c>
      <c r="P1583" s="19">
        <f t="shared" si="195"/>
        <v>1529</v>
      </c>
      <c r="R1583" s="19">
        <f t="shared" si="192"/>
        <v>172088.94999999998</v>
      </c>
      <c r="T1583" s="19">
        <f t="shared" si="196"/>
        <v>439866.77999999997</v>
      </c>
      <c r="U1583" s="19">
        <f t="shared" si="197"/>
        <v>421049.55</v>
      </c>
      <c r="V1583" s="21">
        <f t="shared" si="198"/>
        <v>-18817.229999999981</v>
      </c>
      <c r="W1583" s="18">
        <f t="shared" si="199"/>
        <v>-4.2779384249021904E-2</v>
      </c>
    </row>
    <row r="1584" spans="1:23" x14ac:dyDescent="0.3">
      <c r="A1584" t="s">
        <v>1074</v>
      </c>
      <c r="B1584" t="s">
        <v>2332</v>
      </c>
      <c r="C1584" t="s">
        <v>12</v>
      </c>
      <c r="D1584" t="s">
        <v>69</v>
      </c>
      <c r="E1584">
        <v>2587</v>
      </c>
      <c r="F1584">
        <v>459.51</v>
      </c>
      <c r="G1584">
        <v>410.9</v>
      </c>
      <c r="H1584">
        <v>459.51</v>
      </c>
      <c r="I1584">
        <v>2417</v>
      </c>
      <c r="J1584">
        <v>55</v>
      </c>
      <c r="K1584" s="17">
        <f t="shared" si="193"/>
        <v>4431.1666666666661</v>
      </c>
      <c r="L1584" t="str">
        <f t="shared" si="194"/>
        <v>High Risk</v>
      </c>
      <c r="P1584" s="19">
        <f t="shared" si="195"/>
        <v>1845</v>
      </c>
      <c r="R1584" s="19">
        <f t="shared" si="192"/>
        <v>847795.95</v>
      </c>
      <c r="T1584" s="19">
        <f t="shared" si="196"/>
        <v>993145.29999999993</v>
      </c>
      <c r="U1584" s="19">
        <f t="shared" si="197"/>
        <v>1110635.67</v>
      </c>
      <c r="V1584" s="21">
        <f t="shared" si="198"/>
        <v>117490.37</v>
      </c>
      <c r="W1584" s="18">
        <f t="shared" si="199"/>
        <v>0.11830128985154539</v>
      </c>
    </row>
    <row r="1585" spans="1:23" x14ac:dyDescent="0.3">
      <c r="A1585" t="s">
        <v>168</v>
      </c>
      <c r="B1585" t="s">
        <v>169</v>
      </c>
      <c r="C1585" t="s">
        <v>12</v>
      </c>
      <c r="D1585" t="s">
        <v>13</v>
      </c>
      <c r="E1585">
        <v>2587</v>
      </c>
      <c r="F1585">
        <v>219.17</v>
      </c>
      <c r="G1585">
        <v>235.92</v>
      </c>
      <c r="H1585">
        <v>219.17</v>
      </c>
      <c r="I1585">
        <v>2850</v>
      </c>
      <c r="J1585">
        <v>35</v>
      </c>
      <c r="K1585" s="17">
        <f t="shared" si="193"/>
        <v>3325</v>
      </c>
      <c r="L1585" t="str">
        <f t="shared" si="194"/>
        <v>High Risk</v>
      </c>
      <c r="P1585" s="19">
        <f t="shared" si="195"/>
        <v>738</v>
      </c>
      <c r="R1585" s="19">
        <f t="shared" si="192"/>
        <v>161747.46</v>
      </c>
      <c r="T1585" s="19">
        <f t="shared" si="196"/>
        <v>672372</v>
      </c>
      <c r="U1585" s="19">
        <f t="shared" si="197"/>
        <v>624634.5</v>
      </c>
      <c r="V1585" s="21">
        <f t="shared" si="198"/>
        <v>-47737.5</v>
      </c>
      <c r="W1585" s="18">
        <f t="shared" si="199"/>
        <v>-7.0998643608002718E-2</v>
      </c>
    </row>
    <row r="1586" spans="1:23" x14ac:dyDescent="0.3">
      <c r="A1586" t="s">
        <v>197</v>
      </c>
      <c r="B1586" t="s">
        <v>2145</v>
      </c>
      <c r="C1586" t="s">
        <v>16</v>
      </c>
      <c r="D1586" t="s">
        <v>20</v>
      </c>
      <c r="E1586">
        <v>2589</v>
      </c>
      <c r="F1586">
        <v>381.76</v>
      </c>
      <c r="G1586">
        <v>350.99</v>
      </c>
      <c r="H1586">
        <v>381.76</v>
      </c>
      <c r="I1586">
        <v>3227</v>
      </c>
      <c r="J1586">
        <v>11</v>
      </c>
      <c r="K1586" s="17">
        <f t="shared" si="193"/>
        <v>1183.2333333333333</v>
      </c>
      <c r="L1586" t="str">
        <f t="shared" si="194"/>
        <v>Sufficuent Stock</v>
      </c>
      <c r="P1586" s="19">
        <f t="shared" si="195"/>
        <v>0</v>
      </c>
      <c r="R1586" s="19">
        <f t="shared" si="192"/>
        <v>0</v>
      </c>
      <c r="T1586" s="19">
        <f t="shared" si="196"/>
        <v>1132644.73</v>
      </c>
      <c r="U1586" s="19">
        <f t="shared" si="197"/>
        <v>1231939.52</v>
      </c>
      <c r="V1586" s="21">
        <f t="shared" si="198"/>
        <v>99294.790000000037</v>
      </c>
      <c r="W1586" s="18">
        <f t="shared" si="199"/>
        <v>8.7666315279637627E-2</v>
      </c>
    </row>
    <row r="1587" spans="1:23" x14ac:dyDescent="0.3">
      <c r="A1587" t="s">
        <v>1477</v>
      </c>
      <c r="B1587" t="s">
        <v>1846</v>
      </c>
      <c r="C1587" t="s">
        <v>23</v>
      </c>
      <c r="D1587" t="s">
        <v>20</v>
      </c>
      <c r="E1587">
        <v>2597</v>
      </c>
      <c r="F1587">
        <v>121.45</v>
      </c>
      <c r="G1587">
        <v>132.69</v>
      </c>
      <c r="H1587">
        <v>121.45</v>
      </c>
      <c r="I1587">
        <v>3815</v>
      </c>
      <c r="J1587">
        <v>59</v>
      </c>
      <c r="K1587" s="17">
        <f t="shared" si="193"/>
        <v>7502.8333333333339</v>
      </c>
      <c r="L1587" t="str">
        <f t="shared" si="194"/>
        <v>High Risk</v>
      </c>
      <c r="P1587" s="19">
        <f t="shared" si="195"/>
        <v>4906</v>
      </c>
      <c r="R1587" s="19">
        <f t="shared" si="192"/>
        <v>595833.70000000007</v>
      </c>
      <c r="T1587" s="19">
        <f t="shared" si="196"/>
        <v>506212.35</v>
      </c>
      <c r="U1587" s="19">
        <f t="shared" si="197"/>
        <v>463331.75</v>
      </c>
      <c r="V1587" s="21">
        <f t="shared" si="198"/>
        <v>-42880.599999999977</v>
      </c>
      <c r="W1587" s="18">
        <f t="shared" si="199"/>
        <v>-8.4708719571934543E-2</v>
      </c>
    </row>
    <row r="1588" spans="1:23" x14ac:dyDescent="0.3">
      <c r="A1588" t="s">
        <v>498</v>
      </c>
      <c r="B1588" t="s">
        <v>2319</v>
      </c>
      <c r="C1588" t="s">
        <v>23</v>
      </c>
      <c r="D1588" t="s">
        <v>13</v>
      </c>
      <c r="E1588">
        <v>2597</v>
      </c>
      <c r="F1588">
        <v>353.96</v>
      </c>
      <c r="G1588">
        <v>304.85000000000002</v>
      </c>
      <c r="H1588">
        <v>353.96</v>
      </c>
      <c r="I1588">
        <v>209</v>
      </c>
      <c r="J1588">
        <v>22</v>
      </c>
      <c r="K1588" s="17">
        <f t="shared" si="193"/>
        <v>153.26666666666668</v>
      </c>
      <c r="L1588" t="str">
        <f t="shared" si="194"/>
        <v>Sufficuent Stock</v>
      </c>
      <c r="P1588" s="19">
        <f t="shared" si="195"/>
        <v>0</v>
      </c>
      <c r="R1588" s="19">
        <f t="shared" si="192"/>
        <v>0</v>
      </c>
      <c r="T1588" s="19">
        <f t="shared" si="196"/>
        <v>63713.65</v>
      </c>
      <c r="U1588" s="19">
        <f t="shared" si="197"/>
        <v>73977.64</v>
      </c>
      <c r="V1588" s="21">
        <f t="shared" si="198"/>
        <v>10263.989999999998</v>
      </c>
      <c r="W1588" s="18">
        <f t="shared" si="199"/>
        <v>0.16109562079711329</v>
      </c>
    </row>
    <row r="1589" spans="1:23" x14ac:dyDescent="0.3">
      <c r="A1589" t="s">
        <v>943</v>
      </c>
      <c r="B1589" t="s">
        <v>1296</v>
      </c>
      <c r="C1589" t="s">
        <v>50</v>
      </c>
      <c r="D1589" t="s">
        <v>20</v>
      </c>
      <c r="E1589">
        <v>2597</v>
      </c>
      <c r="F1589">
        <v>212.44</v>
      </c>
      <c r="G1589">
        <v>206.9</v>
      </c>
      <c r="H1589">
        <v>212.44</v>
      </c>
      <c r="I1589">
        <v>2637</v>
      </c>
      <c r="J1589">
        <v>27</v>
      </c>
      <c r="K1589" s="17">
        <f t="shared" si="193"/>
        <v>2373.3000000000002</v>
      </c>
      <c r="L1589" t="str">
        <f t="shared" si="194"/>
        <v>Sufficuent Stock</v>
      </c>
      <c r="P1589" s="19">
        <f t="shared" si="195"/>
        <v>0</v>
      </c>
      <c r="R1589" s="19">
        <f t="shared" si="192"/>
        <v>0</v>
      </c>
      <c r="T1589" s="19">
        <f t="shared" si="196"/>
        <v>545595.30000000005</v>
      </c>
      <c r="U1589" s="19">
        <f t="shared" si="197"/>
        <v>560204.28</v>
      </c>
      <c r="V1589" s="21">
        <f t="shared" si="198"/>
        <v>14608.979999999981</v>
      </c>
      <c r="W1589" s="18">
        <f t="shared" si="199"/>
        <v>2.677622039632669E-2</v>
      </c>
    </row>
    <row r="1590" spans="1:23" x14ac:dyDescent="0.3">
      <c r="A1590" t="s">
        <v>755</v>
      </c>
      <c r="B1590" t="s">
        <v>756</v>
      </c>
      <c r="C1590" t="s">
        <v>23</v>
      </c>
      <c r="D1590" t="s">
        <v>17</v>
      </c>
      <c r="E1590">
        <v>2600</v>
      </c>
      <c r="F1590">
        <v>128.41999999999999</v>
      </c>
      <c r="G1590">
        <v>134.63999999999999</v>
      </c>
      <c r="H1590">
        <v>128.41999999999999</v>
      </c>
      <c r="I1590">
        <v>3472</v>
      </c>
      <c r="J1590">
        <v>60</v>
      </c>
      <c r="K1590" s="17">
        <f t="shared" si="193"/>
        <v>6944</v>
      </c>
      <c r="L1590" t="str">
        <f t="shared" si="194"/>
        <v>High Risk</v>
      </c>
      <c r="P1590" s="19">
        <f t="shared" si="195"/>
        <v>4344</v>
      </c>
      <c r="R1590" s="19">
        <f t="shared" si="192"/>
        <v>557856.48</v>
      </c>
      <c r="T1590" s="19">
        <f t="shared" si="196"/>
        <v>467470.07999999996</v>
      </c>
      <c r="U1590" s="19">
        <f t="shared" si="197"/>
        <v>445874.23999999993</v>
      </c>
      <c r="V1590" s="21">
        <f t="shared" si="198"/>
        <v>-21595.840000000026</v>
      </c>
      <c r="W1590" s="18">
        <f t="shared" si="199"/>
        <v>-4.6197266785502136E-2</v>
      </c>
    </row>
    <row r="1591" spans="1:23" x14ac:dyDescent="0.3">
      <c r="A1591" t="s">
        <v>562</v>
      </c>
      <c r="B1591" t="s">
        <v>563</v>
      </c>
      <c r="C1591" t="s">
        <v>50</v>
      </c>
      <c r="D1591" t="s">
        <v>20</v>
      </c>
      <c r="E1591">
        <v>2601</v>
      </c>
      <c r="F1591">
        <v>375.05</v>
      </c>
      <c r="G1591">
        <v>330.05</v>
      </c>
      <c r="H1591">
        <v>375.05</v>
      </c>
      <c r="I1591">
        <v>1232</v>
      </c>
      <c r="J1591">
        <v>35</v>
      </c>
      <c r="K1591" s="17">
        <f t="shared" si="193"/>
        <v>1437.3333333333335</v>
      </c>
      <c r="L1591" t="str">
        <f t="shared" si="194"/>
        <v>Sufficuent Stock</v>
      </c>
      <c r="P1591" s="19">
        <f t="shared" si="195"/>
        <v>0</v>
      </c>
      <c r="R1591" s="19">
        <f t="shared" si="192"/>
        <v>0</v>
      </c>
      <c r="T1591" s="19">
        <f t="shared" si="196"/>
        <v>406621.60000000003</v>
      </c>
      <c r="U1591" s="19">
        <f t="shared" si="197"/>
        <v>462061.60000000003</v>
      </c>
      <c r="V1591" s="21">
        <f t="shared" si="198"/>
        <v>55440</v>
      </c>
      <c r="W1591" s="18">
        <f t="shared" si="199"/>
        <v>0.13634297833661566</v>
      </c>
    </row>
    <row r="1592" spans="1:23" x14ac:dyDescent="0.3">
      <c r="A1592" t="s">
        <v>233</v>
      </c>
      <c r="B1592" t="s">
        <v>2343</v>
      </c>
      <c r="C1592" t="s">
        <v>12</v>
      </c>
      <c r="D1592" t="s">
        <v>13</v>
      </c>
      <c r="E1592">
        <v>2602</v>
      </c>
      <c r="F1592">
        <v>273.47000000000003</v>
      </c>
      <c r="G1592">
        <v>253.63</v>
      </c>
      <c r="H1592">
        <v>273.47000000000003</v>
      </c>
      <c r="I1592">
        <v>1445</v>
      </c>
      <c r="J1592">
        <v>45</v>
      </c>
      <c r="K1592" s="17">
        <f t="shared" si="193"/>
        <v>2167.5</v>
      </c>
      <c r="L1592" t="str">
        <f t="shared" si="194"/>
        <v>Sufficuent Stock</v>
      </c>
      <c r="P1592" s="19">
        <f t="shared" si="195"/>
        <v>0</v>
      </c>
      <c r="R1592" s="19">
        <f t="shared" si="192"/>
        <v>0</v>
      </c>
      <c r="T1592" s="19">
        <f t="shared" si="196"/>
        <v>366495.35</v>
      </c>
      <c r="U1592" s="19">
        <f t="shared" si="197"/>
        <v>395164.15</v>
      </c>
      <c r="V1592" s="21">
        <f t="shared" si="198"/>
        <v>28668.800000000047</v>
      </c>
      <c r="W1592" s="18">
        <f t="shared" si="199"/>
        <v>7.8224184836178823E-2</v>
      </c>
    </row>
    <row r="1593" spans="1:23" x14ac:dyDescent="0.3">
      <c r="A1593" t="s">
        <v>748</v>
      </c>
      <c r="B1593" t="s">
        <v>3198</v>
      </c>
      <c r="C1593" t="s">
        <v>37</v>
      </c>
      <c r="D1593" t="s">
        <v>20</v>
      </c>
      <c r="E1593">
        <v>2604</v>
      </c>
      <c r="F1593">
        <v>533.16999999999996</v>
      </c>
      <c r="G1593">
        <v>497.45</v>
      </c>
      <c r="H1593">
        <v>533.16999999999996</v>
      </c>
      <c r="I1593">
        <v>582</v>
      </c>
      <c r="J1593">
        <v>59</v>
      </c>
      <c r="K1593" s="17">
        <f t="shared" si="193"/>
        <v>1144.5999999999999</v>
      </c>
      <c r="L1593" t="str">
        <f t="shared" si="194"/>
        <v>Sufficuent Stock</v>
      </c>
      <c r="P1593" s="19">
        <f t="shared" si="195"/>
        <v>0</v>
      </c>
      <c r="R1593" s="19">
        <f t="shared" si="192"/>
        <v>0</v>
      </c>
      <c r="T1593" s="19">
        <f t="shared" si="196"/>
        <v>289515.89999999997</v>
      </c>
      <c r="U1593" s="19">
        <f t="shared" si="197"/>
        <v>310304.94</v>
      </c>
      <c r="V1593" s="21">
        <f t="shared" si="198"/>
        <v>20789.040000000037</v>
      </c>
      <c r="W1593" s="18">
        <f t="shared" si="199"/>
        <v>7.1806211679565926E-2</v>
      </c>
    </row>
    <row r="1594" spans="1:23" x14ac:dyDescent="0.3">
      <c r="A1594" t="s">
        <v>1322</v>
      </c>
      <c r="B1594" t="s">
        <v>2756</v>
      </c>
      <c r="C1594" t="s">
        <v>50</v>
      </c>
      <c r="D1594" t="s">
        <v>26</v>
      </c>
      <c r="E1594">
        <v>2606</v>
      </c>
      <c r="F1594">
        <v>381.98</v>
      </c>
      <c r="G1594">
        <v>395.66</v>
      </c>
      <c r="H1594">
        <v>381.98</v>
      </c>
      <c r="I1594">
        <v>2959</v>
      </c>
      <c r="J1594">
        <v>12</v>
      </c>
      <c r="K1594" s="17">
        <f t="shared" si="193"/>
        <v>1183.6000000000001</v>
      </c>
      <c r="L1594" t="str">
        <f t="shared" si="194"/>
        <v>Sufficuent Stock</v>
      </c>
      <c r="P1594" s="19">
        <f t="shared" si="195"/>
        <v>0</v>
      </c>
      <c r="R1594" s="19">
        <f t="shared" si="192"/>
        <v>0</v>
      </c>
      <c r="T1594" s="19">
        <f t="shared" si="196"/>
        <v>1170757.9400000002</v>
      </c>
      <c r="U1594" s="19">
        <f t="shared" si="197"/>
        <v>1130278.82</v>
      </c>
      <c r="V1594" s="21">
        <f t="shared" si="198"/>
        <v>-40479.120000000112</v>
      </c>
      <c r="W1594" s="18">
        <f t="shared" si="199"/>
        <v>-3.4575140271950758E-2</v>
      </c>
    </row>
    <row r="1595" spans="1:23" x14ac:dyDescent="0.3">
      <c r="A1595" t="s">
        <v>494</v>
      </c>
      <c r="B1595" t="s">
        <v>3236</v>
      </c>
      <c r="C1595" t="s">
        <v>50</v>
      </c>
      <c r="D1595" t="s">
        <v>69</v>
      </c>
      <c r="E1595">
        <v>2606</v>
      </c>
      <c r="F1595">
        <v>267.77999999999997</v>
      </c>
      <c r="G1595">
        <v>254.36</v>
      </c>
      <c r="H1595">
        <v>267.77999999999997</v>
      </c>
      <c r="I1595">
        <v>1859</v>
      </c>
      <c r="J1595">
        <v>88</v>
      </c>
      <c r="K1595" s="17">
        <f t="shared" si="193"/>
        <v>5453.0666666666666</v>
      </c>
      <c r="L1595" t="str">
        <f t="shared" si="194"/>
        <v>High Risk</v>
      </c>
      <c r="P1595" s="19">
        <f t="shared" si="195"/>
        <v>2848</v>
      </c>
      <c r="R1595" s="19">
        <f t="shared" si="192"/>
        <v>762637.44</v>
      </c>
      <c r="T1595" s="19">
        <f t="shared" si="196"/>
        <v>472855.24000000005</v>
      </c>
      <c r="U1595" s="19">
        <f t="shared" si="197"/>
        <v>497803.01999999996</v>
      </c>
      <c r="V1595" s="21">
        <f t="shared" si="198"/>
        <v>24947.779999999912</v>
      </c>
      <c r="W1595" s="18">
        <f t="shared" si="199"/>
        <v>5.2759867903758258E-2</v>
      </c>
    </row>
    <row r="1596" spans="1:23" x14ac:dyDescent="0.3">
      <c r="A1596" t="s">
        <v>487</v>
      </c>
      <c r="B1596" t="s">
        <v>1023</v>
      </c>
      <c r="C1596" t="s">
        <v>23</v>
      </c>
      <c r="D1596" t="s">
        <v>17</v>
      </c>
      <c r="E1596">
        <v>2608</v>
      </c>
      <c r="F1596">
        <v>41.67</v>
      </c>
      <c r="G1596">
        <v>44.73</v>
      </c>
      <c r="H1596">
        <v>41.67</v>
      </c>
      <c r="I1596">
        <v>361</v>
      </c>
      <c r="J1596">
        <v>13</v>
      </c>
      <c r="K1596" s="17">
        <f t="shared" si="193"/>
        <v>156.43333333333334</v>
      </c>
      <c r="L1596" t="str">
        <f t="shared" si="194"/>
        <v>Sufficuent Stock</v>
      </c>
      <c r="P1596" s="19">
        <f t="shared" si="195"/>
        <v>0</v>
      </c>
      <c r="R1596" s="19">
        <f t="shared" si="192"/>
        <v>0</v>
      </c>
      <c r="T1596" s="19">
        <f t="shared" si="196"/>
        <v>16147.529999999999</v>
      </c>
      <c r="U1596" s="19">
        <f t="shared" si="197"/>
        <v>15042.87</v>
      </c>
      <c r="V1596" s="21">
        <f t="shared" si="198"/>
        <v>-1104.659999999998</v>
      </c>
      <c r="W1596" s="18">
        <f t="shared" si="199"/>
        <v>-6.8410462776659839E-2</v>
      </c>
    </row>
    <row r="1597" spans="1:23" x14ac:dyDescent="0.3">
      <c r="A1597" t="s">
        <v>820</v>
      </c>
      <c r="B1597" t="s">
        <v>2556</v>
      </c>
      <c r="C1597" t="s">
        <v>37</v>
      </c>
      <c r="D1597" t="s">
        <v>69</v>
      </c>
      <c r="E1597">
        <v>2611</v>
      </c>
      <c r="F1597">
        <v>339.74</v>
      </c>
      <c r="G1597">
        <v>356.76</v>
      </c>
      <c r="H1597">
        <v>339.74</v>
      </c>
      <c r="I1597">
        <v>1230</v>
      </c>
      <c r="J1597">
        <v>7</v>
      </c>
      <c r="K1597" s="17">
        <f t="shared" si="193"/>
        <v>287</v>
      </c>
      <c r="L1597" t="str">
        <f t="shared" si="194"/>
        <v>Sufficuent Stock</v>
      </c>
      <c r="P1597" s="19">
        <f t="shared" si="195"/>
        <v>0</v>
      </c>
      <c r="R1597" s="19">
        <f t="shared" si="192"/>
        <v>0</v>
      </c>
      <c r="T1597" s="19">
        <f t="shared" si="196"/>
        <v>438814.8</v>
      </c>
      <c r="U1597" s="19">
        <f t="shared" si="197"/>
        <v>417880.2</v>
      </c>
      <c r="V1597" s="21">
        <f t="shared" si="198"/>
        <v>-20934.599999999977</v>
      </c>
      <c r="W1597" s="18">
        <f t="shared" si="199"/>
        <v>-4.7707142056284284E-2</v>
      </c>
    </row>
    <row r="1598" spans="1:23" x14ac:dyDescent="0.3">
      <c r="A1598" t="s">
        <v>449</v>
      </c>
      <c r="B1598" t="s">
        <v>450</v>
      </c>
      <c r="C1598" t="s">
        <v>50</v>
      </c>
      <c r="D1598" t="s">
        <v>13</v>
      </c>
      <c r="E1598">
        <v>2618</v>
      </c>
      <c r="F1598">
        <v>426.15</v>
      </c>
      <c r="G1598">
        <v>429.85</v>
      </c>
      <c r="H1598">
        <v>426.15</v>
      </c>
      <c r="I1598">
        <v>1174</v>
      </c>
      <c r="J1598">
        <v>45</v>
      </c>
      <c r="K1598" s="17">
        <f t="shared" si="193"/>
        <v>1761</v>
      </c>
      <c r="L1598" t="str">
        <f t="shared" si="194"/>
        <v>Sufficuent Stock</v>
      </c>
      <c r="P1598" s="19">
        <f t="shared" si="195"/>
        <v>0</v>
      </c>
      <c r="R1598" s="19">
        <f t="shared" si="192"/>
        <v>0</v>
      </c>
      <c r="T1598" s="19">
        <f t="shared" si="196"/>
        <v>504643.9</v>
      </c>
      <c r="U1598" s="19">
        <f t="shared" si="197"/>
        <v>500300.1</v>
      </c>
      <c r="V1598" s="21">
        <f t="shared" si="198"/>
        <v>-4343.8000000000466</v>
      </c>
      <c r="W1598" s="18">
        <f t="shared" si="199"/>
        <v>-8.6076538327324401E-3</v>
      </c>
    </row>
    <row r="1599" spans="1:23" x14ac:dyDescent="0.3">
      <c r="A1599" t="s">
        <v>132</v>
      </c>
      <c r="B1599" t="s">
        <v>1287</v>
      </c>
      <c r="C1599" t="s">
        <v>12</v>
      </c>
      <c r="D1599" t="s">
        <v>20</v>
      </c>
      <c r="E1599">
        <v>2620</v>
      </c>
      <c r="F1599">
        <v>519.80999999999995</v>
      </c>
      <c r="G1599">
        <v>440.99</v>
      </c>
      <c r="H1599">
        <v>519.80999999999995</v>
      </c>
      <c r="I1599">
        <v>3012</v>
      </c>
      <c r="J1599">
        <v>42</v>
      </c>
      <c r="K1599" s="17">
        <f t="shared" si="193"/>
        <v>4216.8</v>
      </c>
      <c r="L1599" t="str">
        <f t="shared" si="194"/>
        <v>High Risk</v>
      </c>
      <c r="P1599" s="19">
        <f t="shared" si="195"/>
        <v>1597</v>
      </c>
      <c r="R1599" s="19">
        <f t="shared" si="192"/>
        <v>830136.57</v>
      </c>
      <c r="T1599" s="19">
        <f t="shared" si="196"/>
        <v>1328261.8800000001</v>
      </c>
      <c r="U1599" s="19">
        <f t="shared" si="197"/>
        <v>1565667.7199999997</v>
      </c>
      <c r="V1599" s="21">
        <f t="shared" si="198"/>
        <v>237405.83999999962</v>
      </c>
      <c r="W1599" s="18">
        <f t="shared" si="199"/>
        <v>0.17873421166012804</v>
      </c>
    </row>
    <row r="1600" spans="1:23" x14ac:dyDescent="0.3">
      <c r="A1600" t="s">
        <v>825</v>
      </c>
      <c r="B1600" t="s">
        <v>2542</v>
      </c>
      <c r="C1600" t="s">
        <v>16</v>
      </c>
      <c r="D1600" t="s">
        <v>69</v>
      </c>
      <c r="E1600">
        <v>2626</v>
      </c>
      <c r="F1600">
        <v>190.48</v>
      </c>
      <c r="G1600">
        <v>188.54</v>
      </c>
      <c r="H1600">
        <v>190.48</v>
      </c>
      <c r="I1600">
        <v>1417</v>
      </c>
      <c r="J1600">
        <v>46</v>
      </c>
      <c r="K1600" s="17">
        <f t="shared" si="193"/>
        <v>2172.7333333333336</v>
      </c>
      <c r="L1600" t="str">
        <f t="shared" si="194"/>
        <v>Sufficuent Stock</v>
      </c>
      <c r="P1600" s="19">
        <f t="shared" si="195"/>
        <v>0</v>
      </c>
      <c r="R1600" s="19">
        <f t="shared" si="192"/>
        <v>0</v>
      </c>
      <c r="T1600" s="19">
        <f t="shared" si="196"/>
        <v>267161.18</v>
      </c>
      <c r="U1600" s="19">
        <f t="shared" si="197"/>
        <v>269910.15999999997</v>
      </c>
      <c r="V1600" s="21">
        <f t="shared" si="198"/>
        <v>2748.9799999999814</v>
      </c>
      <c r="W1600" s="18">
        <f t="shared" si="199"/>
        <v>1.0289593720165413E-2</v>
      </c>
    </row>
    <row r="1601" spans="1:23" x14ac:dyDescent="0.3">
      <c r="A1601" t="s">
        <v>949</v>
      </c>
      <c r="B1601" t="s">
        <v>1903</v>
      </c>
      <c r="C1601" t="s">
        <v>23</v>
      </c>
      <c r="D1601" t="s">
        <v>20</v>
      </c>
      <c r="E1601">
        <v>2627</v>
      </c>
      <c r="F1601">
        <v>256.13</v>
      </c>
      <c r="G1601">
        <v>215.62</v>
      </c>
      <c r="H1601">
        <v>256.13</v>
      </c>
      <c r="I1601">
        <v>3544</v>
      </c>
      <c r="J1601">
        <v>63</v>
      </c>
      <c r="K1601" s="17">
        <f t="shared" si="193"/>
        <v>7442.4000000000005</v>
      </c>
      <c r="L1601" t="str">
        <f t="shared" si="194"/>
        <v>High Risk</v>
      </c>
      <c r="P1601" s="19">
        <f t="shared" si="195"/>
        <v>4816</v>
      </c>
      <c r="R1601" s="19">
        <f t="shared" si="192"/>
        <v>1233522.08</v>
      </c>
      <c r="T1601" s="19">
        <f t="shared" si="196"/>
        <v>764157.28</v>
      </c>
      <c r="U1601" s="19">
        <f t="shared" si="197"/>
        <v>907724.72</v>
      </c>
      <c r="V1601" s="21">
        <f t="shared" si="198"/>
        <v>143567.43999999994</v>
      </c>
      <c r="W1601" s="18">
        <f t="shared" si="199"/>
        <v>0.1878768203320656</v>
      </c>
    </row>
    <row r="1602" spans="1:23" x14ac:dyDescent="0.3">
      <c r="A1602" t="s">
        <v>1322</v>
      </c>
      <c r="B1602" t="s">
        <v>3000</v>
      </c>
      <c r="C1602" t="s">
        <v>16</v>
      </c>
      <c r="D1602" t="s">
        <v>20</v>
      </c>
      <c r="E1602">
        <v>2632</v>
      </c>
      <c r="F1602">
        <v>103.12</v>
      </c>
      <c r="G1602">
        <v>91.68</v>
      </c>
      <c r="H1602">
        <v>103.12</v>
      </c>
      <c r="I1602">
        <v>1625</v>
      </c>
      <c r="J1602">
        <v>22</v>
      </c>
      <c r="K1602" s="17">
        <f t="shared" si="193"/>
        <v>1191.6666666666665</v>
      </c>
      <c r="L1602" t="str">
        <f t="shared" si="194"/>
        <v>Sufficuent Stock</v>
      </c>
      <c r="P1602" s="19">
        <f t="shared" si="195"/>
        <v>0</v>
      </c>
      <c r="R1602" s="19">
        <f t="shared" ref="R1602:R1665" si="200">P1602*H1602</f>
        <v>0</v>
      </c>
      <c r="T1602" s="19">
        <f t="shared" si="196"/>
        <v>148980</v>
      </c>
      <c r="U1602" s="19">
        <f t="shared" si="197"/>
        <v>167570</v>
      </c>
      <c r="V1602" s="21">
        <f t="shared" si="198"/>
        <v>18590</v>
      </c>
      <c r="W1602" s="18">
        <f t="shared" si="199"/>
        <v>0.12478184991273997</v>
      </c>
    </row>
    <row r="1603" spans="1:23" x14ac:dyDescent="0.3">
      <c r="A1603" t="s">
        <v>226</v>
      </c>
      <c r="B1603" t="s">
        <v>1536</v>
      </c>
      <c r="C1603" t="s">
        <v>16</v>
      </c>
      <c r="D1603" t="s">
        <v>13</v>
      </c>
      <c r="E1603">
        <v>2632</v>
      </c>
      <c r="F1603">
        <v>315.97000000000003</v>
      </c>
      <c r="G1603">
        <v>307.95</v>
      </c>
      <c r="H1603">
        <v>315.97000000000003</v>
      </c>
      <c r="I1603">
        <v>3306</v>
      </c>
      <c r="J1603">
        <v>53</v>
      </c>
      <c r="K1603" s="17">
        <f t="shared" ref="K1603:K1666" si="201">(I1603/30)*J1603</f>
        <v>5840.6</v>
      </c>
      <c r="L1603" t="str">
        <f t="shared" ref="L1603:L1666" si="202">IF(E1603&lt;K1603,"High Risk","Sufficuent Stock")</f>
        <v>High Risk</v>
      </c>
      <c r="P1603" s="19">
        <f t="shared" ref="P1603:P1666" si="203">ROUNDUP(MAX(0,K1603-E1603),0)</f>
        <v>3209</v>
      </c>
      <c r="R1603" s="19">
        <f t="shared" si="200"/>
        <v>1013947.7300000001</v>
      </c>
      <c r="T1603" s="19">
        <f t="shared" ref="T1603:T1666" si="204">I1603*G1603</f>
        <v>1018082.7</v>
      </c>
      <c r="U1603" s="19">
        <f t="shared" ref="U1603:U1666" si="205">I1603*H1603</f>
        <v>1044596.8200000001</v>
      </c>
      <c r="V1603" s="21">
        <f t="shared" ref="V1603:V1666" si="206">U1603-T1603</f>
        <v>26514.120000000112</v>
      </c>
      <c r="W1603" s="18">
        <f t="shared" ref="W1603:W1666" si="207">IFERROR(V1603/T1603,0)</f>
        <v>2.6043188829355527E-2</v>
      </c>
    </row>
    <row r="1604" spans="1:23" x14ac:dyDescent="0.3">
      <c r="A1604" t="s">
        <v>1074</v>
      </c>
      <c r="B1604" t="s">
        <v>2772</v>
      </c>
      <c r="C1604" t="s">
        <v>37</v>
      </c>
      <c r="D1604" t="s">
        <v>26</v>
      </c>
      <c r="E1604">
        <v>2634</v>
      </c>
      <c r="F1604">
        <v>66.06</v>
      </c>
      <c r="G1604">
        <v>62.49</v>
      </c>
      <c r="H1604">
        <v>66.06</v>
      </c>
      <c r="I1604">
        <v>3276</v>
      </c>
      <c r="J1604">
        <v>25</v>
      </c>
      <c r="K1604" s="17">
        <f t="shared" si="201"/>
        <v>2730</v>
      </c>
      <c r="L1604" t="str">
        <f t="shared" si="202"/>
        <v>High Risk</v>
      </c>
      <c r="P1604" s="19">
        <f t="shared" si="203"/>
        <v>96</v>
      </c>
      <c r="R1604" s="19">
        <f t="shared" si="200"/>
        <v>6341.76</v>
      </c>
      <c r="T1604" s="19">
        <f t="shared" si="204"/>
        <v>204717.24000000002</v>
      </c>
      <c r="U1604" s="19">
        <f t="shared" si="205"/>
        <v>216412.56</v>
      </c>
      <c r="V1604" s="21">
        <f t="shared" si="206"/>
        <v>11695.319999999978</v>
      </c>
      <c r="W1604" s="18">
        <f t="shared" si="207"/>
        <v>5.7129140662505885E-2</v>
      </c>
    </row>
    <row r="1605" spans="1:23" x14ac:dyDescent="0.3">
      <c r="A1605" t="s">
        <v>1445</v>
      </c>
      <c r="B1605" t="s">
        <v>1872</v>
      </c>
      <c r="C1605" t="s">
        <v>23</v>
      </c>
      <c r="D1605" t="s">
        <v>26</v>
      </c>
      <c r="E1605">
        <v>2636</v>
      </c>
      <c r="F1605">
        <v>255.19</v>
      </c>
      <c r="G1605">
        <v>239.54</v>
      </c>
      <c r="H1605">
        <v>255.19</v>
      </c>
      <c r="I1605">
        <v>2168</v>
      </c>
      <c r="J1605">
        <v>19</v>
      </c>
      <c r="K1605" s="17">
        <f t="shared" si="201"/>
        <v>1373.0666666666666</v>
      </c>
      <c r="L1605" t="str">
        <f t="shared" si="202"/>
        <v>Sufficuent Stock</v>
      </c>
      <c r="P1605" s="19">
        <f t="shared" si="203"/>
        <v>0</v>
      </c>
      <c r="R1605" s="19">
        <f t="shared" si="200"/>
        <v>0</v>
      </c>
      <c r="T1605" s="19">
        <f t="shared" si="204"/>
        <v>519322.72</v>
      </c>
      <c r="U1605" s="19">
        <f t="shared" si="205"/>
        <v>553251.92000000004</v>
      </c>
      <c r="V1605" s="21">
        <f t="shared" si="206"/>
        <v>33929.20000000007</v>
      </c>
      <c r="W1605" s="18">
        <f t="shared" si="207"/>
        <v>6.5333555982299549E-2</v>
      </c>
    </row>
    <row r="1606" spans="1:23" x14ac:dyDescent="0.3">
      <c r="A1606" t="s">
        <v>1071</v>
      </c>
      <c r="B1606" t="s">
        <v>1072</v>
      </c>
      <c r="C1606" t="s">
        <v>12</v>
      </c>
      <c r="D1606" t="s">
        <v>17</v>
      </c>
      <c r="E1606">
        <v>2636</v>
      </c>
      <c r="F1606">
        <v>383.35</v>
      </c>
      <c r="G1606">
        <v>357.86</v>
      </c>
      <c r="H1606">
        <v>383.35</v>
      </c>
      <c r="I1606">
        <v>2765</v>
      </c>
      <c r="J1606">
        <v>28</v>
      </c>
      <c r="K1606" s="17">
        <f t="shared" si="201"/>
        <v>2580.666666666667</v>
      </c>
      <c r="L1606" t="str">
        <f t="shared" si="202"/>
        <v>Sufficuent Stock</v>
      </c>
      <c r="P1606" s="19">
        <f t="shared" si="203"/>
        <v>0</v>
      </c>
      <c r="R1606" s="19">
        <f t="shared" si="200"/>
        <v>0</v>
      </c>
      <c r="T1606" s="19">
        <f t="shared" si="204"/>
        <v>989482.9</v>
      </c>
      <c r="U1606" s="19">
        <f t="shared" si="205"/>
        <v>1059962.75</v>
      </c>
      <c r="V1606" s="21">
        <f t="shared" si="206"/>
        <v>70479.849999999977</v>
      </c>
      <c r="W1606" s="18">
        <f t="shared" si="207"/>
        <v>7.1228972223774639E-2</v>
      </c>
    </row>
    <row r="1607" spans="1:23" x14ac:dyDescent="0.3">
      <c r="A1607" t="s">
        <v>666</v>
      </c>
      <c r="B1607" t="s">
        <v>3133</v>
      </c>
      <c r="C1607" t="s">
        <v>37</v>
      </c>
      <c r="D1607" t="s">
        <v>69</v>
      </c>
      <c r="E1607">
        <v>2637</v>
      </c>
      <c r="F1607">
        <v>39.97</v>
      </c>
      <c r="G1607">
        <v>42.68</v>
      </c>
      <c r="H1607">
        <v>39.97</v>
      </c>
      <c r="I1607">
        <v>2379</v>
      </c>
      <c r="J1607">
        <v>18</v>
      </c>
      <c r="K1607" s="17">
        <f t="shared" si="201"/>
        <v>1427.3999999999999</v>
      </c>
      <c r="L1607" t="str">
        <f t="shared" si="202"/>
        <v>Sufficuent Stock</v>
      </c>
      <c r="P1607" s="19">
        <f t="shared" si="203"/>
        <v>0</v>
      </c>
      <c r="R1607" s="19">
        <f t="shared" si="200"/>
        <v>0</v>
      </c>
      <c r="T1607" s="19">
        <f t="shared" si="204"/>
        <v>101535.72</v>
      </c>
      <c r="U1607" s="19">
        <f t="shared" si="205"/>
        <v>95088.62999999999</v>
      </c>
      <c r="V1607" s="21">
        <f t="shared" si="206"/>
        <v>-6447.0900000000111</v>
      </c>
      <c r="W1607" s="18">
        <f t="shared" si="207"/>
        <v>-6.349578256794762E-2</v>
      </c>
    </row>
    <row r="1608" spans="1:23" x14ac:dyDescent="0.3">
      <c r="A1608" t="s">
        <v>723</v>
      </c>
      <c r="B1608" t="s">
        <v>2400</v>
      </c>
      <c r="C1608" t="s">
        <v>12</v>
      </c>
      <c r="D1608" t="s">
        <v>13</v>
      </c>
      <c r="E1608">
        <v>2638</v>
      </c>
      <c r="F1608">
        <v>94.98</v>
      </c>
      <c r="G1608">
        <v>96.07</v>
      </c>
      <c r="H1608">
        <v>94.98</v>
      </c>
      <c r="I1608">
        <v>2377</v>
      </c>
      <c r="J1608">
        <v>54</v>
      </c>
      <c r="K1608" s="17">
        <f t="shared" si="201"/>
        <v>4278.6000000000004</v>
      </c>
      <c r="L1608" t="str">
        <f t="shared" si="202"/>
        <v>High Risk</v>
      </c>
      <c r="P1608" s="19">
        <f t="shared" si="203"/>
        <v>1641</v>
      </c>
      <c r="R1608" s="19">
        <f t="shared" si="200"/>
        <v>155862.18</v>
      </c>
      <c r="T1608" s="19">
        <f t="shared" si="204"/>
        <v>228358.38999999998</v>
      </c>
      <c r="U1608" s="19">
        <f t="shared" si="205"/>
        <v>225767.46000000002</v>
      </c>
      <c r="V1608" s="21">
        <f t="shared" si="206"/>
        <v>-2590.9299999999639</v>
      </c>
      <c r="W1608" s="18">
        <f t="shared" si="207"/>
        <v>-1.1345893619235816E-2</v>
      </c>
    </row>
    <row r="1609" spans="1:23" x14ac:dyDescent="0.3">
      <c r="A1609" t="s">
        <v>671</v>
      </c>
      <c r="B1609" t="s">
        <v>1057</v>
      </c>
      <c r="C1609" t="s">
        <v>12</v>
      </c>
      <c r="D1609" t="s">
        <v>20</v>
      </c>
      <c r="E1609">
        <v>2638</v>
      </c>
      <c r="F1609">
        <v>428.4</v>
      </c>
      <c r="G1609">
        <v>428.2</v>
      </c>
      <c r="H1609">
        <v>428.4</v>
      </c>
      <c r="I1609">
        <v>2569</v>
      </c>
      <c r="J1609">
        <v>37</v>
      </c>
      <c r="K1609" s="17">
        <f t="shared" si="201"/>
        <v>3168.4333333333334</v>
      </c>
      <c r="L1609" t="str">
        <f t="shared" si="202"/>
        <v>High Risk</v>
      </c>
      <c r="P1609" s="19">
        <f t="shared" si="203"/>
        <v>531</v>
      </c>
      <c r="R1609" s="19">
        <f t="shared" si="200"/>
        <v>227480.4</v>
      </c>
      <c r="T1609" s="19">
        <f t="shared" si="204"/>
        <v>1100045.8</v>
      </c>
      <c r="U1609" s="19">
        <f t="shared" si="205"/>
        <v>1100559.5999999999</v>
      </c>
      <c r="V1609" s="21">
        <f t="shared" si="206"/>
        <v>513.79999999981374</v>
      </c>
      <c r="W1609" s="18">
        <f t="shared" si="207"/>
        <v>4.6707146193350653E-4</v>
      </c>
    </row>
    <row r="1610" spans="1:23" x14ac:dyDescent="0.3">
      <c r="A1610" t="s">
        <v>671</v>
      </c>
      <c r="B1610" t="s">
        <v>3258</v>
      </c>
      <c r="C1610" t="s">
        <v>23</v>
      </c>
      <c r="D1610" t="s">
        <v>13</v>
      </c>
      <c r="E1610">
        <v>2639</v>
      </c>
      <c r="F1610">
        <v>512.61</v>
      </c>
      <c r="G1610">
        <v>494.99</v>
      </c>
      <c r="H1610">
        <v>512.61</v>
      </c>
      <c r="I1610">
        <v>3391</v>
      </c>
      <c r="J1610">
        <v>86</v>
      </c>
      <c r="K1610" s="17">
        <f t="shared" si="201"/>
        <v>9720.8666666666668</v>
      </c>
      <c r="L1610" t="str">
        <f t="shared" si="202"/>
        <v>High Risk</v>
      </c>
      <c r="P1610" s="19">
        <f t="shared" si="203"/>
        <v>7082</v>
      </c>
      <c r="R1610" s="19">
        <f t="shared" si="200"/>
        <v>3630304.02</v>
      </c>
      <c r="T1610" s="19">
        <f t="shared" si="204"/>
        <v>1678511.09</v>
      </c>
      <c r="U1610" s="19">
        <f t="shared" si="205"/>
        <v>1738260.51</v>
      </c>
      <c r="V1610" s="21">
        <f t="shared" si="206"/>
        <v>59749.419999999925</v>
      </c>
      <c r="W1610" s="18">
        <f t="shared" si="207"/>
        <v>3.5596678720782191E-2</v>
      </c>
    </row>
    <row r="1611" spans="1:23" x14ac:dyDescent="0.3">
      <c r="A1611" t="s">
        <v>416</v>
      </c>
      <c r="B1611" t="s">
        <v>1556</v>
      </c>
      <c r="C1611" t="s">
        <v>23</v>
      </c>
      <c r="D1611" t="s">
        <v>13</v>
      </c>
      <c r="E1611">
        <v>2640</v>
      </c>
      <c r="F1611">
        <v>536.04</v>
      </c>
      <c r="G1611">
        <v>464.03</v>
      </c>
      <c r="H1611">
        <v>536.04</v>
      </c>
      <c r="I1611">
        <v>3723</v>
      </c>
      <c r="J1611">
        <v>10</v>
      </c>
      <c r="K1611" s="17">
        <f t="shared" si="201"/>
        <v>1241</v>
      </c>
      <c r="L1611" t="str">
        <f t="shared" si="202"/>
        <v>Sufficuent Stock</v>
      </c>
      <c r="P1611" s="19">
        <f t="shared" si="203"/>
        <v>0</v>
      </c>
      <c r="R1611" s="19">
        <f t="shared" si="200"/>
        <v>0</v>
      </c>
      <c r="T1611" s="19">
        <f t="shared" si="204"/>
        <v>1727583.69</v>
      </c>
      <c r="U1611" s="19">
        <f t="shared" si="205"/>
        <v>1995676.92</v>
      </c>
      <c r="V1611" s="21">
        <f t="shared" si="206"/>
        <v>268093.23</v>
      </c>
      <c r="W1611" s="18">
        <f t="shared" si="207"/>
        <v>0.15518393207335732</v>
      </c>
    </row>
    <row r="1612" spans="1:23" x14ac:dyDescent="0.3">
      <c r="A1612" t="s">
        <v>413</v>
      </c>
      <c r="B1612" t="s">
        <v>414</v>
      </c>
      <c r="C1612" t="s">
        <v>23</v>
      </c>
      <c r="D1612" t="s">
        <v>26</v>
      </c>
      <c r="E1612">
        <v>2643</v>
      </c>
      <c r="F1612">
        <v>372.49</v>
      </c>
      <c r="G1612">
        <v>388.79</v>
      </c>
      <c r="H1612">
        <v>372.49</v>
      </c>
      <c r="I1612">
        <v>1835</v>
      </c>
      <c r="J1612">
        <v>41</v>
      </c>
      <c r="K1612" s="17">
        <f t="shared" si="201"/>
        <v>2507.833333333333</v>
      </c>
      <c r="L1612" t="str">
        <f t="shared" si="202"/>
        <v>Sufficuent Stock</v>
      </c>
      <c r="P1612" s="19">
        <f t="shared" si="203"/>
        <v>0</v>
      </c>
      <c r="R1612" s="19">
        <f t="shared" si="200"/>
        <v>0</v>
      </c>
      <c r="T1612" s="19">
        <f t="shared" si="204"/>
        <v>713429.65</v>
      </c>
      <c r="U1612" s="19">
        <f t="shared" si="205"/>
        <v>683519.15</v>
      </c>
      <c r="V1612" s="21">
        <f t="shared" si="206"/>
        <v>-29910.5</v>
      </c>
      <c r="W1612" s="18">
        <f t="shared" si="207"/>
        <v>-4.1924946629285732E-2</v>
      </c>
    </row>
    <row r="1613" spans="1:23" x14ac:dyDescent="0.3">
      <c r="A1613" t="s">
        <v>673</v>
      </c>
      <c r="B1613" t="s">
        <v>2309</v>
      </c>
      <c r="C1613" t="s">
        <v>16</v>
      </c>
      <c r="D1613" t="s">
        <v>17</v>
      </c>
      <c r="E1613">
        <v>2644</v>
      </c>
      <c r="F1613">
        <v>471.55</v>
      </c>
      <c r="G1613">
        <v>470.71</v>
      </c>
      <c r="H1613">
        <v>471.55</v>
      </c>
      <c r="I1613">
        <v>502</v>
      </c>
      <c r="J1613">
        <v>51</v>
      </c>
      <c r="K1613" s="17">
        <f t="shared" si="201"/>
        <v>853.40000000000009</v>
      </c>
      <c r="L1613" t="str">
        <f t="shared" si="202"/>
        <v>Sufficuent Stock</v>
      </c>
      <c r="P1613" s="19">
        <f t="shared" si="203"/>
        <v>0</v>
      </c>
      <c r="R1613" s="19">
        <f t="shared" si="200"/>
        <v>0</v>
      </c>
      <c r="T1613" s="19">
        <f t="shared" si="204"/>
        <v>236296.41999999998</v>
      </c>
      <c r="U1613" s="19">
        <f t="shared" si="205"/>
        <v>236718.1</v>
      </c>
      <c r="V1613" s="21">
        <f t="shared" si="206"/>
        <v>421.68000000002212</v>
      </c>
      <c r="W1613" s="18">
        <f t="shared" si="207"/>
        <v>1.7845382507277179E-3</v>
      </c>
    </row>
    <row r="1614" spans="1:23" x14ac:dyDescent="0.3">
      <c r="A1614" t="s">
        <v>72</v>
      </c>
      <c r="B1614" t="s">
        <v>1152</v>
      </c>
      <c r="C1614" t="s">
        <v>16</v>
      </c>
      <c r="D1614" t="s">
        <v>20</v>
      </c>
      <c r="E1614">
        <v>2645</v>
      </c>
      <c r="F1614">
        <v>448.45</v>
      </c>
      <c r="G1614">
        <v>444.14</v>
      </c>
      <c r="H1614">
        <v>448.45</v>
      </c>
      <c r="I1614">
        <v>517</v>
      </c>
      <c r="J1614">
        <v>28</v>
      </c>
      <c r="K1614" s="17">
        <f t="shared" si="201"/>
        <v>482.53333333333336</v>
      </c>
      <c r="L1614" t="str">
        <f t="shared" si="202"/>
        <v>Sufficuent Stock</v>
      </c>
      <c r="P1614" s="19">
        <f t="shared" si="203"/>
        <v>0</v>
      </c>
      <c r="R1614" s="19">
        <f t="shared" si="200"/>
        <v>0</v>
      </c>
      <c r="T1614" s="19">
        <f t="shared" si="204"/>
        <v>229620.38</v>
      </c>
      <c r="U1614" s="19">
        <f t="shared" si="205"/>
        <v>231848.65</v>
      </c>
      <c r="V1614" s="21">
        <f t="shared" si="206"/>
        <v>2228.2699999999895</v>
      </c>
      <c r="W1614" s="18">
        <f t="shared" si="207"/>
        <v>9.7041473409284901E-3</v>
      </c>
    </row>
    <row r="1615" spans="1:23" x14ac:dyDescent="0.3">
      <c r="A1615" t="s">
        <v>629</v>
      </c>
      <c r="B1615" t="s">
        <v>1855</v>
      </c>
      <c r="C1615" t="s">
        <v>16</v>
      </c>
      <c r="D1615" t="s">
        <v>20</v>
      </c>
      <c r="E1615">
        <v>2647</v>
      </c>
      <c r="F1615">
        <v>51.25</v>
      </c>
      <c r="G1615">
        <v>52.87</v>
      </c>
      <c r="H1615">
        <v>51.25</v>
      </c>
      <c r="I1615">
        <v>3427</v>
      </c>
      <c r="J1615">
        <v>52</v>
      </c>
      <c r="K1615" s="17">
        <f t="shared" si="201"/>
        <v>5940.1333333333332</v>
      </c>
      <c r="L1615" t="str">
        <f t="shared" si="202"/>
        <v>High Risk</v>
      </c>
      <c r="P1615" s="19">
        <f t="shared" si="203"/>
        <v>3294</v>
      </c>
      <c r="R1615" s="19">
        <f t="shared" si="200"/>
        <v>168817.5</v>
      </c>
      <c r="T1615" s="19">
        <f t="shared" si="204"/>
        <v>181185.49</v>
      </c>
      <c r="U1615" s="19">
        <f t="shared" si="205"/>
        <v>175633.75</v>
      </c>
      <c r="V1615" s="21">
        <f t="shared" si="206"/>
        <v>-5551.7399999999907</v>
      </c>
      <c r="W1615" s="18">
        <f t="shared" si="207"/>
        <v>-3.0641195384906325E-2</v>
      </c>
    </row>
    <row r="1616" spans="1:23" x14ac:dyDescent="0.3">
      <c r="A1616" t="s">
        <v>306</v>
      </c>
      <c r="B1616" t="s">
        <v>2821</v>
      </c>
      <c r="C1616" t="s">
        <v>23</v>
      </c>
      <c r="D1616" t="s">
        <v>13</v>
      </c>
      <c r="E1616">
        <v>2649</v>
      </c>
      <c r="F1616">
        <v>75.709999999999994</v>
      </c>
      <c r="G1616">
        <v>63.47</v>
      </c>
      <c r="H1616">
        <v>75.709999999999994</v>
      </c>
      <c r="I1616">
        <v>1511</v>
      </c>
      <c r="J1616">
        <v>39</v>
      </c>
      <c r="K1616" s="17">
        <f t="shared" si="201"/>
        <v>1964.3</v>
      </c>
      <c r="L1616" t="str">
        <f t="shared" si="202"/>
        <v>Sufficuent Stock</v>
      </c>
      <c r="P1616" s="19">
        <f t="shared" si="203"/>
        <v>0</v>
      </c>
      <c r="R1616" s="19">
        <f t="shared" si="200"/>
        <v>0</v>
      </c>
      <c r="T1616" s="19">
        <f t="shared" si="204"/>
        <v>95903.17</v>
      </c>
      <c r="U1616" s="19">
        <f t="shared" si="205"/>
        <v>114397.81</v>
      </c>
      <c r="V1616" s="21">
        <f t="shared" si="206"/>
        <v>18494.64</v>
      </c>
      <c r="W1616" s="18">
        <f t="shared" si="207"/>
        <v>0.19284701433748228</v>
      </c>
    </row>
    <row r="1617" spans="1:23" x14ac:dyDescent="0.3">
      <c r="A1617" t="s">
        <v>338</v>
      </c>
      <c r="B1617" t="s">
        <v>1473</v>
      </c>
      <c r="C1617" t="s">
        <v>12</v>
      </c>
      <c r="D1617" t="s">
        <v>69</v>
      </c>
      <c r="E1617">
        <v>2650</v>
      </c>
      <c r="F1617">
        <v>457.48</v>
      </c>
      <c r="G1617">
        <v>485.74</v>
      </c>
      <c r="H1617">
        <v>457.48</v>
      </c>
      <c r="I1617">
        <v>3756</v>
      </c>
      <c r="J1617">
        <v>13</v>
      </c>
      <c r="K1617" s="17">
        <f t="shared" si="201"/>
        <v>1627.6000000000001</v>
      </c>
      <c r="L1617" t="str">
        <f t="shared" si="202"/>
        <v>Sufficuent Stock</v>
      </c>
      <c r="P1617" s="19">
        <f t="shared" si="203"/>
        <v>0</v>
      </c>
      <c r="R1617" s="19">
        <f t="shared" si="200"/>
        <v>0</v>
      </c>
      <c r="T1617" s="19">
        <f t="shared" si="204"/>
        <v>1824439.44</v>
      </c>
      <c r="U1617" s="19">
        <f t="shared" si="205"/>
        <v>1718294.8800000001</v>
      </c>
      <c r="V1617" s="21">
        <f t="shared" si="206"/>
        <v>-106144.55999999982</v>
      </c>
      <c r="W1617" s="18">
        <f t="shared" si="207"/>
        <v>-5.8179272862024858E-2</v>
      </c>
    </row>
    <row r="1618" spans="1:23" x14ac:dyDescent="0.3">
      <c r="A1618" t="s">
        <v>92</v>
      </c>
      <c r="B1618" t="s">
        <v>3327</v>
      </c>
      <c r="C1618" t="s">
        <v>50</v>
      </c>
      <c r="D1618" t="s">
        <v>69</v>
      </c>
      <c r="E1618">
        <v>2651</v>
      </c>
      <c r="F1618">
        <v>292.31</v>
      </c>
      <c r="G1618">
        <v>319.13</v>
      </c>
      <c r="H1618">
        <v>292.31</v>
      </c>
      <c r="I1618">
        <v>1680</v>
      </c>
      <c r="J1618">
        <v>29</v>
      </c>
      <c r="K1618" s="17">
        <f t="shared" si="201"/>
        <v>1624</v>
      </c>
      <c r="L1618" t="str">
        <f t="shared" si="202"/>
        <v>Sufficuent Stock</v>
      </c>
      <c r="P1618" s="19">
        <f t="shared" si="203"/>
        <v>0</v>
      </c>
      <c r="R1618" s="19">
        <f t="shared" si="200"/>
        <v>0</v>
      </c>
      <c r="T1618" s="19">
        <f t="shared" si="204"/>
        <v>536138.4</v>
      </c>
      <c r="U1618" s="19">
        <f t="shared" si="205"/>
        <v>491080.8</v>
      </c>
      <c r="V1618" s="21">
        <f t="shared" si="206"/>
        <v>-45057.600000000035</v>
      </c>
      <c r="W1618" s="18">
        <f t="shared" si="207"/>
        <v>-8.4040986431861683E-2</v>
      </c>
    </row>
    <row r="1619" spans="1:23" x14ac:dyDescent="0.3">
      <c r="A1619" t="s">
        <v>418</v>
      </c>
      <c r="B1619" t="s">
        <v>1831</v>
      </c>
      <c r="C1619" t="s">
        <v>23</v>
      </c>
      <c r="D1619" t="s">
        <v>69</v>
      </c>
      <c r="E1619">
        <v>2651</v>
      </c>
      <c r="F1619">
        <v>219.47</v>
      </c>
      <c r="G1619">
        <v>199.15</v>
      </c>
      <c r="H1619">
        <v>219.47</v>
      </c>
      <c r="I1619">
        <v>2249</v>
      </c>
      <c r="J1619">
        <v>19</v>
      </c>
      <c r="K1619" s="17">
        <f t="shared" si="201"/>
        <v>1424.3666666666668</v>
      </c>
      <c r="L1619" t="str">
        <f t="shared" si="202"/>
        <v>Sufficuent Stock</v>
      </c>
      <c r="P1619" s="19">
        <f t="shared" si="203"/>
        <v>0</v>
      </c>
      <c r="R1619" s="19">
        <f t="shared" si="200"/>
        <v>0</v>
      </c>
      <c r="T1619" s="19">
        <f t="shared" si="204"/>
        <v>447888.35000000003</v>
      </c>
      <c r="U1619" s="19">
        <f t="shared" si="205"/>
        <v>493588.02999999997</v>
      </c>
      <c r="V1619" s="21">
        <f t="shared" si="206"/>
        <v>45699.679999999935</v>
      </c>
      <c r="W1619" s="18">
        <f t="shared" si="207"/>
        <v>0.10203364298267623</v>
      </c>
    </row>
    <row r="1620" spans="1:23" x14ac:dyDescent="0.3">
      <c r="A1620" t="s">
        <v>673</v>
      </c>
      <c r="B1620" t="s">
        <v>849</v>
      </c>
      <c r="C1620" t="s">
        <v>12</v>
      </c>
      <c r="D1620" t="s">
        <v>26</v>
      </c>
      <c r="E1620">
        <v>2654</v>
      </c>
      <c r="F1620">
        <v>124.07</v>
      </c>
      <c r="G1620">
        <v>119.68</v>
      </c>
      <c r="H1620">
        <v>124.07</v>
      </c>
      <c r="I1620">
        <v>3739</v>
      </c>
      <c r="J1620">
        <v>67</v>
      </c>
      <c r="K1620" s="17">
        <f t="shared" si="201"/>
        <v>8350.4333333333343</v>
      </c>
      <c r="L1620" t="str">
        <f t="shared" si="202"/>
        <v>High Risk</v>
      </c>
      <c r="P1620" s="19">
        <f t="shared" si="203"/>
        <v>5697</v>
      </c>
      <c r="R1620" s="19">
        <f t="shared" si="200"/>
        <v>706826.78999999992</v>
      </c>
      <c r="T1620" s="19">
        <f t="shared" si="204"/>
        <v>447483.52</v>
      </c>
      <c r="U1620" s="19">
        <f t="shared" si="205"/>
        <v>463897.73</v>
      </c>
      <c r="V1620" s="21">
        <f t="shared" si="206"/>
        <v>16414.209999999963</v>
      </c>
      <c r="W1620" s="18">
        <f t="shared" si="207"/>
        <v>3.6681149732620238E-2</v>
      </c>
    </row>
    <row r="1621" spans="1:23" x14ac:dyDescent="0.3">
      <c r="A1621" t="s">
        <v>246</v>
      </c>
      <c r="B1621" t="s">
        <v>3073</v>
      </c>
      <c r="C1621" t="s">
        <v>23</v>
      </c>
      <c r="D1621" t="s">
        <v>13</v>
      </c>
      <c r="E1621">
        <v>2656</v>
      </c>
      <c r="F1621">
        <v>17.739999999999998</v>
      </c>
      <c r="G1621">
        <v>19.36</v>
      </c>
      <c r="H1621">
        <v>17.739999999999998</v>
      </c>
      <c r="I1621">
        <v>2018</v>
      </c>
      <c r="J1621">
        <v>58</v>
      </c>
      <c r="K1621" s="17">
        <f t="shared" si="201"/>
        <v>3901.4666666666667</v>
      </c>
      <c r="L1621" t="str">
        <f t="shared" si="202"/>
        <v>High Risk</v>
      </c>
      <c r="P1621" s="19">
        <f t="shared" si="203"/>
        <v>1246</v>
      </c>
      <c r="R1621" s="19">
        <f t="shared" si="200"/>
        <v>22104.039999999997</v>
      </c>
      <c r="T1621" s="19">
        <f t="shared" si="204"/>
        <v>39068.479999999996</v>
      </c>
      <c r="U1621" s="19">
        <f t="shared" si="205"/>
        <v>35799.32</v>
      </c>
      <c r="V1621" s="21">
        <f t="shared" si="206"/>
        <v>-3269.1599999999962</v>
      </c>
      <c r="W1621" s="18">
        <f t="shared" si="207"/>
        <v>-8.3677685950413139E-2</v>
      </c>
    </row>
    <row r="1622" spans="1:23" x14ac:dyDescent="0.3">
      <c r="A1622" t="s">
        <v>205</v>
      </c>
      <c r="B1622" t="s">
        <v>1329</v>
      </c>
      <c r="C1622" t="s">
        <v>50</v>
      </c>
      <c r="D1622" t="s">
        <v>13</v>
      </c>
      <c r="E1622">
        <v>2658</v>
      </c>
      <c r="F1622">
        <v>233.85</v>
      </c>
      <c r="G1622">
        <v>201.58</v>
      </c>
      <c r="H1622">
        <v>233.85</v>
      </c>
      <c r="I1622">
        <v>2296</v>
      </c>
      <c r="J1622">
        <v>38</v>
      </c>
      <c r="K1622" s="17">
        <f t="shared" si="201"/>
        <v>2908.2666666666664</v>
      </c>
      <c r="L1622" t="str">
        <f t="shared" si="202"/>
        <v>High Risk</v>
      </c>
      <c r="P1622" s="19">
        <f t="shared" si="203"/>
        <v>251</v>
      </c>
      <c r="R1622" s="19">
        <f t="shared" si="200"/>
        <v>58696.35</v>
      </c>
      <c r="T1622" s="19">
        <f t="shared" si="204"/>
        <v>462827.68000000005</v>
      </c>
      <c r="U1622" s="19">
        <f t="shared" si="205"/>
        <v>536919.6</v>
      </c>
      <c r="V1622" s="21">
        <f t="shared" si="206"/>
        <v>74091.919999999925</v>
      </c>
      <c r="W1622" s="18">
        <f t="shared" si="207"/>
        <v>0.16008532592519081</v>
      </c>
    </row>
    <row r="1623" spans="1:23" x14ac:dyDescent="0.3">
      <c r="A1623" t="s">
        <v>35</v>
      </c>
      <c r="B1623" t="s">
        <v>1388</v>
      </c>
      <c r="C1623" t="s">
        <v>16</v>
      </c>
      <c r="D1623" t="s">
        <v>17</v>
      </c>
      <c r="E1623">
        <v>2661</v>
      </c>
      <c r="F1623">
        <v>126.24</v>
      </c>
      <c r="G1623">
        <v>107.2</v>
      </c>
      <c r="H1623">
        <v>126.24</v>
      </c>
      <c r="I1623">
        <v>3629</v>
      </c>
      <c r="J1623">
        <v>15</v>
      </c>
      <c r="K1623" s="17">
        <f t="shared" si="201"/>
        <v>1814.5</v>
      </c>
      <c r="L1623" t="str">
        <f t="shared" si="202"/>
        <v>Sufficuent Stock</v>
      </c>
      <c r="P1623" s="19">
        <f t="shared" si="203"/>
        <v>0</v>
      </c>
      <c r="R1623" s="19">
        <f t="shared" si="200"/>
        <v>0</v>
      </c>
      <c r="T1623" s="19">
        <f t="shared" si="204"/>
        <v>389028.8</v>
      </c>
      <c r="U1623" s="19">
        <f t="shared" si="205"/>
        <v>458124.95999999996</v>
      </c>
      <c r="V1623" s="21">
        <f t="shared" si="206"/>
        <v>69096.159999999974</v>
      </c>
      <c r="W1623" s="18">
        <f t="shared" si="207"/>
        <v>0.17761194029850741</v>
      </c>
    </row>
    <row r="1624" spans="1:23" x14ac:dyDescent="0.3">
      <c r="A1624" t="s">
        <v>256</v>
      </c>
      <c r="B1624" t="s">
        <v>3125</v>
      </c>
      <c r="C1624" t="s">
        <v>16</v>
      </c>
      <c r="D1624" t="s">
        <v>13</v>
      </c>
      <c r="E1624">
        <v>2663</v>
      </c>
      <c r="F1624">
        <v>205.33</v>
      </c>
      <c r="G1624">
        <v>183.14</v>
      </c>
      <c r="H1624">
        <v>205.33</v>
      </c>
      <c r="I1624">
        <v>2468</v>
      </c>
      <c r="J1624">
        <v>57</v>
      </c>
      <c r="K1624" s="17">
        <f t="shared" si="201"/>
        <v>4689.2</v>
      </c>
      <c r="L1624" t="str">
        <f t="shared" si="202"/>
        <v>High Risk</v>
      </c>
      <c r="P1624" s="19">
        <f t="shared" si="203"/>
        <v>2027</v>
      </c>
      <c r="R1624" s="19">
        <f t="shared" si="200"/>
        <v>416203.91000000003</v>
      </c>
      <c r="T1624" s="19">
        <f t="shared" si="204"/>
        <v>451989.51999999996</v>
      </c>
      <c r="U1624" s="19">
        <f t="shared" si="205"/>
        <v>506754.44</v>
      </c>
      <c r="V1624" s="21">
        <f t="shared" si="206"/>
        <v>54764.920000000042</v>
      </c>
      <c r="W1624" s="18">
        <f t="shared" si="207"/>
        <v>0.12116413672600207</v>
      </c>
    </row>
    <row r="1625" spans="1:23" x14ac:dyDescent="0.3">
      <c r="A1625" t="s">
        <v>331</v>
      </c>
      <c r="B1625" t="s">
        <v>1941</v>
      </c>
      <c r="C1625" t="s">
        <v>37</v>
      </c>
      <c r="D1625" t="s">
        <v>13</v>
      </c>
      <c r="E1625">
        <v>2663</v>
      </c>
      <c r="F1625">
        <v>262.64</v>
      </c>
      <c r="G1625">
        <v>233.13</v>
      </c>
      <c r="H1625">
        <v>262.64</v>
      </c>
      <c r="I1625">
        <v>1687</v>
      </c>
      <c r="J1625">
        <v>13</v>
      </c>
      <c r="K1625" s="17">
        <f t="shared" si="201"/>
        <v>731.0333333333333</v>
      </c>
      <c r="L1625" t="str">
        <f t="shared" si="202"/>
        <v>Sufficuent Stock</v>
      </c>
      <c r="P1625" s="19">
        <f t="shared" si="203"/>
        <v>0</v>
      </c>
      <c r="R1625" s="19">
        <f t="shared" si="200"/>
        <v>0</v>
      </c>
      <c r="T1625" s="19">
        <f t="shared" si="204"/>
        <v>393290.31</v>
      </c>
      <c r="U1625" s="19">
        <f t="shared" si="205"/>
        <v>443073.68</v>
      </c>
      <c r="V1625" s="21">
        <f t="shared" si="206"/>
        <v>49783.369999999995</v>
      </c>
      <c r="W1625" s="18">
        <f t="shared" si="207"/>
        <v>0.12658173551237506</v>
      </c>
    </row>
    <row r="1626" spans="1:23" x14ac:dyDescent="0.3">
      <c r="A1626" t="s">
        <v>635</v>
      </c>
      <c r="B1626" t="s">
        <v>1055</v>
      </c>
      <c r="C1626" t="s">
        <v>50</v>
      </c>
      <c r="D1626" t="s">
        <v>20</v>
      </c>
      <c r="E1626">
        <v>2663</v>
      </c>
      <c r="F1626">
        <v>140.28</v>
      </c>
      <c r="G1626">
        <v>134.78</v>
      </c>
      <c r="H1626">
        <v>140.28</v>
      </c>
      <c r="I1626">
        <v>241</v>
      </c>
      <c r="J1626">
        <v>53</v>
      </c>
      <c r="K1626" s="17">
        <f t="shared" si="201"/>
        <v>425.76666666666665</v>
      </c>
      <c r="L1626" t="str">
        <f t="shared" si="202"/>
        <v>Sufficuent Stock</v>
      </c>
      <c r="P1626" s="19">
        <f t="shared" si="203"/>
        <v>0</v>
      </c>
      <c r="R1626" s="19">
        <f t="shared" si="200"/>
        <v>0</v>
      </c>
      <c r="T1626" s="19">
        <f t="shared" si="204"/>
        <v>32481.98</v>
      </c>
      <c r="U1626" s="19">
        <f t="shared" si="205"/>
        <v>33807.480000000003</v>
      </c>
      <c r="V1626" s="21">
        <f t="shared" si="206"/>
        <v>1325.5000000000036</v>
      </c>
      <c r="W1626" s="18">
        <f t="shared" si="207"/>
        <v>4.080724143047941E-2</v>
      </c>
    </row>
    <row r="1627" spans="1:23" x14ac:dyDescent="0.3">
      <c r="A1627" t="s">
        <v>820</v>
      </c>
      <c r="B1627" t="s">
        <v>1645</v>
      </c>
      <c r="C1627" t="s">
        <v>50</v>
      </c>
      <c r="D1627" t="s">
        <v>20</v>
      </c>
      <c r="E1627">
        <v>2664</v>
      </c>
      <c r="F1627">
        <v>416.47</v>
      </c>
      <c r="G1627">
        <v>432.8</v>
      </c>
      <c r="H1627">
        <v>416.47</v>
      </c>
      <c r="I1627">
        <v>1814</v>
      </c>
      <c r="J1627">
        <v>47</v>
      </c>
      <c r="K1627" s="17">
        <f t="shared" si="201"/>
        <v>2841.9333333333334</v>
      </c>
      <c r="L1627" t="str">
        <f t="shared" si="202"/>
        <v>High Risk</v>
      </c>
      <c r="P1627" s="19">
        <f t="shared" si="203"/>
        <v>178</v>
      </c>
      <c r="R1627" s="19">
        <f t="shared" si="200"/>
        <v>74131.66</v>
      </c>
      <c r="T1627" s="19">
        <f t="shared" si="204"/>
        <v>785099.20000000007</v>
      </c>
      <c r="U1627" s="19">
        <f t="shared" si="205"/>
        <v>755476.58000000007</v>
      </c>
      <c r="V1627" s="21">
        <f t="shared" si="206"/>
        <v>-29622.619999999995</v>
      </c>
      <c r="W1627" s="18">
        <f t="shared" si="207"/>
        <v>-3.7731053604436217E-2</v>
      </c>
    </row>
    <row r="1628" spans="1:23" x14ac:dyDescent="0.3">
      <c r="A1628" t="s">
        <v>1542</v>
      </c>
      <c r="B1628" t="s">
        <v>3381</v>
      </c>
      <c r="C1628" t="s">
        <v>50</v>
      </c>
      <c r="D1628" t="s">
        <v>13</v>
      </c>
      <c r="E1628">
        <v>2670</v>
      </c>
      <c r="F1628">
        <v>371.82</v>
      </c>
      <c r="G1628">
        <v>340.85</v>
      </c>
      <c r="H1628">
        <v>371.82</v>
      </c>
      <c r="I1628">
        <v>433</v>
      </c>
      <c r="J1628">
        <v>9</v>
      </c>
      <c r="K1628" s="17">
        <f t="shared" si="201"/>
        <v>129.9</v>
      </c>
      <c r="L1628" t="str">
        <f t="shared" si="202"/>
        <v>Sufficuent Stock</v>
      </c>
      <c r="P1628" s="19">
        <f t="shared" si="203"/>
        <v>0</v>
      </c>
      <c r="R1628" s="19">
        <f t="shared" si="200"/>
        <v>0</v>
      </c>
      <c r="T1628" s="19">
        <f t="shared" si="204"/>
        <v>147588.05000000002</v>
      </c>
      <c r="U1628" s="19">
        <f t="shared" si="205"/>
        <v>160998.06</v>
      </c>
      <c r="V1628" s="21">
        <f t="shared" si="206"/>
        <v>13410.00999999998</v>
      </c>
      <c r="W1628" s="18">
        <f t="shared" si="207"/>
        <v>9.0861082587648384E-2</v>
      </c>
    </row>
    <row r="1629" spans="1:23" x14ac:dyDescent="0.3">
      <c r="A1629" t="s">
        <v>1096</v>
      </c>
      <c r="B1629" t="s">
        <v>2535</v>
      </c>
      <c r="C1629" t="s">
        <v>37</v>
      </c>
      <c r="D1629" t="s">
        <v>26</v>
      </c>
      <c r="E1629">
        <v>2678</v>
      </c>
      <c r="F1629">
        <v>434.16</v>
      </c>
      <c r="G1629">
        <v>383.35</v>
      </c>
      <c r="H1629">
        <v>434.16</v>
      </c>
      <c r="I1629">
        <v>3305</v>
      </c>
      <c r="J1629">
        <v>72</v>
      </c>
      <c r="K1629" s="17">
        <f t="shared" si="201"/>
        <v>7932</v>
      </c>
      <c r="L1629" t="str">
        <f t="shared" si="202"/>
        <v>High Risk</v>
      </c>
      <c r="P1629" s="19">
        <f t="shared" si="203"/>
        <v>5254</v>
      </c>
      <c r="R1629" s="19">
        <f t="shared" si="200"/>
        <v>2281076.64</v>
      </c>
      <c r="T1629" s="19">
        <f t="shared" si="204"/>
        <v>1266971.75</v>
      </c>
      <c r="U1629" s="19">
        <f t="shared" si="205"/>
        <v>1434898.8</v>
      </c>
      <c r="V1629" s="21">
        <f t="shared" si="206"/>
        <v>167927.05000000005</v>
      </c>
      <c r="W1629" s="18">
        <f t="shared" si="207"/>
        <v>0.13254206338854835</v>
      </c>
    </row>
    <row r="1630" spans="1:23" x14ac:dyDescent="0.3">
      <c r="A1630" t="s">
        <v>323</v>
      </c>
      <c r="B1630" t="s">
        <v>986</v>
      </c>
      <c r="C1630" t="s">
        <v>16</v>
      </c>
      <c r="D1630" t="s">
        <v>69</v>
      </c>
      <c r="E1630">
        <v>2679</v>
      </c>
      <c r="F1630">
        <v>511.05</v>
      </c>
      <c r="G1630">
        <v>477</v>
      </c>
      <c r="H1630">
        <v>511.05</v>
      </c>
      <c r="I1630">
        <v>1403</v>
      </c>
      <c r="J1630">
        <v>79</v>
      </c>
      <c r="K1630" s="17">
        <f t="shared" si="201"/>
        <v>3694.5666666666666</v>
      </c>
      <c r="L1630" t="str">
        <f t="shared" si="202"/>
        <v>High Risk</v>
      </c>
      <c r="P1630" s="19">
        <f t="shared" si="203"/>
        <v>1016</v>
      </c>
      <c r="R1630" s="19">
        <f t="shared" si="200"/>
        <v>519226.8</v>
      </c>
      <c r="T1630" s="19">
        <f t="shared" si="204"/>
        <v>669231</v>
      </c>
      <c r="U1630" s="19">
        <f t="shared" si="205"/>
        <v>717003.15</v>
      </c>
      <c r="V1630" s="21">
        <f t="shared" si="206"/>
        <v>47772.150000000023</v>
      </c>
      <c r="W1630" s="18">
        <f t="shared" si="207"/>
        <v>7.1383647798742178E-2</v>
      </c>
    </row>
    <row r="1631" spans="1:23" x14ac:dyDescent="0.3">
      <c r="A1631" t="s">
        <v>600</v>
      </c>
      <c r="B1631" t="s">
        <v>2648</v>
      </c>
      <c r="C1631" t="s">
        <v>50</v>
      </c>
      <c r="D1631" t="s">
        <v>13</v>
      </c>
      <c r="E1631">
        <v>2682</v>
      </c>
      <c r="F1631">
        <v>181.18</v>
      </c>
      <c r="G1631">
        <v>174.27</v>
      </c>
      <c r="H1631">
        <v>181.18</v>
      </c>
      <c r="I1631">
        <v>3274</v>
      </c>
      <c r="J1631">
        <v>53</v>
      </c>
      <c r="K1631" s="17">
        <f t="shared" si="201"/>
        <v>5784.0666666666666</v>
      </c>
      <c r="L1631" t="str">
        <f t="shared" si="202"/>
        <v>High Risk</v>
      </c>
      <c r="P1631" s="19">
        <f t="shared" si="203"/>
        <v>3103</v>
      </c>
      <c r="R1631" s="19">
        <f t="shared" si="200"/>
        <v>562201.54</v>
      </c>
      <c r="T1631" s="19">
        <f t="shared" si="204"/>
        <v>570559.98</v>
      </c>
      <c r="U1631" s="19">
        <f t="shared" si="205"/>
        <v>593183.32000000007</v>
      </c>
      <c r="V1631" s="21">
        <f t="shared" si="206"/>
        <v>22623.340000000084</v>
      </c>
      <c r="W1631" s="18">
        <f t="shared" si="207"/>
        <v>3.9651116084237249E-2</v>
      </c>
    </row>
    <row r="1632" spans="1:23" x14ac:dyDescent="0.3">
      <c r="A1632" t="s">
        <v>727</v>
      </c>
      <c r="B1632" t="s">
        <v>934</v>
      </c>
      <c r="C1632" t="s">
        <v>16</v>
      </c>
      <c r="D1632" t="s">
        <v>69</v>
      </c>
      <c r="E1632">
        <v>2683</v>
      </c>
      <c r="F1632">
        <v>284.41000000000003</v>
      </c>
      <c r="G1632">
        <v>284.66000000000003</v>
      </c>
      <c r="H1632">
        <v>284.41000000000003</v>
      </c>
      <c r="I1632">
        <v>1189</v>
      </c>
      <c r="J1632">
        <v>50</v>
      </c>
      <c r="K1632" s="17">
        <f t="shared" si="201"/>
        <v>1981.6666666666667</v>
      </c>
      <c r="L1632" t="str">
        <f t="shared" si="202"/>
        <v>Sufficuent Stock</v>
      </c>
      <c r="P1632" s="19">
        <f t="shared" si="203"/>
        <v>0</v>
      </c>
      <c r="R1632" s="19">
        <f t="shared" si="200"/>
        <v>0</v>
      </c>
      <c r="T1632" s="19">
        <f t="shared" si="204"/>
        <v>338460.74000000005</v>
      </c>
      <c r="U1632" s="19">
        <f t="shared" si="205"/>
        <v>338163.49000000005</v>
      </c>
      <c r="V1632" s="21">
        <f t="shared" si="206"/>
        <v>-297.25</v>
      </c>
      <c r="W1632" s="18">
        <f t="shared" si="207"/>
        <v>-8.7824070821330698E-4</v>
      </c>
    </row>
    <row r="1633" spans="1:23" x14ac:dyDescent="0.3">
      <c r="A1633" t="s">
        <v>737</v>
      </c>
      <c r="B1633" t="s">
        <v>738</v>
      </c>
      <c r="C1633" t="s">
        <v>12</v>
      </c>
      <c r="D1633" t="s">
        <v>69</v>
      </c>
      <c r="E1633">
        <v>2687</v>
      </c>
      <c r="F1633">
        <v>284.02999999999997</v>
      </c>
      <c r="G1633">
        <v>307.58</v>
      </c>
      <c r="H1633">
        <v>284.02999999999997</v>
      </c>
      <c r="I1633">
        <v>462</v>
      </c>
      <c r="J1633">
        <v>6</v>
      </c>
      <c r="K1633" s="17">
        <f t="shared" si="201"/>
        <v>92.4</v>
      </c>
      <c r="L1633" t="str">
        <f t="shared" si="202"/>
        <v>Sufficuent Stock</v>
      </c>
      <c r="P1633" s="19">
        <f t="shared" si="203"/>
        <v>0</v>
      </c>
      <c r="R1633" s="19">
        <f t="shared" si="200"/>
        <v>0</v>
      </c>
      <c r="T1633" s="19">
        <f t="shared" si="204"/>
        <v>142101.96</v>
      </c>
      <c r="U1633" s="19">
        <f t="shared" si="205"/>
        <v>131221.85999999999</v>
      </c>
      <c r="V1633" s="21">
        <f t="shared" si="206"/>
        <v>-10880.100000000006</v>
      </c>
      <c r="W1633" s="18">
        <f t="shared" si="207"/>
        <v>-7.656544638793164E-2</v>
      </c>
    </row>
    <row r="1634" spans="1:23" x14ac:dyDescent="0.3">
      <c r="A1634" t="s">
        <v>712</v>
      </c>
      <c r="B1634" t="s">
        <v>713</v>
      </c>
      <c r="C1634" t="s">
        <v>16</v>
      </c>
      <c r="D1634" t="s">
        <v>17</v>
      </c>
      <c r="E1634">
        <v>2688</v>
      </c>
      <c r="F1634">
        <v>268.95999999999998</v>
      </c>
      <c r="G1634">
        <v>285.73</v>
      </c>
      <c r="H1634">
        <v>268.95999999999998</v>
      </c>
      <c r="I1634">
        <v>2502</v>
      </c>
      <c r="J1634">
        <v>53</v>
      </c>
      <c r="K1634" s="17">
        <f t="shared" si="201"/>
        <v>4420.2000000000007</v>
      </c>
      <c r="L1634" t="str">
        <f t="shared" si="202"/>
        <v>High Risk</v>
      </c>
      <c r="P1634" s="19">
        <f t="shared" si="203"/>
        <v>1733</v>
      </c>
      <c r="R1634" s="19">
        <f t="shared" si="200"/>
        <v>466107.68</v>
      </c>
      <c r="T1634" s="19">
        <f t="shared" si="204"/>
        <v>714896.46000000008</v>
      </c>
      <c r="U1634" s="19">
        <f t="shared" si="205"/>
        <v>672937.91999999993</v>
      </c>
      <c r="V1634" s="21">
        <f t="shared" si="206"/>
        <v>-41958.540000000154</v>
      </c>
      <c r="W1634" s="18">
        <f t="shared" si="207"/>
        <v>-5.8691771952542819E-2</v>
      </c>
    </row>
    <row r="1635" spans="1:23" x14ac:dyDescent="0.3">
      <c r="A1635" t="s">
        <v>253</v>
      </c>
      <c r="B1635" t="s">
        <v>1094</v>
      </c>
      <c r="C1635" t="s">
        <v>16</v>
      </c>
      <c r="D1635" t="s">
        <v>17</v>
      </c>
      <c r="E1635">
        <v>2688</v>
      </c>
      <c r="F1635">
        <v>299.52</v>
      </c>
      <c r="G1635">
        <v>309.99</v>
      </c>
      <c r="H1635">
        <v>299.52</v>
      </c>
      <c r="I1635">
        <v>3980</v>
      </c>
      <c r="J1635">
        <v>56</v>
      </c>
      <c r="K1635" s="17">
        <f t="shared" si="201"/>
        <v>7429.333333333333</v>
      </c>
      <c r="L1635" t="str">
        <f t="shared" si="202"/>
        <v>High Risk</v>
      </c>
      <c r="P1635" s="19">
        <f t="shared" si="203"/>
        <v>4742</v>
      </c>
      <c r="R1635" s="19">
        <f t="shared" si="200"/>
        <v>1420323.8399999999</v>
      </c>
      <c r="T1635" s="19">
        <f t="shared" si="204"/>
        <v>1233760.2</v>
      </c>
      <c r="U1635" s="19">
        <f t="shared" si="205"/>
        <v>1192089.5999999999</v>
      </c>
      <c r="V1635" s="21">
        <f t="shared" si="206"/>
        <v>-41670.600000000093</v>
      </c>
      <c r="W1635" s="18">
        <f t="shared" si="207"/>
        <v>-3.3775283073647612E-2</v>
      </c>
    </row>
    <row r="1636" spans="1:23" x14ac:dyDescent="0.3">
      <c r="A1636" t="s">
        <v>123</v>
      </c>
      <c r="B1636" t="s">
        <v>124</v>
      </c>
      <c r="C1636" t="s">
        <v>50</v>
      </c>
      <c r="D1636" t="s">
        <v>13</v>
      </c>
      <c r="E1636">
        <v>2692</v>
      </c>
      <c r="F1636">
        <v>448.24</v>
      </c>
      <c r="G1636">
        <v>496.74</v>
      </c>
      <c r="H1636">
        <v>448.24</v>
      </c>
      <c r="I1636">
        <v>910</v>
      </c>
      <c r="J1636">
        <v>64</v>
      </c>
      <c r="K1636" s="17">
        <f t="shared" si="201"/>
        <v>1941.3333333333333</v>
      </c>
      <c r="L1636" t="str">
        <f t="shared" si="202"/>
        <v>Sufficuent Stock</v>
      </c>
      <c r="P1636" s="19">
        <f t="shared" si="203"/>
        <v>0</v>
      </c>
      <c r="R1636" s="19">
        <f t="shared" si="200"/>
        <v>0</v>
      </c>
      <c r="T1636" s="19">
        <f t="shared" si="204"/>
        <v>452033.4</v>
      </c>
      <c r="U1636" s="19">
        <f t="shared" si="205"/>
        <v>407898.4</v>
      </c>
      <c r="V1636" s="21">
        <f t="shared" si="206"/>
        <v>-44135</v>
      </c>
      <c r="W1636" s="18">
        <f t="shared" si="207"/>
        <v>-9.763659057051978E-2</v>
      </c>
    </row>
    <row r="1637" spans="1:23" x14ac:dyDescent="0.3">
      <c r="A1637" t="s">
        <v>173</v>
      </c>
      <c r="B1637" t="s">
        <v>1048</v>
      </c>
      <c r="C1637" t="s">
        <v>50</v>
      </c>
      <c r="D1637" t="s">
        <v>17</v>
      </c>
      <c r="E1637">
        <v>2692</v>
      </c>
      <c r="F1637">
        <v>203.57</v>
      </c>
      <c r="G1637">
        <v>211.55</v>
      </c>
      <c r="H1637">
        <v>203.57</v>
      </c>
      <c r="I1637">
        <v>314</v>
      </c>
      <c r="J1637">
        <v>73</v>
      </c>
      <c r="K1637" s="17">
        <f t="shared" si="201"/>
        <v>764.06666666666672</v>
      </c>
      <c r="L1637" t="str">
        <f t="shared" si="202"/>
        <v>Sufficuent Stock</v>
      </c>
      <c r="P1637" s="19">
        <f t="shared" si="203"/>
        <v>0</v>
      </c>
      <c r="R1637" s="19">
        <f t="shared" si="200"/>
        <v>0</v>
      </c>
      <c r="T1637" s="19">
        <f t="shared" si="204"/>
        <v>66426.7</v>
      </c>
      <c r="U1637" s="19">
        <f t="shared" si="205"/>
        <v>63920.979999999996</v>
      </c>
      <c r="V1637" s="21">
        <f t="shared" si="206"/>
        <v>-2505.7200000000012</v>
      </c>
      <c r="W1637" s="18">
        <f t="shared" si="207"/>
        <v>-3.7721578822973313E-2</v>
      </c>
    </row>
    <row r="1638" spans="1:23" x14ac:dyDescent="0.3">
      <c r="A1638" t="s">
        <v>203</v>
      </c>
      <c r="B1638" t="s">
        <v>781</v>
      </c>
      <c r="C1638" t="s">
        <v>37</v>
      </c>
      <c r="D1638" t="s">
        <v>20</v>
      </c>
      <c r="E1638">
        <v>2695</v>
      </c>
      <c r="F1638">
        <v>24.3</v>
      </c>
      <c r="G1638">
        <v>24.08</v>
      </c>
      <c r="H1638">
        <v>24.3</v>
      </c>
      <c r="I1638">
        <v>832</v>
      </c>
      <c r="J1638">
        <v>84</v>
      </c>
      <c r="K1638" s="17">
        <f t="shared" si="201"/>
        <v>2329.6</v>
      </c>
      <c r="L1638" t="str">
        <f t="shared" si="202"/>
        <v>Sufficuent Stock</v>
      </c>
      <c r="P1638" s="19">
        <f t="shared" si="203"/>
        <v>0</v>
      </c>
      <c r="R1638" s="19">
        <f t="shared" si="200"/>
        <v>0</v>
      </c>
      <c r="T1638" s="19">
        <f t="shared" si="204"/>
        <v>20034.559999999998</v>
      </c>
      <c r="U1638" s="19">
        <f t="shared" si="205"/>
        <v>20217.600000000002</v>
      </c>
      <c r="V1638" s="21">
        <f t="shared" si="206"/>
        <v>183.04000000000451</v>
      </c>
      <c r="W1638" s="18">
        <f t="shared" si="207"/>
        <v>9.136212624584944E-3</v>
      </c>
    </row>
    <row r="1639" spans="1:23" x14ac:dyDescent="0.3">
      <c r="A1639" t="s">
        <v>295</v>
      </c>
      <c r="B1639" t="s">
        <v>2095</v>
      </c>
      <c r="C1639" t="s">
        <v>50</v>
      </c>
      <c r="D1639" t="s">
        <v>13</v>
      </c>
      <c r="E1639">
        <v>2695</v>
      </c>
      <c r="F1639">
        <v>267.2</v>
      </c>
      <c r="G1639">
        <v>253.03</v>
      </c>
      <c r="H1639">
        <v>267.2</v>
      </c>
      <c r="I1639">
        <v>2858</v>
      </c>
      <c r="J1639">
        <v>53</v>
      </c>
      <c r="K1639" s="17">
        <f t="shared" si="201"/>
        <v>5049.1333333333332</v>
      </c>
      <c r="L1639" t="str">
        <f t="shared" si="202"/>
        <v>High Risk</v>
      </c>
      <c r="P1639" s="19">
        <f t="shared" si="203"/>
        <v>2355</v>
      </c>
      <c r="R1639" s="19">
        <f t="shared" si="200"/>
        <v>629256</v>
      </c>
      <c r="T1639" s="19">
        <f t="shared" si="204"/>
        <v>723159.74</v>
      </c>
      <c r="U1639" s="19">
        <f t="shared" si="205"/>
        <v>763657.6</v>
      </c>
      <c r="V1639" s="21">
        <f t="shared" si="206"/>
        <v>40497.859999999986</v>
      </c>
      <c r="W1639" s="18">
        <f t="shared" si="207"/>
        <v>5.6001264672173243E-2</v>
      </c>
    </row>
    <row r="1640" spans="1:23" x14ac:dyDescent="0.3">
      <c r="A1640" t="s">
        <v>411</v>
      </c>
      <c r="B1640" t="s">
        <v>3064</v>
      </c>
      <c r="C1640" t="s">
        <v>12</v>
      </c>
      <c r="D1640" t="s">
        <v>13</v>
      </c>
      <c r="E1640">
        <v>2697</v>
      </c>
      <c r="F1640">
        <v>376.96</v>
      </c>
      <c r="G1640">
        <v>355.29</v>
      </c>
      <c r="H1640">
        <v>376.96</v>
      </c>
      <c r="I1640">
        <v>383</v>
      </c>
      <c r="J1640">
        <v>18</v>
      </c>
      <c r="K1640" s="17">
        <f t="shared" si="201"/>
        <v>229.8</v>
      </c>
      <c r="L1640" t="str">
        <f t="shared" si="202"/>
        <v>Sufficuent Stock</v>
      </c>
      <c r="P1640" s="19">
        <f t="shared" si="203"/>
        <v>0</v>
      </c>
      <c r="R1640" s="19">
        <f t="shared" si="200"/>
        <v>0</v>
      </c>
      <c r="T1640" s="19">
        <f t="shared" si="204"/>
        <v>136076.07</v>
      </c>
      <c r="U1640" s="19">
        <f t="shared" si="205"/>
        <v>144375.67999999999</v>
      </c>
      <c r="V1640" s="21">
        <f t="shared" si="206"/>
        <v>8299.609999999986</v>
      </c>
      <c r="W1640" s="18">
        <f t="shared" si="207"/>
        <v>6.0992428720200297E-2</v>
      </c>
    </row>
    <row r="1641" spans="1:23" x14ac:dyDescent="0.3">
      <c r="A1641" t="s">
        <v>1253</v>
      </c>
      <c r="B1641" t="s">
        <v>2907</v>
      </c>
      <c r="C1641" t="s">
        <v>37</v>
      </c>
      <c r="D1641" t="s">
        <v>69</v>
      </c>
      <c r="E1641">
        <v>2699</v>
      </c>
      <c r="F1641">
        <v>275.62</v>
      </c>
      <c r="G1641">
        <v>238.37</v>
      </c>
      <c r="H1641">
        <v>275.62</v>
      </c>
      <c r="I1641">
        <v>3041</v>
      </c>
      <c r="J1641">
        <v>59</v>
      </c>
      <c r="K1641" s="17">
        <f t="shared" si="201"/>
        <v>5980.6333333333332</v>
      </c>
      <c r="L1641" t="str">
        <f t="shared" si="202"/>
        <v>High Risk</v>
      </c>
      <c r="P1641" s="19">
        <f t="shared" si="203"/>
        <v>3282</v>
      </c>
      <c r="R1641" s="19">
        <f t="shared" si="200"/>
        <v>904584.84</v>
      </c>
      <c r="T1641" s="19">
        <f t="shared" si="204"/>
        <v>724883.17</v>
      </c>
      <c r="U1641" s="19">
        <f t="shared" si="205"/>
        <v>838160.42</v>
      </c>
      <c r="V1641" s="21">
        <f t="shared" si="206"/>
        <v>113277.25</v>
      </c>
      <c r="W1641" s="18">
        <f t="shared" si="207"/>
        <v>0.15626966480681292</v>
      </c>
    </row>
    <row r="1642" spans="1:23" x14ac:dyDescent="0.3">
      <c r="A1642" t="s">
        <v>1211</v>
      </c>
      <c r="B1642" t="s">
        <v>1926</v>
      </c>
      <c r="C1642" t="s">
        <v>16</v>
      </c>
      <c r="D1642" t="s">
        <v>13</v>
      </c>
      <c r="E1642">
        <v>2701</v>
      </c>
      <c r="F1642">
        <v>315.66000000000003</v>
      </c>
      <c r="G1642">
        <v>328.45</v>
      </c>
      <c r="H1642">
        <v>315.66000000000003</v>
      </c>
      <c r="I1642">
        <v>2422</v>
      </c>
      <c r="J1642">
        <v>24</v>
      </c>
      <c r="K1642" s="17">
        <f t="shared" si="201"/>
        <v>1937.6</v>
      </c>
      <c r="L1642" t="str">
        <f t="shared" si="202"/>
        <v>Sufficuent Stock</v>
      </c>
      <c r="P1642" s="19">
        <f t="shared" si="203"/>
        <v>0</v>
      </c>
      <c r="R1642" s="19">
        <f t="shared" si="200"/>
        <v>0</v>
      </c>
      <c r="T1642" s="19">
        <f t="shared" si="204"/>
        <v>795505.9</v>
      </c>
      <c r="U1642" s="19">
        <f t="shared" si="205"/>
        <v>764528.52</v>
      </c>
      <c r="V1642" s="21">
        <f t="shared" si="206"/>
        <v>-30977.380000000005</v>
      </c>
      <c r="W1642" s="18">
        <f t="shared" si="207"/>
        <v>-3.8940478002740149E-2</v>
      </c>
    </row>
    <row r="1643" spans="1:23" x14ac:dyDescent="0.3">
      <c r="A1643" t="s">
        <v>592</v>
      </c>
      <c r="B1643" t="s">
        <v>593</v>
      </c>
      <c r="C1643" t="s">
        <v>50</v>
      </c>
      <c r="D1643" t="s">
        <v>26</v>
      </c>
      <c r="E1643">
        <v>2703</v>
      </c>
      <c r="F1643">
        <v>84.88</v>
      </c>
      <c r="G1643">
        <v>86.91</v>
      </c>
      <c r="H1643">
        <v>84.88</v>
      </c>
      <c r="I1643">
        <v>443</v>
      </c>
      <c r="J1643">
        <v>30</v>
      </c>
      <c r="K1643" s="17">
        <f t="shared" si="201"/>
        <v>443</v>
      </c>
      <c r="L1643" t="str">
        <f t="shared" si="202"/>
        <v>Sufficuent Stock</v>
      </c>
      <c r="P1643" s="19">
        <f t="shared" si="203"/>
        <v>0</v>
      </c>
      <c r="R1643" s="19">
        <f t="shared" si="200"/>
        <v>0</v>
      </c>
      <c r="T1643" s="19">
        <f t="shared" si="204"/>
        <v>38501.129999999997</v>
      </c>
      <c r="U1643" s="19">
        <f t="shared" si="205"/>
        <v>37601.839999999997</v>
      </c>
      <c r="V1643" s="21">
        <f t="shared" si="206"/>
        <v>-899.29000000000087</v>
      </c>
      <c r="W1643" s="18">
        <f t="shared" si="207"/>
        <v>-2.3357496260499391E-2</v>
      </c>
    </row>
    <row r="1644" spans="1:23" x14ac:dyDescent="0.3">
      <c r="A1644" t="s">
        <v>141</v>
      </c>
      <c r="B1644" t="s">
        <v>589</v>
      </c>
      <c r="C1644" t="s">
        <v>50</v>
      </c>
      <c r="D1644" t="s">
        <v>13</v>
      </c>
      <c r="E1644">
        <v>2707</v>
      </c>
      <c r="F1644">
        <v>371.04</v>
      </c>
      <c r="G1644">
        <v>341.55</v>
      </c>
      <c r="H1644">
        <v>371.04</v>
      </c>
      <c r="I1644">
        <v>2219</v>
      </c>
      <c r="J1644">
        <v>88</v>
      </c>
      <c r="K1644" s="17">
        <f t="shared" si="201"/>
        <v>6509.0666666666666</v>
      </c>
      <c r="L1644" t="str">
        <f t="shared" si="202"/>
        <v>High Risk</v>
      </c>
      <c r="P1644" s="19">
        <f t="shared" si="203"/>
        <v>3803</v>
      </c>
      <c r="R1644" s="19">
        <f t="shared" si="200"/>
        <v>1411065.12</v>
      </c>
      <c r="T1644" s="19">
        <f t="shared" si="204"/>
        <v>757899.45000000007</v>
      </c>
      <c r="U1644" s="19">
        <f t="shared" si="205"/>
        <v>823337.76</v>
      </c>
      <c r="V1644" s="21">
        <f t="shared" si="206"/>
        <v>65438.309999999939</v>
      </c>
      <c r="W1644" s="18">
        <f t="shared" si="207"/>
        <v>8.6341677646025378E-2</v>
      </c>
    </row>
    <row r="1645" spans="1:23" x14ac:dyDescent="0.3">
      <c r="A1645" t="s">
        <v>592</v>
      </c>
      <c r="B1645" t="s">
        <v>2774</v>
      </c>
      <c r="C1645" t="s">
        <v>23</v>
      </c>
      <c r="D1645" t="s">
        <v>26</v>
      </c>
      <c r="E1645">
        <v>2712</v>
      </c>
      <c r="F1645">
        <v>37.25</v>
      </c>
      <c r="G1645">
        <v>37.04</v>
      </c>
      <c r="H1645">
        <v>37.25</v>
      </c>
      <c r="I1645">
        <v>1480</v>
      </c>
      <c r="J1645">
        <v>24</v>
      </c>
      <c r="K1645" s="17">
        <f t="shared" si="201"/>
        <v>1184</v>
      </c>
      <c r="L1645" t="str">
        <f t="shared" si="202"/>
        <v>Sufficuent Stock</v>
      </c>
      <c r="P1645" s="19">
        <f t="shared" si="203"/>
        <v>0</v>
      </c>
      <c r="R1645" s="19">
        <f t="shared" si="200"/>
        <v>0</v>
      </c>
      <c r="T1645" s="19">
        <f t="shared" si="204"/>
        <v>54819.199999999997</v>
      </c>
      <c r="U1645" s="19">
        <f t="shared" si="205"/>
        <v>55130</v>
      </c>
      <c r="V1645" s="21">
        <f t="shared" si="206"/>
        <v>310.80000000000291</v>
      </c>
      <c r="W1645" s="18">
        <f t="shared" si="207"/>
        <v>5.6695464362851505E-3</v>
      </c>
    </row>
    <row r="1646" spans="1:23" x14ac:dyDescent="0.3">
      <c r="A1646" t="s">
        <v>427</v>
      </c>
      <c r="B1646" t="s">
        <v>2014</v>
      </c>
      <c r="C1646" t="s">
        <v>12</v>
      </c>
      <c r="D1646" t="s">
        <v>17</v>
      </c>
      <c r="E1646">
        <v>2716</v>
      </c>
      <c r="F1646">
        <v>178.74</v>
      </c>
      <c r="G1646">
        <v>164.69</v>
      </c>
      <c r="H1646">
        <v>178.74</v>
      </c>
      <c r="I1646">
        <v>1917</v>
      </c>
      <c r="J1646">
        <v>75</v>
      </c>
      <c r="K1646" s="17">
        <f t="shared" si="201"/>
        <v>4792.5</v>
      </c>
      <c r="L1646" t="str">
        <f t="shared" si="202"/>
        <v>High Risk</v>
      </c>
      <c r="P1646" s="19">
        <f t="shared" si="203"/>
        <v>2077</v>
      </c>
      <c r="R1646" s="19">
        <f t="shared" si="200"/>
        <v>371242.98000000004</v>
      </c>
      <c r="T1646" s="19">
        <f t="shared" si="204"/>
        <v>315710.73</v>
      </c>
      <c r="U1646" s="19">
        <f t="shared" si="205"/>
        <v>342644.58</v>
      </c>
      <c r="V1646" s="21">
        <f t="shared" si="206"/>
        <v>26933.850000000035</v>
      </c>
      <c r="W1646" s="18">
        <f t="shared" si="207"/>
        <v>8.5311797923371305E-2</v>
      </c>
    </row>
    <row r="1647" spans="1:23" x14ac:dyDescent="0.3">
      <c r="A1647" t="s">
        <v>879</v>
      </c>
      <c r="B1647" t="s">
        <v>1483</v>
      </c>
      <c r="C1647" t="s">
        <v>37</v>
      </c>
      <c r="D1647" t="s">
        <v>20</v>
      </c>
      <c r="E1647">
        <v>2716</v>
      </c>
      <c r="F1647">
        <v>73.23</v>
      </c>
      <c r="G1647">
        <v>65.06</v>
      </c>
      <c r="H1647">
        <v>73.23</v>
      </c>
      <c r="I1647">
        <v>1177</v>
      </c>
      <c r="J1647">
        <v>8</v>
      </c>
      <c r="K1647" s="17">
        <f t="shared" si="201"/>
        <v>313.86666666666667</v>
      </c>
      <c r="L1647" t="str">
        <f t="shared" si="202"/>
        <v>Sufficuent Stock</v>
      </c>
      <c r="P1647" s="19">
        <f t="shared" si="203"/>
        <v>0</v>
      </c>
      <c r="R1647" s="19">
        <f t="shared" si="200"/>
        <v>0</v>
      </c>
      <c r="T1647" s="19">
        <f t="shared" si="204"/>
        <v>76575.62000000001</v>
      </c>
      <c r="U1647" s="19">
        <f t="shared" si="205"/>
        <v>86191.71</v>
      </c>
      <c r="V1647" s="21">
        <f t="shared" si="206"/>
        <v>9616.0899999999965</v>
      </c>
      <c r="W1647" s="18">
        <f t="shared" si="207"/>
        <v>0.12557639102367041</v>
      </c>
    </row>
    <row r="1648" spans="1:23" x14ac:dyDescent="0.3">
      <c r="A1648" t="s">
        <v>290</v>
      </c>
      <c r="B1648" t="s">
        <v>2509</v>
      </c>
      <c r="C1648" t="s">
        <v>16</v>
      </c>
      <c r="D1648" t="s">
        <v>13</v>
      </c>
      <c r="E1648">
        <v>2719</v>
      </c>
      <c r="F1648">
        <v>308.64</v>
      </c>
      <c r="G1648">
        <v>337.47</v>
      </c>
      <c r="H1648">
        <v>308.64</v>
      </c>
      <c r="I1648">
        <v>3823</v>
      </c>
      <c r="J1648">
        <v>71</v>
      </c>
      <c r="K1648" s="17">
        <f t="shared" si="201"/>
        <v>9047.7666666666664</v>
      </c>
      <c r="L1648" t="str">
        <f t="shared" si="202"/>
        <v>High Risk</v>
      </c>
      <c r="P1648" s="19">
        <f t="shared" si="203"/>
        <v>6329</v>
      </c>
      <c r="R1648" s="19">
        <f t="shared" si="200"/>
        <v>1953382.5599999998</v>
      </c>
      <c r="T1648" s="19">
        <f t="shared" si="204"/>
        <v>1290147.81</v>
      </c>
      <c r="U1648" s="19">
        <f t="shared" si="205"/>
        <v>1179930.72</v>
      </c>
      <c r="V1648" s="21">
        <f t="shared" si="206"/>
        <v>-110217.09000000008</v>
      </c>
      <c r="W1648" s="18">
        <f t="shared" si="207"/>
        <v>-8.5429815983643048E-2</v>
      </c>
    </row>
    <row r="1649" spans="1:23" x14ac:dyDescent="0.3">
      <c r="A1649" t="s">
        <v>323</v>
      </c>
      <c r="B1649" t="s">
        <v>2255</v>
      </c>
      <c r="C1649" t="s">
        <v>23</v>
      </c>
      <c r="D1649" t="s">
        <v>20</v>
      </c>
      <c r="E1649">
        <v>2719</v>
      </c>
      <c r="F1649">
        <v>236.06</v>
      </c>
      <c r="G1649">
        <v>206.13</v>
      </c>
      <c r="H1649">
        <v>236.06</v>
      </c>
      <c r="I1649">
        <v>3391</v>
      </c>
      <c r="J1649">
        <v>79</v>
      </c>
      <c r="K1649" s="17">
        <f t="shared" si="201"/>
        <v>8929.6333333333332</v>
      </c>
      <c r="L1649" t="str">
        <f t="shared" si="202"/>
        <v>High Risk</v>
      </c>
      <c r="P1649" s="19">
        <f t="shared" si="203"/>
        <v>6211</v>
      </c>
      <c r="R1649" s="19">
        <f t="shared" si="200"/>
        <v>1466168.66</v>
      </c>
      <c r="T1649" s="19">
        <f t="shared" si="204"/>
        <v>698986.83</v>
      </c>
      <c r="U1649" s="19">
        <f t="shared" si="205"/>
        <v>800479.46</v>
      </c>
      <c r="V1649" s="21">
        <f t="shared" si="206"/>
        <v>101492.63</v>
      </c>
      <c r="W1649" s="18">
        <f t="shared" si="207"/>
        <v>0.14519963130063554</v>
      </c>
    </row>
    <row r="1650" spans="1:23" x14ac:dyDescent="0.3">
      <c r="A1650" t="s">
        <v>105</v>
      </c>
      <c r="B1650" t="s">
        <v>2388</v>
      </c>
      <c r="C1650" t="s">
        <v>50</v>
      </c>
      <c r="D1650" t="s">
        <v>69</v>
      </c>
      <c r="E1650">
        <v>2719</v>
      </c>
      <c r="F1650">
        <v>386.63</v>
      </c>
      <c r="G1650">
        <v>335.72</v>
      </c>
      <c r="H1650">
        <v>386.63</v>
      </c>
      <c r="I1650">
        <v>3051</v>
      </c>
      <c r="J1650">
        <v>10</v>
      </c>
      <c r="K1650" s="17">
        <f t="shared" si="201"/>
        <v>1017</v>
      </c>
      <c r="L1650" t="str">
        <f t="shared" si="202"/>
        <v>Sufficuent Stock</v>
      </c>
      <c r="P1650" s="19">
        <f t="shared" si="203"/>
        <v>0</v>
      </c>
      <c r="R1650" s="19">
        <f t="shared" si="200"/>
        <v>0</v>
      </c>
      <c r="T1650" s="19">
        <f t="shared" si="204"/>
        <v>1024281.7200000001</v>
      </c>
      <c r="U1650" s="19">
        <f t="shared" si="205"/>
        <v>1179608.1299999999</v>
      </c>
      <c r="V1650" s="21">
        <f t="shared" si="206"/>
        <v>155326.4099999998</v>
      </c>
      <c r="W1650" s="18">
        <f t="shared" si="207"/>
        <v>0.15164422733230051</v>
      </c>
    </row>
    <row r="1651" spans="1:23" x14ac:dyDescent="0.3">
      <c r="A1651" t="s">
        <v>59</v>
      </c>
      <c r="B1651" t="s">
        <v>3146</v>
      </c>
      <c r="C1651" t="s">
        <v>50</v>
      </c>
      <c r="D1651" t="s">
        <v>26</v>
      </c>
      <c r="E1651">
        <v>2725</v>
      </c>
      <c r="F1651">
        <v>145.85</v>
      </c>
      <c r="G1651">
        <v>126.09</v>
      </c>
      <c r="H1651">
        <v>145.85</v>
      </c>
      <c r="I1651">
        <v>173</v>
      </c>
      <c r="J1651">
        <v>29</v>
      </c>
      <c r="K1651" s="17">
        <f t="shared" si="201"/>
        <v>167.23333333333332</v>
      </c>
      <c r="L1651" t="str">
        <f t="shared" si="202"/>
        <v>Sufficuent Stock</v>
      </c>
      <c r="P1651" s="19">
        <f t="shared" si="203"/>
        <v>0</v>
      </c>
      <c r="R1651" s="19">
        <f t="shared" si="200"/>
        <v>0</v>
      </c>
      <c r="T1651" s="19">
        <f t="shared" si="204"/>
        <v>21813.57</v>
      </c>
      <c r="U1651" s="19">
        <f t="shared" si="205"/>
        <v>25232.05</v>
      </c>
      <c r="V1651" s="21">
        <f t="shared" si="206"/>
        <v>3418.4799999999996</v>
      </c>
      <c r="W1651" s="18">
        <f t="shared" si="207"/>
        <v>0.15671345864065347</v>
      </c>
    </row>
    <row r="1652" spans="1:23" x14ac:dyDescent="0.3">
      <c r="A1652" t="s">
        <v>727</v>
      </c>
      <c r="B1652" t="s">
        <v>3220</v>
      </c>
      <c r="C1652" t="s">
        <v>16</v>
      </c>
      <c r="D1652" t="s">
        <v>20</v>
      </c>
      <c r="E1652">
        <v>2725</v>
      </c>
      <c r="F1652">
        <v>426.63</v>
      </c>
      <c r="G1652">
        <v>468.75</v>
      </c>
      <c r="H1652">
        <v>426.63</v>
      </c>
      <c r="I1652">
        <v>647</v>
      </c>
      <c r="J1652">
        <v>47</v>
      </c>
      <c r="K1652" s="17">
        <f t="shared" si="201"/>
        <v>1013.6333333333333</v>
      </c>
      <c r="L1652" t="str">
        <f t="shared" si="202"/>
        <v>Sufficuent Stock</v>
      </c>
      <c r="P1652" s="19">
        <f t="shared" si="203"/>
        <v>0</v>
      </c>
      <c r="R1652" s="19">
        <f t="shared" si="200"/>
        <v>0</v>
      </c>
      <c r="T1652" s="19">
        <f t="shared" si="204"/>
        <v>303281.25</v>
      </c>
      <c r="U1652" s="19">
        <f t="shared" si="205"/>
        <v>276029.61</v>
      </c>
      <c r="V1652" s="21">
        <f t="shared" si="206"/>
        <v>-27251.640000000014</v>
      </c>
      <c r="W1652" s="18">
        <f t="shared" si="207"/>
        <v>-8.9856000000000047E-2</v>
      </c>
    </row>
    <row r="1653" spans="1:23" x14ac:dyDescent="0.3">
      <c r="A1653" t="s">
        <v>352</v>
      </c>
      <c r="B1653" t="s">
        <v>2052</v>
      </c>
      <c r="C1653" t="s">
        <v>12</v>
      </c>
      <c r="D1653" t="s">
        <v>13</v>
      </c>
      <c r="E1653">
        <v>2730</v>
      </c>
      <c r="F1653">
        <v>171.1</v>
      </c>
      <c r="G1653">
        <v>177.39</v>
      </c>
      <c r="H1653">
        <v>171.1</v>
      </c>
      <c r="I1653">
        <v>2014</v>
      </c>
      <c r="J1653">
        <v>29</v>
      </c>
      <c r="K1653" s="17">
        <f t="shared" si="201"/>
        <v>1946.8666666666668</v>
      </c>
      <c r="L1653" t="str">
        <f t="shared" si="202"/>
        <v>Sufficuent Stock</v>
      </c>
      <c r="P1653" s="19">
        <f t="shared" si="203"/>
        <v>0</v>
      </c>
      <c r="R1653" s="19">
        <f t="shared" si="200"/>
        <v>0</v>
      </c>
      <c r="T1653" s="19">
        <f t="shared" si="204"/>
        <v>357263.45999999996</v>
      </c>
      <c r="U1653" s="19">
        <f t="shared" si="205"/>
        <v>344595.39999999997</v>
      </c>
      <c r="V1653" s="21">
        <f t="shared" si="206"/>
        <v>-12668.059999999998</v>
      </c>
      <c r="W1653" s="18">
        <f t="shared" si="207"/>
        <v>-3.545859405828964E-2</v>
      </c>
    </row>
    <row r="1654" spans="1:23" x14ac:dyDescent="0.3">
      <c r="A1654" t="s">
        <v>278</v>
      </c>
      <c r="B1654" t="s">
        <v>1888</v>
      </c>
      <c r="C1654" t="s">
        <v>12</v>
      </c>
      <c r="D1654" t="s">
        <v>13</v>
      </c>
      <c r="E1654">
        <v>2733</v>
      </c>
      <c r="F1654">
        <v>73.63</v>
      </c>
      <c r="G1654">
        <v>76.989999999999995</v>
      </c>
      <c r="H1654">
        <v>73.63</v>
      </c>
      <c r="I1654">
        <v>1593</v>
      </c>
      <c r="J1654">
        <v>7</v>
      </c>
      <c r="K1654" s="17">
        <f t="shared" si="201"/>
        <v>371.7</v>
      </c>
      <c r="L1654" t="str">
        <f t="shared" si="202"/>
        <v>Sufficuent Stock</v>
      </c>
      <c r="P1654" s="19">
        <f t="shared" si="203"/>
        <v>0</v>
      </c>
      <c r="R1654" s="19">
        <f t="shared" si="200"/>
        <v>0</v>
      </c>
      <c r="T1654" s="19">
        <f t="shared" si="204"/>
        <v>122645.06999999999</v>
      </c>
      <c r="U1654" s="19">
        <f t="shared" si="205"/>
        <v>117292.59</v>
      </c>
      <c r="V1654" s="21">
        <f t="shared" si="206"/>
        <v>-5352.4799999999959</v>
      </c>
      <c r="W1654" s="18">
        <f t="shared" si="207"/>
        <v>-4.3642031432653564E-2</v>
      </c>
    </row>
    <row r="1655" spans="1:23" x14ac:dyDescent="0.3">
      <c r="A1655" t="s">
        <v>1240</v>
      </c>
      <c r="B1655" t="s">
        <v>3259</v>
      </c>
      <c r="C1655" t="s">
        <v>12</v>
      </c>
      <c r="D1655" t="s">
        <v>26</v>
      </c>
      <c r="E1655">
        <v>2735</v>
      </c>
      <c r="F1655">
        <v>132.16</v>
      </c>
      <c r="G1655">
        <v>131.34</v>
      </c>
      <c r="H1655">
        <v>132.16</v>
      </c>
      <c r="I1655">
        <v>2106</v>
      </c>
      <c r="J1655">
        <v>26</v>
      </c>
      <c r="K1655" s="17">
        <f t="shared" si="201"/>
        <v>1825.2</v>
      </c>
      <c r="L1655" t="str">
        <f t="shared" si="202"/>
        <v>Sufficuent Stock</v>
      </c>
      <c r="P1655" s="19">
        <f t="shared" si="203"/>
        <v>0</v>
      </c>
      <c r="R1655" s="19">
        <f t="shared" si="200"/>
        <v>0</v>
      </c>
      <c r="T1655" s="19">
        <f t="shared" si="204"/>
        <v>276602.03999999998</v>
      </c>
      <c r="U1655" s="19">
        <f t="shared" si="205"/>
        <v>278328.96000000002</v>
      </c>
      <c r="V1655" s="21">
        <f t="shared" si="206"/>
        <v>1726.9200000000419</v>
      </c>
      <c r="W1655" s="18">
        <f t="shared" si="207"/>
        <v>6.2433379016295105E-3</v>
      </c>
    </row>
    <row r="1656" spans="1:23" x14ac:dyDescent="0.3">
      <c r="A1656" t="s">
        <v>541</v>
      </c>
      <c r="B1656" t="s">
        <v>3297</v>
      </c>
      <c r="C1656" t="s">
        <v>37</v>
      </c>
      <c r="D1656" t="s">
        <v>26</v>
      </c>
      <c r="E1656">
        <v>2737</v>
      </c>
      <c r="F1656">
        <v>465.68</v>
      </c>
      <c r="G1656">
        <v>419.06</v>
      </c>
      <c r="H1656">
        <v>465.68</v>
      </c>
      <c r="I1656">
        <v>941</v>
      </c>
      <c r="J1656">
        <v>22</v>
      </c>
      <c r="K1656" s="17">
        <f t="shared" si="201"/>
        <v>690.06666666666672</v>
      </c>
      <c r="L1656" t="str">
        <f t="shared" si="202"/>
        <v>Sufficuent Stock</v>
      </c>
      <c r="P1656" s="19">
        <f t="shared" si="203"/>
        <v>0</v>
      </c>
      <c r="R1656" s="19">
        <f t="shared" si="200"/>
        <v>0</v>
      </c>
      <c r="T1656" s="19">
        <f t="shared" si="204"/>
        <v>394335.46</v>
      </c>
      <c r="U1656" s="19">
        <f t="shared" si="205"/>
        <v>438204.88</v>
      </c>
      <c r="V1656" s="21">
        <f t="shared" si="206"/>
        <v>43869.419999999984</v>
      </c>
      <c r="W1656" s="18">
        <f t="shared" si="207"/>
        <v>0.11124898582541874</v>
      </c>
    </row>
    <row r="1657" spans="1:23" x14ac:dyDescent="0.3">
      <c r="A1657" t="s">
        <v>338</v>
      </c>
      <c r="B1657" t="s">
        <v>1496</v>
      </c>
      <c r="C1657" t="s">
        <v>12</v>
      </c>
      <c r="D1657" t="s">
        <v>13</v>
      </c>
      <c r="E1657">
        <v>2739</v>
      </c>
      <c r="F1657">
        <v>236.47</v>
      </c>
      <c r="G1657">
        <v>203.92</v>
      </c>
      <c r="H1657">
        <v>236.47</v>
      </c>
      <c r="I1657">
        <v>2386</v>
      </c>
      <c r="J1657">
        <v>70</v>
      </c>
      <c r="K1657" s="17">
        <f t="shared" si="201"/>
        <v>5567.333333333333</v>
      </c>
      <c r="L1657" t="str">
        <f t="shared" si="202"/>
        <v>High Risk</v>
      </c>
      <c r="P1657" s="19">
        <f t="shared" si="203"/>
        <v>2829</v>
      </c>
      <c r="R1657" s="19">
        <f t="shared" si="200"/>
        <v>668973.63</v>
      </c>
      <c r="T1657" s="19">
        <f t="shared" si="204"/>
        <v>486553.12</v>
      </c>
      <c r="U1657" s="19">
        <f t="shared" si="205"/>
        <v>564217.42000000004</v>
      </c>
      <c r="V1657" s="21">
        <f t="shared" si="206"/>
        <v>77664.300000000047</v>
      </c>
      <c r="W1657" s="18">
        <f t="shared" si="207"/>
        <v>0.1596214201647706</v>
      </c>
    </row>
    <row r="1658" spans="1:23" x14ac:dyDescent="0.3">
      <c r="A1658" t="s">
        <v>268</v>
      </c>
      <c r="B1658" t="s">
        <v>1162</v>
      </c>
      <c r="C1658" t="s">
        <v>16</v>
      </c>
      <c r="D1658" t="s">
        <v>69</v>
      </c>
      <c r="E1658">
        <v>2741</v>
      </c>
      <c r="F1658">
        <v>308.62</v>
      </c>
      <c r="G1658">
        <v>265.86</v>
      </c>
      <c r="H1658">
        <v>308.62</v>
      </c>
      <c r="I1658">
        <v>719</v>
      </c>
      <c r="J1658">
        <v>74</v>
      </c>
      <c r="K1658" s="17">
        <f t="shared" si="201"/>
        <v>1773.5333333333333</v>
      </c>
      <c r="L1658" t="str">
        <f t="shared" si="202"/>
        <v>Sufficuent Stock</v>
      </c>
      <c r="P1658" s="19">
        <f t="shared" si="203"/>
        <v>0</v>
      </c>
      <c r="R1658" s="19">
        <f t="shared" si="200"/>
        <v>0</v>
      </c>
      <c r="T1658" s="19">
        <f t="shared" si="204"/>
        <v>191153.34</v>
      </c>
      <c r="U1658" s="19">
        <f t="shared" si="205"/>
        <v>221897.78</v>
      </c>
      <c r="V1658" s="21">
        <f t="shared" si="206"/>
        <v>30744.440000000002</v>
      </c>
      <c r="W1658" s="18">
        <f t="shared" si="207"/>
        <v>0.16083653050477698</v>
      </c>
    </row>
    <row r="1659" spans="1:23" x14ac:dyDescent="0.3">
      <c r="A1659" t="s">
        <v>171</v>
      </c>
      <c r="B1659" t="s">
        <v>2091</v>
      </c>
      <c r="C1659" t="s">
        <v>37</v>
      </c>
      <c r="D1659" t="s">
        <v>17</v>
      </c>
      <c r="E1659">
        <v>2741</v>
      </c>
      <c r="F1659">
        <v>12.09</v>
      </c>
      <c r="G1659">
        <v>11.2</v>
      </c>
      <c r="H1659">
        <v>12.09</v>
      </c>
      <c r="I1659">
        <v>281</v>
      </c>
      <c r="J1659">
        <v>9</v>
      </c>
      <c r="K1659" s="17">
        <f t="shared" si="201"/>
        <v>84.300000000000011</v>
      </c>
      <c r="L1659" t="str">
        <f t="shared" si="202"/>
        <v>Sufficuent Stock</v>
      </c>
      <c r="P1659" s="19">
        <f t="shared" si="203"/>
        <v>0</v>
      </c>
      <c r="R1659" s="19">
        <f t="shared" si="200"/>
        <v>0</v>
      </c>
      <c r="T1659" s="19">
        <f t="shared" si="204"/>
        <v>3147.2</v>
      </c>
      <c r="U1659" s="19">
        <f t="shared" si="205"/>
        <v>3397.29</v>
      </c>
      <c r="V1659" s="21">
        <f t="shared" si="206"/>
        <v>250.09000000000015</v>
      </c>
      <c r="W1659" s="18">
        <f t="shared" si="207"/>
        <v>7.9464285714285765E-2</v>
      </c>
    </row>
    <row r="1660" spans="1:23" x14ac:dyDescent="0.3">
      <c r="A1660" t="s">
        <v>1679</v>
      </c>
      <c r="B1660" t="s">
        <v>1790</v>
      </c>
      <c r="C1660" t="s">
        <v>16</v>
      </c>
      <c r="D1660" t="s">
        <v>69</v>
      </c>
      <c r="E1660">
        <v>2742</v>
      </c>
      <c r="F1660">
        <v>192</v>
      </c>
      <c r="G1660">
        <v>172.47</v>
      </c>
      <c r="H1660">
        <v>192</v>
      </c>
      <c r="I1660">
        <v>2835</v>
      </c>
      <c r="J1660">
        <v>24</v>
      </c>
      <c r="K1660" s="17">
        <f t="shared" si="201"/>
        <v>2268</v>
      </c>
      <c r="L1660" t="str">
        <f t="shared" si="202"/>
        <v>Sufficuent Stock</v>
      </c>
      <c r="P1660" s="19">
        <f t="shared" si="203"/>
        <v>0</v>
      </c>
      <c r="R1660" s="19">
        <f t="shared" si="200"/>
        <v>0</v>
      </c>
      <c r="T1660" s="19">
        <f t="shared" si="204"/>
        <v>488952.45</v>
      </c>
      <c r="U1660" s="19">
        <f t="shared" si="205"/>
        <v>544320</v>
      </c>
      <c r="V1660" s="21">
        <f t="shared" si="206"/>
        <v>55367.549999999988</v>
      </c>
      <c r="W1660" s="18">
        <f t="shared" si="207"/>
        <v>0.11323708471038439</v>
      </c>
    </row>
    <row r="1661" spans="1:23" x14ac:dyDescent="0.3">
      <c r="A1661" t="s">
        <v>1481</v>
      </c>
      <c r="B1661" t="s">
        <v>1526</v>
      </c>
      <c r="C1661" t="s">
        <v>37</v>
      </c>
      <c r="D1661" t="s">
        <v>20</v>
      </c>
      <c r="E1661">
        <v>2744</v>
      </c>
      <c r="F1661">
        <v>226.68</v>
      </c>
      <c r="G1661">
        <v>246.25</v>
      </c>
      <c r="H1661">
        <v>226.68</v>
      </c>
      <c r="I1661">
        <v>3115</v>
      </c>
      <c r="J1661">
        <v>50</v>
      </c>
      <c r="K1661" s="17">
        <f t="shared" si="201"/>
        <v>5191.6666666666661</v>
      </c>
      <c r="L1661" t="str">
        <f t="shared" si="202"/>
        <v>High Risk</v>
      </c>
      <c r="P1661" s="19">
        <f t="shared" si="203"/>
        <v>2448</v>
      </c>
      <c r="R1661" s="19">
        <f t="shared" si="200"/>
        <v>554912.64</v>
      </c>
      <c r="T1661" s="19">
        <f t="shared" si="204"/>
        <v>767068.75</v>
      </c>
      <c r="U1661" s="19">
        <f t="shared" si="205"/>
        <v>706108.20000000007</v>
      </c>
      <c r="V1661" s="21">
        <f t="shared" si="206"/>
        <v>-60960.54999999993</v>
      </c>
      <c r="W1661" s="18">
        <f t="shared" si="207"/>
        <v>-7.9472081218274024E-2</v>
      </c>
    </row>
    <row r="1662" spans="1:23" x14ac:dyDescent="0.3">
      <c r="A1662" t="s">
        <v>246</v>
      </c>
      <c r="B1662" t="s">
        <v>2156</v>
      </c>
      <c r="C1662" t="s">
        <v>16</v>
      </c>
      <c r="D1662" t="s">
        <v>26</v>
      </c>
      <c r="E1662">
        <v>2745</v>
      </c>
      <c r="F1662">
        <v>90.27</v>
      </c>
      <c r="G1662">
        <v>76.56</v>
      </c>
      <c r="H1662">
        <v>90.27</v>
      </c>
      <c r="I1662">
        <v>381</v>
      </c>
      <c r="J1662">
        <v>43</v>
      </c>
      <c r="K1662" s="17">
        <f t="shared" si="201"/>
        <v>546.1</v>
      </c>
      <c r="L1662" t="str">
        <f t="shared" si="202"/>
        <v>Sufficuent Stock</v>
      </c>
      <c r="P1662" s="19">
        <f t="shared" si="203"/>
        <v>0</v>
      </c>
      <c r="R1662" s="19">
        <f t="shared" si="200"/>
        <v>0</v>
      </c>
      <c r="T1662" s="19">
        <f t="shared" si="204"/>
        <v>29169.360000000001</v>
      </c>
      <c r="U1662" s="19">
        <f t="shared" si="205"/>
        <v>34392.869999999995</v>
      </c>
      <c r="V1662" s="21">
        <f t="shared" si="206"/>
        <v>5223.5099999999948</v>
      </c>
      <c r="W1662" s="18">
        <f t="shared" si="207"/>
        <v>0.17907523510971768</v>
      </c>
    </row>
    <row r="1663" spans="1:23" x14ac:dyDescent="0.3">
      <c r="A1663" t="s">
        <v>455</v>
      </c>
      <c r="B1663" t="s">
        <v>1508</v>
      </c>
      <c r="C1663" t="s">
        <v>50</v>
      </c>
      <c r="D1663" t="s">
        <v>20</v>
      </c>
      <c r="E1663">
        <v>2746</v>
      </c>
      <c r="F1663">
        <v>54.38</v>
      </c>
      <c r="G1663">
        <v>49.21</v>
      </c>
      <c r="H1663">
        <v>54.38</v>
      </c>
      <c r="I1663">
        <v>1291</v>
      </c>
      <c r="J1663">
        <v>38</v>
      </c>
      <c r="K1663" s="17">
        <f t="shared" si="201"/>
        <v>1635.2666666666667</v>
      </c>
      <c r="L1663" t="str">
        <f t="shared" si="202"/>
        <v>Sufficuent Stock</v>
      </c>
      <c r="P1663" s="19">
        <f t="shared" si="203"/>
        <v>0</v>
      </c>
      <c r="R1663" s="19">
        <f t="shared" si="200"/>
        <v>0</v>
      </c>
      <c r="T1663" s="19">
        <f t="shared" si="204"/>
        <v>63530.11</v>
      </c>
      <c r="U1663" s="19">
        <f t="shared" si="205"/>
        <v>70204.58</v>
      </c>
      <c r="V1663" s="21">
        <f t="shared" si="206"/>
        <v>6674.4700000000012</v>
      </c>
      <c r="W1663" s="18">
        <f t="shared" si="207"/>
        <v>0.10505994716521035</v>
      </c>
    </row>
    <row r="1664" spans="1:23" x14ac:dyDescent="0.3">
      <c r="A1664" t="s">
        <v>631</v>
      </c>
      <c r="B1664" t="s">
        <v>2256</v>
      </c>
      <c r="C1664" t="s">
        <v>16</v>
      </c>
      <c r="D1664" t="s">
        <v>17</v>
      </c>
      <c r="E1664">
        <v>2748</v>
      </c>
      <c r="F1664">
        <v>275.58</v>
      </c>
      <c r="G1664">
        <v>249</v>
      </c>
      <c r="H1664">
        <v>275.58</v>
      </c>
      <c r="I1664">
        <v>71</v>
      </c>
      <c r="J1664">
        <v>64</v>
      </c>
      <c r="K1664" s="17">
        <f t="shared" si="201"/>
        <v>151.46666666666667</v>
      </c>
      <c r="L1664" t="str">
        <f t="shared" si="202"/>
        <v>Sufficuent Stock</v>
      </c>
      <c r="P1664" s="19">
        <f t="shared" si="203"/>
        <v>0</v>
      </c>
      <c r="R1664" s="19">
        <f t="shared" si="200"/>
        <v>0</v>
      </c>
      <c r="T1664" s="19">
        <f t="shared" si="204"/>
        <v>17679</v>
      </c>
      <c r="U1664" s="19">
        <f t="shared" si="205"/>
        <v>19566.18</v>
      </c>
      <c r="V1664" s="21">
        <f t="shared" si="206"/>
        <v>1887.1800000000003</v>
      </c>
      <c r="W1664" s="18">
        <f t="shared" si="207"/>
        <v>0.10674698795180725</v>
      </c>
    </row>
    <row r="1665" spans="1:23" x14ac:dyDescent="0.3">
      <c r="A1665" t="s">
        <v>714</v>
      </c>
      <c r="B1665" t="s">
        <v>2078</v>
      </c>
      <c r="C1665" t="s">
        <v>50</v>
      </c>
      <c r="D1665" t="s">
        <v>17</v>
      </c>
      <c r="E1665">
        <v>2748</v>
      </c>
      <c r="F1665">
        <v>210.47</v>
      </c>
      <c r="G1665">
        <v>179.66</v>
      </c>
      <c r="H1665">
        <v>210.47</v>
      </c>
      <c r="I1665">
        <v>1407</v>
      </c>
      <c r="J1665">
        <v>38</v>
      </c>
      <c r="K1665" s="17">
        <f t="shared" si="201"/>
        <v>1782.2</v>
      </c>
      <c r="L1665" t="str">
        <f t="shared" si="202"/>
        <v>Sufficuent Stock</v>
      </c>
      <c r="P1665" s="19">
        <f t="shared" si="203"/>
        <v>0</v>
      </c>
      <c r="R1665" s="19">
        <f t="shared" si="200"/>
        <v>0</v>
      </c>
      <c r="T1665" s="19">
        <f t="shared" si="204"/>
        <v>252781.62</v>
      </c>
      <c r="U1665" s="19">
        <f t="shared" si="205"/>
        <v>296131.28999999998</v>
      </c>
      <c r="V1665" s="21">
        <f t="shared" si="206"/>
        <v>43349.669999999984</v>
      </c>
      <c r="W1665" s="18">
        <f t="shared" si="207"/>
        <v>0.17149059334298111</v>
      </c>
    </row>
    <row r="1666" spans="1:23" x14ac:dyDescent="0.3">
      <c r="A1666" t="s">
        <v>1243</v>
      </c>
      <c r="B1666" t="s">
        <v>2429</v>
      </c>
      <c r="C1666" t="s">
        <v>37</v>
      </c>
      <c r="D1666" t="s">
        <v>69</v>
      </c>
      <c r="E1666">
        <v>2749</v>
      </c>
      <c r="F1666">
        <v>363.38</v>
      </c>
      <c r="G1666">
        <v>346.64</v>
      </c>
      <c r="H1666">
        <v>363.38</v>
      </c>
      <c r="I1666">
        <v>3461</v>
      </c>
      <c r="J1666">
        <v>53</v>
      </c>
      <c r="K1666" s="17">
        <f t="shared" si="201"/>
        <v>6114.4333333333334</v>
      </c>
      <c r="L1666" t="str">
        <f t="shared" si="202"/>
        <v>High Risk</v>
      </c>
      <c r="P1666" s="19">
        <f t="shared" si="203"/>
        <v>3366</v>
      </c>
      <c r="R1666" s="19">
        <f t="shared" ref="R1666:R1729" si="208">P1666*H1666</f>
        <v>1223137.08</v>
      </c>
      <c r="T1666" s="19">
        <f t="shared" si="204"/>
        <v>1199721.04</v>
      </c>
      <c r="U1666" s="19">
        <f t="shared" si="205"/>
        <v>1257658.18</v>
      </c>
      <c r="V1666" s="21">
        <f t="shared" si="206"/>
        <v>57937.139999999898</v>
      </c>
      <c r="W1666" s="18">
        <f t="shared" si="207"/>
        <v>4.8292176321255396E-2</v>
      </c>
    </row>
    <row r="1667" spans="1:23" x14ac:dyDescent="0.3">
      <c r="A1667" t="s">
        <v>642</v>
      </c>
      <c r="B1667" t="s">
        <v>3092</v>
      </c>
      <c r="C1667" t="s">
        <v>12</v>
      </c>
      <c r="D1667" t="s">
        <v>69</v>
      </c>
      <c r="E1667">
        <v>2754</v>
      </c>
      <c r="F1667">
        <v>373.73</v>
      </c>
      <c r="G1667">
        <v>408.02</v>
      </c>
      <c r="H1667">
        <v>373.73</v>
      </c>
      <c r="I1667">
        <v>1831</v>
      </c>
      <c r="J1667">
        <v>9</v>
      </c>
      <c r="K1667" s="17">
        <f t="shared" ref="K1667:K1730" si="209">(I1667/30)*J1667</f>
        <v>549.29999999999995</v>
      </c>
      <c r="L1667" t="str">
        <f t="shared" ref="L1667:L1730" si="210">IF(E1667&lt;K1667,"High Risk","Sufficuent Stock")</f>
        <v>Sufficuent Stock</v>
      </c>
      <c r="P1667" s="19">
        <f t="shared" ref="P1667:P1730" si="211">ROUNDUP(MAX(0,K1667-E1667),0)</f>
        <v>0</v>
      </c>
      <c r="R1667" s="19">
        <f t="shared" si="208"/>
        <v>0</v>
      </c>
      <c r="T1667" s="19">
        <f t="shared" ref="T1667:T1730" si="212">I1667*G1667</f>
        <v>747084.62</v>
      </c>
      <c r="U1667" s="19">
        <f t="shared" ref="U1667:U1730" si="213">I1667*H1667</f>
        <v>684299.63</v>
      </c>
      <c r="V1667" s="21">
        <f t="shared" ref="V1667:V1730" si="214">U1667-T1667</f>
        <v>-62784.989999999991</v>
      </c>
      <c r="W1667" s="18">
        <f t="shared" ref="W1667:W1730" si="215">IFERROR(V1667/T1667,0)</f>
        <v>-8.4039998039311781E-2</v>
      </c>
    </row>
    <row r="1668" spans="1:23" x14ac:dyDescent="0.3">
      <c r="A1668" t="s">
        <v>368</v>
      </c>
      <c r="B1668" t="s">
        <v>791</v>
      </c>
      <c r="C1668" t="s">
        <v>16</v>
      </c>
      <c r="D1668" t="s">
        <v>13</v>
      </c>
      <c r="E1668">
        <v>2755</v>
      </c>
      <c r="F1668">
        <v>77.87</v>
      </c>
      <c r="G1668">
        <v>69.14</v>
      </c>
      <c r="H1668">
        <v>77.87</v>
      </c>
      <c r="I1668">
        <v>234</v>
      </c>
      <c r="J1668">
        <v>83</v>
      </c>
      <c r="K1668" s="17">
        <f t="shared" si="209"/>
        <v>647.4</v>
      </c>
      <c r="L1668" t="str">
        <f t="shared" si="210"/>
        <v>Sufficuent Stock</v>
      </c>
      <c r="P1668" s="19">
        <f t="shared" si="211"/>
        <v>0</v>
      </c>
      <c r="R1668" s="19">
        <f t="shared" si="208"/>
        <v>0</v>
      </c>
      <c r="T1668" s="19">
        <f t="shared" si="212"/>
        <v>16178.76</v>
      </c>
      <c r="U1668" s="19">
        <f t="shared" si="213"/>
        <v>18221.580000000002</v>
      </c>
      <c r="V1668" s="21">
        <f t="shared" si="214"/>
        <v>2042.8200000000015</v>
      </c>
      <c r="W1668" s="18">
        <f t="shared" si="215"/>
        <v>0.12626554816314733</v>
      </c>
    </row>
    <row r="1669" spans="1:23" x14ac:dyDescent="0.3">
      <c r="A1669" t="s">
        <v>1253</v>
      </c>
      <c r="B1669" t="s">
        <v>1254</v>
      </c>
      <c r="C1669" t="s">
        <v>37</v>
      </c>
      <c r="D1669" t="s">
        <v>26</v>
      </c>
      <c r="E1669">
        <v>2756</v>
      </c>
      <c r="F1669">
        <v>214.15</v>
      </c>
      <c r="G1669">
        <v>205.33</v>
      </c>
      <c r="H1669">
        <v>214.15</v>
      </c>
      <c r="I1669">
        <v>3994</v>
      </c>
      <c r="J1669">
        <v>71</v>
      </c>
      <c r="K1669" s="17">
        <f t="shared" si="209"/>
        <v>9452.4666666666653</v>
      </c>
      <c r="L1669" t="str">
        <f t="shared" si="210"/>
        <v>High Risk</v>
      </c>
      <c r="P1669" s="19">
        <f t="shared" si="211"/>
        <v>6697</v>
      </c>
      <c r="R1669" s="19">
        <f t="shared" si="208"/>
        <v>1434162.55</v>
      </c>
      <c r="T1669" s="19">
        <f t="shared" si="212"/>
        <v>820088.02</v>
      </c>
      <c r="U1669" s="19">
        <f t="shared" si="213"/>
        <v>855315.1</v>
      </c>
      <c r="V1669" s="21">
        <f t="shared" si="214"/>
        <v>35227.079999999958</v>
      </c>
      <c r="W1669" s="18">
        <f t="shared" si="215"/>
        <v>4.2955242779915206E-2</v>
      </c>
    </row>
    <row r="1670" spans="1:23" x14ac:dyDescent="0.3">
      <c r="A1670" t="s">
        <v>1835</v>
      </c>
      <c r="B1670" t="s">
        <v>1836</v>
      </c>
      <c r="C1670" t="s">
        <v>37</v>
      </c>
      <c r="D1670" t="s">
        <v>13</v>
      </c>
      <c r="E1670">
        <v>2760</v>
      </c>
      <c r="F1670">
        <v>355.9</v>
      </c>
      <c r="G1670">
        <v>346.21</v>
      </c>
      <c r="H1670">
        <v>355.9</v>
      </c>
      <c r="I1670">
        <v>818</v>
      </c>
      <c r="J1670">
        <v>53</v>
      </c>
      <c r="K1670" s="17">
        <f t="shared" si="209"/>
        <v>1445.1333333333332</v>
      </c>
      <c r="L1670" t="str">
        <f t="shared" si="210"/>
        <v>Sufficuent Stock</v>
      </c>
      <c r="P1670" s="19">
        <f t="shared" si="211"/>
        <v>0</v>
      </c>
      <c r="R1670" s="19">
        <f t="shared" si="208"/>
        <v>0</v>
      </c>
      <c r="T1670" s="19">
        <f t="shared" si="212"/>
        <v>283199.77999999997</v>
      </c>
      <c r="U1670" s="19">
        <f t="shared" si="213"/>
        <v>291126.19999999995</v>
      </c>
      <c r="V1670" s="21">
        <f t="shared" si="214"/>
        <v>7926.4199999999837</v>
      </c>
      <c r="W1670" s="18">
        <f t="shared" si="215"/>
        <v>2.7988792929146994E-2</v>
      </c>
    </row>
    <row r="1671" spans="1:23" x14ac:dyDescent="0.3">
      <c r="A1671" t="s">
        <v>896</v>
      </c>
      <c r="B1671" t="s">
        <v>2085</v>
      </c>
      <c r="C1671" t="s">
        <v>37</v>
      </c>
      <c r="D1671" t="s">
        <v>17</v>
      </c>
      <c r="E1671">
        <v>2763</v>
      </c>
      <c r="F1671">
        <v>187.36</v>
      </c>
      <c r="G1671">
        <v>180.83</v>
      </c>
      <c r="H1671">
        <v>187.36</v>
      </c>
      <c r="I1671">
        <v>1858</v>
      </c>
      <c r="J1671">
        <v>27</v>
      </c>
      <c r="K1671" s="17">
        <f t="shared" si="209"/>
        <v>1672.1999999999998</v>
      </c>
      <c r="L1671" t="str">
        <f t="shared" si="210"/>
        <v>Sufficuent Stock</v>
      </c>
      <c r="P1671" s="19">
        <f t="shared" si="211"/>
        <v>0</v>
      </c>
      <c r="R1671" s="19">
        <f t="shared" si="208"/>
        <v>0</v>
      </c>
      <c r="T1671" s="19">
        <f t="shared" si="212"/>
        <v>335982.14</v>
      </c>
      <c r="U1671" s="19">
        <f t="shared" si="213"/>
        <v>348114.88</v>
      </c>
      <c r="V1671" s="21">
        <f t="shared" si="214"/>
        <v>12132.739999999991</v>
      </c>
      <c r="W1671" s="18">
        <f t="shared" si="215"/>
        <v>3.6111264723773684E-2</v>
      </c>
    </row>
    <row r="1672" spans="1:23" x14ac:dyDescent="0.3">
      <c r="A1672" t="s">
        <v>374</v>
      </c>
      <c r="B1672" t="s">
        <v>2117</v>
      </c>
      <c r="C1672" t="s">
        <v>12</v>
      </c>
      <c r="D1672" t="s">
        <v>13</v>
      </c>
      <c r="E1672">
        <v>2764</v>
      </c>
      <c r="F1672">
        <v>65.680000000000007</v>
      </c>
      <c r="G1672">
        <v>57.92</v>
      </c>
      <c r="H1672">
        <v>65.680000000000007</v>
      </c>
      <c r="I1672">
        <v>2588</v>
      </c>
      <c r="J1672">
        <v>88</v>
      </c>
      <c r="K1672" s="17">
        <f t="shared" si="209"/>
        <v>7591.4666666666662</v>
      </c>
      <c r="L1672" t="str">
        <f t="shared" si="210"/>
        <v>High Risk</v>
      </c>
      <c r="P1672" s="19">
        <f t="shared" si="211"/>
        <v>4828</v>
      </c>
      <c r="R1672" s="19">
        <f t="shared" si="208"/>
        <v>317103.04000000004</v>
      </c>
      <c r="T1672" s="19">
        <f t="shared" si="212"/>
        <v>149896.95999999999</v>
      </c>
      <c r="U1672" s="19">
        <f t="shared" si="213"/>
        <v>169979.84000000003</v>
      </c>
      <c r="V1672" s="21">
        <f t="shared" si="214"/>
        <v>20082.880000000034</v>
      </c>
      <c r="W1672" s="18">
        <f t="shared" si="215"/>
        <v>0.13397790055248643</v>
      </c>
    </row>
    <row r="1673" spans="1:23" x14ac:dyDescent="0.3">
      <c r="A1673" t="s">
        <v>453</v>
      </c>
      <c r="B1673" t="s">
        <v>454</v>
      </c>
      <c r="C1673" t="s">
        <v>37</v>
      </c>
      <c r="D1673" t="s">
        <v>13</v>
      </c>
      <c r="E1673">
        <v>2765</v>
      </c>
      <c r="F1673">
        <v>254.02</v>
      </c>
      <c r="G1673">
        <v>228.67</v>
      </c>
      <c r="H1673">
        <v>254.02</v>
      </c>
      <c r="I1673">
        <v>3374</v>
      </c>
      <c r="J1673">
        <v>24</v>
      </c>
      <c r="K1673" s="17">
        <f t="shared" si="209"/>
        <v>2699.2</v>
      </c>
      <c r="L1673" t="str">
        <f t="shared" si="210"/>
        <v>Sufficuent Stock</v>
      </c>
      <c r="P1673" s="19">
        <f t="shared" si="211"/>
        <v>0</v>
      </c>
      <c r="R1673" s="19">
        <f t="shared" si="208"/>
        <v>0</v>
      </c>
      <c r="T1673" s="19">
        <f t="shared" si="212"/>
        <v>771532.58</v>
      </c>
      <c r="U1673" s="19">
        <f t="shared" si="213"/>
        <v>857063.48</v>
      </c>
      <c r="V1673" s="21">
        <f t="shared" si="214"/>
        <v>85530.900000000023</v>
      </c>
      <c r="W1673" s="18">
        <f t="shared" si="215"/>
        <v>0.11085844229675956</v>
      </c>
    </row>
    <row r="1674" spans="1:23" x14ac:dyDescent="0.3">
      <c r="A1674" t="s">
        <v>759</v>
      </c>
      <c r="B1674" t="s">
        <v>2408</v>
      </c>
      <c r="C1674" t="s">
        <v>37</v>
      </c>
      <c r="D1674" t="s">
        <v>13</v>
      </c>
      <c r="E1674">
        <v>2767</v>
      </c>
      <c r="F1674">
        <v>61.94</v>
      </c>
      <c r="G1674">
        <v>58.24</v>
      </c>
      <c r="H1674">
        <v>61.94</v>
      </c>
      <c r="I1674">
        <v>1335</v>
      </c>
      <c r="J1674">
        <v>20</v>
      </c>
      <c r="K1674" s="17">
        <f t="shared" si="209"/>
        <v>890</v>
      </c>
      <c r="L1674" t="str">
        <f t="shared" si="210"/>
        <v>Sufficuent Stock</v>
      </c>
      <c r="P1674" s="19">
        <f t="shared" si="211"/>
        <v>0</v>
      </c>
      <c r="R1674" s="19">
        <f t="shared" si="208"/>
        <v>0</v>
      </c>
      <c r="T1674" s="19">
        <f t="shared" si="212"/>
        <v>77750.400000000009</v>
      </c>
      <c r="U1674" s="19">
        <f t="shared" si="213"/>
        <v>82689.899999999994</v>
      </c>
      <c r="V1674" s="21">
        <f t="shared" si="214"/>
        <v>4939.4999999999854</v>
      </c>
      <c r="W1674" s="18">
        <f t="shared" si="215"/>
        <v>6.3530219780219582E-2</v>
      </c>
    </row>
    <row r="1675" spans="1:23" x14ac:dyDescent="0.3">
      <c r="A1675" t="s">
        <v>855</v>
      </c>
      <c r="B1675" t="s">
        <v>3099</v>
      </c>
      <c r="C1675" t="s">
        <v>23</v>
      </c>
      <c r="D1675" t="s">
        <v>20</v>
      </c>
      <c r="E1675">
        <v>2770</v>
      </c>
      <c r="F1675">
        <v>316.66000000000003</v>
      </c>
      <c r="G1675">
        <v>318.99</v>
      </c>
      <c r="H1675">
        <v>316.66000000000003</v>
      </c>
      <c r="I1675">
        <v>3878</v>
      </c>
      <c r="J1675">
        <v>35</v>
      </c>
      <c r="K1675" s="17">
        <f t="shared" si="209"/>
        <v>4524.3333333333339</v>
      </c>
      <c r="L1675" t="str">
        <f t="shared" si="210"/>
        <v>High Risk</v>
      </c>
      <c r="P1675" s="19">
        <f t="shared" si="211"/>
        <v>1755</v>
      </c>
      <c r="R1675" s="19">
        <f t="shared" si="208"/>
        <v>555738.30000000005</v>
      </c>
      <c r="T1675" s="19">
        <f t="shared" si="212"/>
        <v>1237043.22</v>
      </c>
      <c r="U1675" s="19">
        <f t="shared" si="213"/>
        <v>1228007.48</v>
      </c>
      <c r="V1675" s="21">
        <f t="shared" si="214"/>
        <v>-9035.7399999999907</v>
      </c>
      <c r="W1675" s="18">
        <f t="shared" si="215"/>
        <v>-7.304304210163321E-3</v>
      </c>
    </row>
    <row r="1676" spans="1:23" x14ac:dyDescent="0.3">
      <c r="A1676" t="s">
        <v>143</v>
      </c>
      <c r="B1676" t="s">
        <v>1720</v>
      </c>
      <c r="C1676" t="s">
        <v>12</v>
      </c>
      <c r="D1676" t="s">
        <v>69</v>
      </c>
      <c r="E1676">
        <v>2770</v>
      </c>
      <c r="F1676">
        <v>295.49</v>
      </c>
      <c r="G1676">
        <v>258.06</v>
      </c>
      <c r="H1676">
        <v>295.49</v>
      </c>
      <c r="I1676">
        <v>3443</v>
      </c>
      <c r="J1676">
        <v>60</v>
      </c>
      <c r="K1676" s="17">
        <f t="shared" si="209"/>
        <v>6886</v>
      </c>
      <c r="L1676" t="str">
        <f t="shared" si="210"/>
        <v>High Risk</v>
      </c>
      <c r="P1676" s="19">
        <f t="shared" si="211"/>
        <v>4116</v>
      </c>
      <c r="R1676" s="19">
        <f t="shared" si="208"/>
        <v>1216236.8400000001</v>
      </c>
      <c r="T1676" s="19">
        <f t="shared" si="212"/>
        <v>888500.58</v>
      </c>
      <c r="U1676" s="19">
        <f t="shared" si="213"/>
        <v>1017372.0700000001</v>
      </c>
      <c r="V1676" s="21">
        <f t="shared" si="214"/>
        <v>128871.49000000011</v>
      </c>
      <c r="W1676" s="18">
        <f t="shared" si="215"/>
        <v>0.1450437882662948</v>
      </c>
    </row>
    <row r="1677" spans="1:23" x14ac:dyDescent="0.3">
      <c r="A1677" t="s">
        <v>657</v>
      </c>
      <c r="B1677" t="s">
        <v>3004</v>
      </c>
      <c r="C1677" t="s">
        <v>12</v>
      </c>
      <c r="D1677" t="s">
        <v>26</v>
      </c>
      <c r="E1677">
        <v>2773</v>
      </c>
      <c r="F1677">
        <v>424.69</v>
      </c>
      <c r="G1677">
        <v>413.15</v>
      </c>
      <c r="H1677">
        <v>424.69</v>
      </c>
      <c r="I1677">
        <v>443</v>
      </c>
      <c r="J1677">
        <v>72</v>
      </c>
      <c r="K1677" s="17">
        <f t="shared" si="209"/>
        <v>1063.2</v>
      </c>
      <c r="L1677" t="str">
        <f t="shared" si="210"/>
        <v>Sufficuent Stock</v>
      </c>
      <c r="P1677" s="19">
        <f t="shared" si="211"/>
        <v>0</v>
      </c>
      <c r="R1677" s="19">
        <f t="shared" si="208"/>
        <v>0</v>
      </c>
      <c r="T1677" s="19">
        <f t="shared" si="212"/>
        <v>183025.44999999998</v>
      </c>
      <c r="U1677" s="19">
        <f t="shared" si="213"/>
        <v>188137.67</v>
      </c>
      <c r="V1677" s="21">
        <f t="shared" si="214"/>
        <v>5112.2200000000303</v>
      </c>
      <c r="W1677" s="18">
        <f t="shared" si="215"/>
        <v>2.7931743918673774E-2</v>
      </c>
    </row>
    <row r="1678" spans="1:23" x14ac:dyDescent="0.3">
      <c r="A1678" t="s">
        <v>113</v>
      </c>
      <c r="B1678" t="s">
        <v>397</v>
      </c>
      <c r="C1678" t="s">
        <v>37</v>
      </c>
      <c r="D1678" t="s">
        <v>13</v>
      </c>
      <c r="E1678">
        <v>2775</v>
      </c>
      <c r="F1678">
        <v>98.43</v>
      </c>
      <c r="G1678">
        <v>105.54</v>
      </c>
      <c r="H1678">
        <v>98.43</v>
      </c>
      <c r="I1678">
        <v>1738</v>
      </c>
      <c r="J1678">
        <v>36</v>
      </c>
      <c r="K1678" s="17">
        <f t="shared" si="209"/>
        <v>2085.6</v>
      </c>
      <c r="L1678" t="str">
        <f t="shared" si="210"/>
        <v>Sufficuent Stock</v>
      </c>
      <c r="P1678" s="19">
        <f t="shared" si="211"/>
        <v>0</v>
      </c>
      <c r="R1678" s="19">
        <f t="shared" si="208"/>
        <v>0</v>
      </c>
      <c r="T1678" s="19">
        <f t="shared" si="212"/>
        <v>183428.52000000002</v>
      </c>
      <c r="U1678" s="19">
        <f t="shared" si="213"/>
        <v>171071.34000000003</v>
      </c>
      <c r="V1678" s="21">
        <f t="shared" si="214"/>
        <v>-12357.179999999993</v>
      </c>
      <c r="W1678" s="18">
        <f t="shared" si="215"/>
        <v>-6.7367822626492282E-2</v>
      </c>
    </row>
    <row r="1679" spans="1:23" x14ac:dyDescent="0.3">
      <c r="A1679" t="s">
        <v>72</v>
      </c>
      <c r="B1679" t="s">
        <v>491</v>
      </c>
      <c r="C1679" t="s">
        <v>12</v>
      </c>
      <c r="D1679" t="s">
        <v>17</v>
      </c>
      <c r="E1679">
        <v>2775</v>
      </c>
      <c r="F1679">
        <v>445.4</v>
      </c>
      <c r="G1679">
        <v>431.7</v>
      </c>
      <c r="H1679">
        <v>445.4</v>
      </c>
      <c r="I1679">
        <v>3152</v>
      </c>
      <c r="J1679">
        <v>51</v>
      </c>
      <c r="K1679" s="17">
        <f t="shared" si="209"/>
        <v>5358.4</v>
      </c>
      <c r="L1679" t="str">
        <f t="shared" si="210"/>
        <v>High Risk</v>
      </c>
      <c r="P1679" s="19">
        <f t="shared" si="211"/>
        <v>2584</v>
      </c>
      <c r="R1679" s="19">
        <f t="shared" si="208"/>
        <v>1150913.5999999999</v>
      </c>
      <c r="T1679" s="19">
        <f t="shared" si="212"/>
        <v>1360718.4</v>
      </c>
      <c r="U1679" s="19">
        <f t="shared" si="213"/>
        <v>1403900.7999999998</v>
      </c>
      <c r="V1679" s="21">
        <f t="shared" si="214"/>
        <v>43182.399999999907</v>
      </c>
      <c r="W1679" s="18">
        <f t="shared" si="215"/>
        <v>3.1735001158211658E-2</v>
      </c>
    </row>
    <row r="1680" spans="1:23" x14ac:dyDescent="0.3">
      <c r="A1680" t="s">
        <v>51</v>
      </c>
      <c r="B1680" t="s">
        <v>1290</v>
      </c>
      <c r="C1680" t="s">
        <v>16</v>
      </c>
      <c r="D1680" t="s">
        <v>17</v>
      </c>
      <c r="E1680">
        <v>2775</v>
      </c>
      <c r="F1680">
        <v>85.83</v>
      </c>
      <c r="G1680">
        <v>71.86</v>
      </c>
      <c r="H1680">
        <v>85.83</v>
      </c>
      <c r="I1680">
        <v>452</v>
      </c>
      <c r="J1680">
        <v>29</v>
      </c>
      <c r="K1680" s="17">
        <f t="shared" si="209"/>
        <v>436.93333333333334</v>
      </c>
      <c r="L1680" t="str">
        <f t="shared" si="210"/>
        <v>Sufficuent Stock</v>
      </c>
      <c r="P1680" s="19">
        <f t="shared" si="211"/>
        <v>0</v>
      </c>
      <c r="R1680" s="19">
        <f t="shared" si="208"/>
        <v>0</v>
      </c>
      <c r="T1680" s="19">
        <f t="shared" si="212"/>
        <v>32480.720000000001</v>
      </c>
      <c r="U1680" s="19">
        <f t="shared" si="213"/>
        <v>38795.159999999996</v>
      </c>
      <c r="V1680" s="21">
        <f t="shared" si="214"/>
        <v>6314.4399999999951</v>
      </c>
      <c r="W1680" s="18">
        <f t="shared" si="215"/>
        <v>0.19440578903423308</v>
      </c>
    </row>
    <row r="1681" spans="1:23" x14ac:dyDescent="0.3">
      <c r="A1681" t="s">
        <v>484</v>
      </c>
      <c r="B1681" t="s">
        <v>2855</v>
      </c>
      <c r="C1681" t="s">
        <v>50</v>
      </c>
      <c r="D1681" t="s">
        <v>26</v>
      </c>
      <c r="E1681">
        <v>2777</v>
      </c>
      <c r="F1681">
        <v>245</v>
      </c>
      <c r="G1681">
        <v>228.61</v>
      </c>
      <c r="H1681">
        <v>245</v>
      </c>
      <c r="I1681">
        <v>763</v>
      </c>
      <c r="J1681">
        <v>31</v>
      </c>
      <c r="K1681" s="17">
        <f t="shared" si="209"/>
        <v>788.43333333333339</v>
      </c>
      <c r="L1681" t="str">
        <f t="shared" si="210"/>
        <v>Sufficuent Stock</v>
      </c>
      <c r="P1681" s="19">
        <f t="shared" si="211"/>
        <v>0</v>
      </c>
      <c r="R1681" s="19">
        <f t="shared" si="208"/>
        <v>0</v>
      </c>
      <c r="T1681" s="19">
        <f t="shared" si="212"/>
        <v>174429.43000000002</v>
      </c>
      <c r="U1681" s="19">
        <f t="shared" si="213"/>
        <v>186935</v>
      </c>
      <c r="V1681" s="21">
        <f t="shared" si="214"/>
        <v>12505.569999999978</v>
      </c>
      <c r="W1681" s="18">
        <f t="shared" si="215"/>
        <v>7.1694151611915349E-2</v>
      </c>
    </row>
    <row r="1682" spans="1:23" x14ac:dyDescent="0.3">
      <c r="A1682" t="s">
        <v>335</v>
      </c>
      <c r="B1682" t="s">
        <v>602</v>
      </c>
      <c r="C1682" t="s">
        <v>23</v>
      </c>
      <c r="D1682" t="s">
        <v>26</v>
      </c>
      <c r="E1682">
        <v>2780</v>
      </c>
      <c r="F1682">
        <v>133</v>
      </c>
      <c r="G1682">
        <v>134.65</v>
      </c>
      <c r="H1682">
        <v>133</v>
      </c>
      <c r="I1682">
        <v>2472</v>
      </c>
      <c r="J1682">
        <v>82</v>
      </c>
      <c r="K1682" s="17">
        <f t="shared" si="209"/>
        <v>6756.8</v>
      </c>
      <c r="L1682" t="str">
        <f t="shared" si="210"/>
        <v>High Risk</v>
      </c>
      <c r="P1682" s="19">
        <f t="shared" si="211"/>
        <v>3977</v>
      </c>
      <c r="R1682" s="19">
        <f t="shared" si="208"/>
        <v>528941</v>
      </c>
      <c r="T1682" s="19">
        <f t="shared" si="212"/>
        <v>332854.8</v>
      </c>
      <c r="U1682" s="19">
        <f t="shared" si="213"/>
        <v>328776</v>
      </c>
      <c r="V1682" s="21">
        <f t="shared" si="214"/>
        <v>-4078.7999999999884</v>
      </c>
      <c r="W1682" s="18">
        <f t="shared" si="215"/>
        <v>-1.2253991830672079E-2</v>
      </c>
    </row>
    <row r="1683" spans="1:23" x14ac:dyDescent="0.3">
      <c r="A1683" t="s">
        <v>216</v>
      </c>
      <c r="B1683" t="s">
        <v>3206</v>
      </c>
      <c r="C1683" t="s">
        <v>12</v>
      </c>
      <c r="D1683" t="s">
        <v>69</v>
      </c>
      <c r="E1683">
        <v>2781</v>
      </c>
      <c r="F1683">
        <v>346.4</v>
      </c>
      <c r="G1683">
        <v>353.19</v>
      </c>
      <c r="H1683">
        <v>346.4</v>
      </c>
      <c r="I1683">
        <v>3958</v>
      </c>
      <c r="J1683">
        <v>61</v>
      </c>
      <c r="K1683" s="17">
        <f t="shared" si="209"/>
        <v>8047.9333333333334</v>
      </c>
      <c r="L1683" t="str">
        <f t="shared" si="210"/>
        <v>High Risk</v>
      </c>
      <c r="P1683" s="19">
        <f t="shared" si="211"/>
        <v>5267</v>
      </c>
      <c r="R1683" s="19">
        <f t="shared" si="208"/>
        <v>1824488.7999999998</v>
      </c>
      <c r="T1683" s="19">
        <f t="shared" si="212"/>
        <v>1397926.02</v>
      </c>
      <c r="U1683" s="19">
        <f t="shared" si="213"/>
        <v>1371051.2</v>
      </c>
      <c r="V1683" s="21">
        <f t="shared" si="214"/>
        <v>-26874.820000000065</v>
      </c>
      <c r="W1683" s="18">
        <f t="shared" si="215"/>
        <v>-1.9224779863529592E-2</v>
      </c>
    </row>
    <row r="1684" spans="1:23" x14ac:dyDescent="0.3">
      <c r="A1684" t="s">
        <v>314</v>
      </c>
      <c r="B1684" t="s">
        <v>3362</v>
      </c>
      <c r="C1684" t="s">
        <v>12</v>
      </c>
      <c r="D1684" t="s">
        <v>26</v>
      </c>
      <c r="E1684">
        <v>2785</v>
      </c>
      <c r="F1684">
        <v>16.98</v>
      </c>
      <c r="G1684">
        <v>15.52</v>
      </c>
      <c r="H1684">
        <v>16.98</v>
      </c>
      <c r="I1684">
        <v>1426</v>
      </c>
      <c r="J1684">
        <v>17</v>
      </c>
      <c r="K1684" s="17">
        <f t="shared" si="209"/>
        <v>808.06666666666661</v>
      </c>
      <c r="L1684" t="str">
        <f t="shared" si="210"/>
        <v>Sufficuent Stock</v>
      </c>
      <c r="P1684" s="19">
        <f t="shared" si="211"/>
        <v>0</v>
      </c>
      <c r="R1684" s="19">
        <f t="shared" si="208"/>
        <v>0</v>
      </c>
      <c r="T1684" s="19">
        <f t="shared" si="212"/>
        <v>22131.52</v>
      </c>
      <c r="U1684" s="19">
        <f t="shared" si="213"/>
        <v>24213.48</v>
      </c>
      <c r="V1684" s="21">
        <f t="shared" si="214"/>
        <v>2081.9599999999991</v>
      </c>
      <c r="W1684" s="18">
        <f t="shared" si="215"/>
        <v>9.4072164948453565E-2</v>
      </c>
    </row>
    <row r="1685" spans="1:23" x14ac:dyDescent="0.3">
      <c r="A1685" t="s">
        <v>442</v>
      </c>
      <c r="B1685" t="s">
        <v>2732</v>
      </c>
      <c r="C1685" t="s">
        <v>12</v>
      </c>
      <c r="D1685" t="s">
        <v>26</v>
      </c>
      <c r="E1685">
        <v>2792</v>
      </c>
      <c r="F1685">
        <v>183.62</v>
      </c>
      <c r="G1685">
        <v>184.71</v>
      </c>
      <c r="H1685">
        <v>183.62</v>
      </c>
      <c r="I1685">
        <v>3520</v>
      </c>
      <c r="J1685">
        <v>55</v>
      </c>
      <c r="K1685" s="17">
        <f t="shared" si="209"/>
        <v>6453.333333333333</v>
      </c>
      <c r="L1685" t="str">
        <f t="shared" si="210"/>
        <v>High Risk</v>
      </c>
      <c r="P1685" s="19">
        <f t="shared" si="211"/>
        <v>3662</v>
      </c>
      <c r="R1685" s="19">
        <f t="shared" si="208"/>
        <v>672416.44000000006</v>
      </c>
      <c r="T1685" s="19">
        <f t="shared" si="212"/>
        <v>650179.20000000007</v>
      </c>
      <c r="U1685" s="19">
        <f t="shared" si="213"/>
        <v>646342.40000000002</v>
      </c>
      <c r="V1685" s="21">
        <f t="shared" si="214"/>
        <v>-3836.8000000000466</v>
      </c>
      <c r="W1685" s="18">
        <f t="shared" si="215"/>
        <v>-5.9011423312219863E-3</v>
      </c>
    </row>
    <row r="1686" spans="1:23" x14ac:dyDescent="0.3">
      <c r="A1686" t="s">
        <v>509</v>
      </c>
      <c r="B1686" t="s">
        <v>3120</v>
      </c>
      <c r="C1686" t="s">
        <v>50</v>
      </c>
      <c r="D1686" t="s">
        <v>20</v>
      </c>
      <c r="E1686">
        <v>2792</v>
      </c>
      <c r="F1686">
        <v>100.08</v>
      </c>
      <c r="G1686">
        <v>99.76</v>
      </c>
      <c r="H1686">
        <v>100.08</v>
      </c>
      <c r="I1686">
        <v>3673</v>
      </c>
      <c r="J1686">
        <v>64</v>
      </c>
      <c r="K1686" s="17">
        <f t="shared" si="209"/>
        <v>7835.7333333333336</v>
      </c>
      <c r="L1686" t="str">
        <f t="shared" si="210"/>
        <v>High Risk</v>
      </c>
      <c r="P1686" s="19">
        <f t="shared" si="211"/>
        <v>5044</v>
      </c>
      <c r="R1686" s="19">
        <f t="shared" si="208"/>
        <v>504803.52</v>
      </c>
      <c r="T1686" s="19">
        <f t="shared" si="212"/>
        <v>366418.48000000004</v>
      </c>
      <c r="U1686" s="19">
        <f t="shared" si="213"/>
        <v>367593.83999999997</v>
      </c>
      <c r="V1686" s="21">
        <f t="shared" si="214"/>
        <v>1175.3599999999278</v>
      </c>
      <c r="W1686" s="18">
        <f t="shared" si="215"/>
        <v>3.2076984763430264E-3</v>
      </c>
    </row>
    <row r="1687" spans="1:23" x14ac:dyDescent="0.3">
      <c r="A1687" t="s">
        <v>153</v>
      </c>
      <c r="B1687" t="s">
        <v>964</v>
      </c>
      <c r="C1687" t="s">
        <v>50</v>
      </c>
      <c r="D1687" t="s">
        <v>17</v>
      </c>
      <c r="E1687">
        <v>2794</v>
      </c>
      <c r="F1687">
        <v>387.47</v>
      </c>
      <c r="G1687">
        <v>429.48</v>
      </c>
      <c r="H1687">
        <v>387.47</v>
      </c>
      <c r="I1687">
        <v>1906</v>
      </c>
      <c r="J1687">
        <v>74</v>
      </c>
      <c r="K1687" s="17">
        <f t="shared" si="209"/>
        <v>4701.4666666666662</v>
      </c>
      <c r="L1687" t="str">
        <f t="shared" si="210"/>
        <v>High Risk</v>
      </c>
      <c r="P1687" s="19">
        <f t="shared" si="211"/>
        <v>1908</v>
      </c>
      <c r="R1687" s="19">
        <f t="shared" si="208"/>
        <v>739292.76</v>
      </c>
      <c r="T1687" s="19">
        <f t="shared" si="212"/>
        <v>818588.88</v>
      </c>
      <c r="U1687" s="19">
        <f t="shared" si="213"/>
        <v>738517.82000000007</v>
      </c>
      <c r="V1687" s="21">
        <f t="shared" si="214"/>
        <v>-80071.059999999939</v>
      </c>
      <c r="W1687" s="18">
        <f t="shared" si="215"/>
        <v>-9.7815963490732905E-2</v>
      </c>
    </row>
    <row r="1688" spans="1:23" x14ac:dyDescent="0.3">
      <c r="A1688" t="s">
        <v>1273</v>
      </c>
      <c r="B1688" t="s">
        <v>1943</v>
      </c>
      <c r="C1688" t="s">
        <v>23</v>
      </c>
      <c r="D1688" t="s">
        <v>20</v>
      </c>
      <c r="E1688">
        <v>2794</v>
      </c>
      <c r="F1688">
        <v>61.55</v>
      </c>
      <c r="G1688">
        <v>59.78</v>
      </c>
      <c r="H1688">
        <v>61.55</v>
      </c>
      <c r="I1688">
        <v>3371</v>
      </c>
      <c r="J1688">
        <v>23</v>
      </c>
      <c r="K1688" s="17">
        <f t="shared" si="209"/>
        <v>2584.4333333333334</v>
      </c>
      <c r="L1688" t="str">
        <f t="shared" si="210"/>
        <v>Sufficuent Stock</v>
      </c>
      <c r="P1688" s="19">
        <f t="shared" si="211"/>
        <v>0</v>
      </c>
      <c r="R1688" s="19">
        <f t="shared" si="208"/>
        <v>0</v>
      </c>
      <c r="T1688" s="19">
        <f t="shared" si="212"/>
        <v>201518.38</v>
      </c>
      <c r="U1688" s="19">
        <f t="shared" si="213"/>
        <v>207485.05</v>
      </c>
      <c r="V1688" s="21">
        <f t="shared" si="214"/>
        <v>5966.6699999999837</v>
      </c>
      <c r="W1688" s="18">
        <f t="shared" si="215"/>
        <v>2.9608564737370276E-2</v>
      </c>
    </row>
    <row r="1689" spans="1:23" x14ac:dyDescent="0.3">
      <c r="A1689" t="s">
        <v>585</v>
      </c>
      <c r="B1689" t="s">
        <v>942</v>
      </c>
      <c r="C1689" t="s">
        <v>50</v>
      </c>
      <c r="D1689" t="s">
        <v>17</v>
      </c>
      <c r="E1689">
        <v>2794</v>
      </c>
      <c r="F1689">
        <v>489.3</v>
      </c>
      <c r="G1689">
        <v>438.6</v>
      </c>
      <c r="H1689">
        <v>489.3</v>
      </c>
      <c r="I1689">
        <v>3765</v>
      </c>
      <c r="J1689">
        <v>71</v>
      </c>
      <c r="K1689" s="17">
        <f t="shared" si="209"/>
        <v>8910.5</v>
      </c>
      <c r="L1689" t="str">
        <f t="shared" si="210"/>
        <v>High Risk</v>
      </c>
      <c r="P1689" s="19">
        <f t="shared" si="211"/>
        <v>6117</v>
      </c>
      <c r="R1689" s="19">
        <f t="shared" si="208"/>
        <v>2993048.1</v>
      </c>
      <c r="T1689" s="19">
        <f t="shared" si="212"/>
        <v>1651329</v>
      </c>
      <c r="U1689" s="19">
        <f t="shared" si="213"/>
        <v>1842214.5</v>
      </c>
      <c r="V1689" s="21">
        <f t="shared" si="214"/>
        <v>190885.5</v>
      </c>
      <c r="W1689" s="18">
        <f t="shared" si="215"/>
        <v>0.11559507523939809</v>
      </c>
    </row>
    <row r="1690" spans="1:23" x14ac:dyDescent="0.3">
      <c r="A1690" t="s">
        <v>592</v>
      </c>
      <c r="B1690" t="s">
        <v>1342</v>
      </c>
      <c r="C1690" t="s">
        <v>50</v>
      </c>
      <c r="D1690" t="s">
        <v>17</v>
      </c>
      <c r="E1690">
        <v>2797</v>
      </c>
      <c r="F1690">
        <v>34.97</v>
      </c>
      <c r="G1690">
        <v>38.54</v>
      </c>
      <c r="H1690">
        <v>34.97</v>
      </c>
      <c r="I1690">
        <v>1294</v>
      </c>
      <c r="J1690">
        <v>10</v>
      </c>
      <c r="K1690" s="17">
        <f t="shared" si="209"/>
        <v>431.33333333333331</v>
      </c>
      <c r="L1690" t="str">
        <f t="shared" si="210"/>
        <v>Sufficuent Stock</v>
      </c>
      <c r="P1690" s="19">
        <f t="shared" si="211"/>
        <v>0</v>
      </c>
      <c r="R1690" s="19">
        <f t="shared" si="208"/>
        <v>0</v>
      </c>
      <c r="T1690" s="19">
        <f t="shared" si="212"/>
        <v>49870.76</v>
      </c>
      <c r="U1690" s="19">
        <f t="shared" si="213"/>
        <v>45251.18</v>
      </c>
      <c r="V1690" s="21">
        <f t="shared" si="214"/>
        <v>-4619.5800000000017</v>
      </c>
      <c r="W1690" s="18">
        <f t="shared" si="215"/>
        <v>-9.2631032693305693E-2</v>
      </c>
    </row>
    <row r="1691" spans="1:23" x14ac:dyDescent="0.3">
      <c r="A1691" t="s">
        <v>38</v>
      </c>
      <c r="B1691" t="s">
        <v>479</v>
      </c>
      <c r="C1691" t="s">
        <v>37</v>
      </c>
      <c r="D1691" t="s">
        <v>13</v>
      </c>
      <c r="E1691">
        <v>2798</v>
      </c>
      <c r="F1691">
        <v>278.70999999999998</v>
      </c>
      <c r="G1691">
        <v>296.93</v>
      </c>
      <c r="H1691">
        <v>278.70999999999998</v>
      </c>
      <c r="I1691">
        <v>1851</v>
      </c>
      <c r="J1691">
        <v>57</v>
      </c>
      <c r="K1691" s="17">
        <f t="shared" si="209"/>
        <v>3516.9</v>
      </c>
      <c r="L1691" t="str">
        <f t="shared" si="210"/>
        <v>High Risk</v>
      </c>
      <c r="P1691" s="19">
        <f t="shared" si="211"/>
        <v>719</v>
      </c>
      <c r="R1691" s="19">
        <f t="shared" si="208"/>
        <v>200392.49</v>
      </c>
      <c r="T1691" s="19">
        <f t="shared" si="212"/>
        <v>549617.43000000005</v>
      </c>
      <c r="U1691" s="19">
        <f t="shared" si="213"/>
        <v>515892.20999999996</v>
      </c>
      <c r="V1691" s="21">
        <f t="shared" si="214"/>
        <v>-33725.220000000088</v>
      </c>
      <c r="W1691" s="18">
        <f t="shared" si="215"/>
        <v>-6.1361263597481043E-2</v>
      </c>
    </row>
    <row r="1692" spans="1:23" x14ac:dyDescent="0.3">
      <c r="A1692" t="s">
        <v>398</v>
      </c>
      <c r="B1692" t="s">
        <v>1037</v>
      </c>
      <c r="C1692" t="s">
        <v>50</v>
      </c>
      <c r="D1692" t="s">
        <v>69</v>
      </c>
      <c r="E1692">
        <v>2799</v>
      </c>
      <c r="F1692">
        <v>317.86</v>
      </c>
      <c r="G1692">
        <v>308.5</v>
      </c>
      <c r="H1692">
        <v>317.86</v>
      </c>
      <c r="I1692">
        <v>1142</v>
      </c>
      <c r="J1692">
        <v>39</v>
      </c>
      <c r="K1692" s="17">
        <f t="shared" si="209"/>
        <v>1484.6000000000001</v>
      </c>
      <c r="L1692" t="str">
        <f t="shared" si="210"/>
        <v>Sufficuent Stock</v>
      </c>
      <c r="P1692" s="19">
        <f t="shared" si="211"/>
        <v>0</v>
      </c>
      <c r="R1692" s="19">
        <f t="shared" si="208"/>
        <v>0</v>
      </c>
      <c r="T1692" s="19">
        <f t="shared" si="212"/>
        <v>352307</v>
      </c>
      <c r="U1692" s="19">
        <f t="shared" si="213"/>
        <v>362996.12</v>
      </c>
      <c r="V1692" s="21">
        <f t="shared" si="214"/>
        <v>10689.119999999995</v>
      </c>
      <c r="W1692" s="18">
        <f t="shared" si="215"/>
        <v>3.0340356564019434E-2</v>
      </c>
    </row>
    <row r="1693" spans="1:23" x14ac:dyDescent="0.3">
      <c r="A1693" t="s">
        <v>712</v>
      </c>
      <c r="B1693" t="s">
        <v>1667</v>
      </c>
      <c r="C1693" t="s">
        <v>50</v>
      </c>
      <c r="D1693" t="s">
        <v>13</v>
      </c>
      <c r="E1693">
        <v>2799</v>
      </c>
      <c r="F1693">
        <v>389.19</v>
      </c>
      <c r="G1693">
        <v>344.56</v>
      </c>
      <c r="H1693">
        <v>389.19</v>
      </c>
      <c r="I1693">
        <v>1087</v>
      </c>
      <c r="J1693">
        <v>61</v>
      </c>
      <c r="K1693" s="17">
        <f t="shared" si="209"/>
        <v>2210.2333333333336</v>
      </c>
      <c r="L1693" t="str">
        <f t="shared" si="210"/>
        <v>Sufficuent Stock</v>
      </c>
      <c r="P1693" s="19">
        <f t="shared" si="211"/>
        <v>0</v>
      </c>
      <c r="R1693" s="19">
        <f t="shared" si="208"/>
        <v>0</v>
      </c>
      <c r="T1693" s="19">
        <f t="shared" si="212"/>
        <v>374536.72000000003</v>
      </c>
      <c r="U1693" s="19">
        <f t="shared" si="213"/>
        <v>423049.52999999997</v>
      </c>
      <c r="V1693" s="21">
        <f t="shared" si="214"/>
        <v>48512.809999999939</v>
      </c>
      <c r="W1693" s="18">
        <f t="shared" si="215"/>
        <v>0.1295275133503597</v>
      </c>
    </row>
    <row r="1694" spans="1:23" x14ac:dyDescent="0.3">
      <c r="A1694" t="s">
        <v>1074</v>
      </c>
      <c r="B1694" t="s">
        <v>1944</v>
      </c>
      <c r="C1694" t="s">
        <v>16</v>
      </c>
      <c r="D1694" t="s">
        <v>17</v>
      </c>
      <c r="E1694">
        <v>2799</v>
      </c>
      <c r="F1694">
        <v>340.11</v>
      </c>
      <c r="G1694">
        <v>296.5</v>
      </c>
      <c r="H1694">
        <v>340.11</v>
      </c>
      <c r="I1694">
        <v>2572</v>
      </c>
      <c r="J1694">
        <v>30</v>
      </c>
      <c r="K1694" s="17">
        <f t="shared" si="209"/>
        <v>2572</v>
      </c>
      <c r="L1694" t="str">
        <f t="shared" si="210"/>
        <v>Sufficuent Stock</v>
      </c>
      <c r="P1694" s="19">
        <f t="shared" si="211"/>
        <v>0</v>
      </c>
      <c r="R1694" s="19">
        <f t="shared" si="208"/>
        <v>0</v>
      </c>
      <c r="T1694" s="19">
        <f t="shared" si="212"/>
        <v>762598</v>
      </c>
      <c r="U1694" s="19">
        <f t="shared" si="213"/>
        <v>874762.92</v>
      </c>
      <c r="V1694" s="21">
        <f t="shared" si="214"/>
        <v>112164.92000000004</v>
      </c>
      <c r="W1694" s="18">
        <f t="shared" si="215"/>
        <v>0.14708263069139971</v>
      </c>
    </row>
    <row r="1695" spans="1:23" x14ac:dyDescent="0.3">
      <c r="A1695" t="s">
        <v>869</v>
      </c>
      <c r="B1695" t="s">
        <v>3194</v>
      </c>
      <c r="C1695" t="s">
        <v>16</v>
      </c>
      <c r="D1695" t="s">
        <v>17</v>
      </c>
      <c r="E1695">
        <v>2801</v>
      </c>
      <c r="F1695">
        <v>162.07</v>
      </c>
      <c r="G1695">
        <v>175.68</v>
      </c>
      <c r="H1695">
        <v>162.07</v>
      </c>
      <c r="I1695">
        <v>50</v>
      </c>
      <c r="J1695">
        <v>74</v>
      </c>
      <c r="K1695" s="17">
        <f t="shared" si="209"/>
        <v>123.33333333333334</v>
      </c>
      <c r="L1695" t="str">
        <f t="shared" si="210"/>
        <v>Sufficuent Stock</v>
      </c>
      <c r="P1695" s="19">
        <f t="shared" si="211"/>
        <v>0</v>
      </c>
      <c r="R1695" s="19">
        <f t="shared" si="208"/>
        <v>0</v>
      </c>
      <c r="T1695" s="19">
        <f t="shared" si="212"/>
        <v>8784</v>
      </c>
      <c r="U1695" s="19">
        <f t="shared" si="213"/>
        <v>8103.5</v>
      </c>
      <c r="V1695" s="21">
        <f t="shared" si="214"/>
        <v>-680.5</v>
      </c>
      <c r="W1695" s="18">
        <f t="shared" si="215"/>
        <v>-7.7470400728597455E-2</v>
      </c>
    </row>
    <row r="1696" spans="1:23" x14ac:dyDescent="0.3">
      <c r="A1696" t="s">
        <v>917</v>
      </c>
      <c r="B1696" t="s">
        <v>2633</v>
      </c>
      <c r="C1696" t="s">
        <v>37</v>
      </c>
      <c r="D1696" t="s">
        <v>13</v>
      </c>
      <c r="E1696">
        <v>2812</v>
      </c>
      <c r="F1696">
        <v>319.23</v>
      </c>
      <c r="G1696">
        <v>271.43</v>
      </c>
      <c r="H1696">
        <v>319.23</v>
      </c>
      <c r="I1696">
        <v>2508</v>
      </c>
      <c r="J1696">
        <v>57</v>
      </c>
      <c r="K1696" s="17">
        <f t="shared" si="209"/>
        <v>4765.2</v>
      </c>
      <c r="L1696" t="str">
        <f t="shared" si="210"/>
        <v>High Risk</v>
      </c>
      <c r="P1696" s="19">
        <f t="shared" si="211"/>
        <v>1954</v>
      </c>
      <c r="R1696" s="19">
        <f t="shared" si="208"/>
        <v>623775.42000000004</v>
      </c>
      <c r="T1696" s="19">
        <f t="shared" si="212"/>
        <v>680746.44000000006</v>
      </c>
      <c r="U1696" s="19">
        <f t="shared" si="213"/>
        <v>800628.84000000008</v>
      </c>
      <c r="V1696" s="21">
        <f t="shared" si="214"/>
        <v>119882.40000000002</v>
      </c>
      <c r="W1696" s="18">
        <f t="shared" si="215"/>
        <v>0.1761043362929669</v>
      </c>
    </row>
    <row r="1697" spans="1:23" x14ac:dyDescent="0.3">
      <c r="A1697" t="s">
        <v>188</v>
      </c>
      <c r="B1697" t="s">
        <v>1573</v>
      </c>
      <c r="C1697" t="s">
        <v>12</v>
      </c>
      <c r="D1697" t="s">
        <v>20</v>
      </c>
      <c r="E1697">
        <v>2813</v>
      </c>
      <c r="F1697">
        <v>81.510000000000005</v>
      </c>
      <c r="G1697">
        <v>77.38</v>
      </c>
      <c r="H1697">
        <v>81.510000000000005</v>
      </c>
      <c r="I1697">
        <v>159</v>
      </c>
      <c r="J1697">
        <v>50</v>
      </c>
      <c r="K1697" s="17">
        <f t="shared" si="209"/>
        <v>265</v>
      </c>
      <c r="L1697" t="str">
        <f t="shared" si="210"/>
        <v>Sufficuent Stock</v>
      </c>
      <c r="P1697" s="19">
        <f t="shared" si="211"/>
        <v>0</v>
      </c>
      <c r="R1697" s="19">
        <f t="shared" si="208"/>
        <v>0</v>
      </c>
      <c r="T1697" s="19">
        <f t="shared" si="212"/>
        <v>12303.42</v>
      </c>
      <c r="U1697" s="19">
        <f t="shared" si="213"/>
        <v>12960.09</v>
      </c>
      <c r="V1697" s="21">
        <f t="shared" si="214"/>
        <v>656.67000000000007</v>
      </c>
      <c r="W1697" s="18">
        <f t="shared" si="215"/>
        <v>5.3372964590333423E-2</v>
      </c>
    </row>
    <row r="1698" spans="1:23" x14ac:dyDescent="0.3">
      <c r="A1698" t="s">
        <v>295</v>
      </c>
      <c r="B1698" t="s">
        <v>1563</v>
      </c>
      <c r="C1698" t="s">
        <v>23</v>
      </c>
      <c r="D1698" t="s">
        <v>20</v>
      </c>
      <c r="E1698">
        <v>2817</v>
      </c>
      <c r="F1698">
        <v>171.73</v>
      </c>
      <c r="G1698">
        <v>179.95</v>
      </c>
      <c r="H1698">
        <v>171.73</v>
      </c>
      <c r="I1698">
        <v>492</v>
      </c>
      <c r="J1698">
        <v>69</v>
      </c>
      <c r="K1698" s="17">
        <f t="shared" si="209"/>
        <v>1131.5999999999999</v>
      </c>
      <c r="L1698" t="str">
        <f t="shared" si="210"/>
        <v>Sufficuent Stock</v>
      </c>
      <c r="P1698" s="19">
        <f t="shared" si="211"/>
        <v>0</v>
      </c>
      <c r="R1698" s="19">
        <f t="shared" si="208"/>
        <v>0</v>
      </c>
      <c r="T1698" s="19">
        <f t="shared" si="212"/>
        <v>88535.4</v>
      </c>
      <c r="U1698" s="19">
        <f t="shared" si="213"/>
        <v>84491.159999999989</v>
      </c>
      <c r="V1698" s="21">
        <f t="shared" si="214"/>
        <v>-4044.2400000000052</v>
      </c>
      <c r="W1698" s="18">
        <f t="shared" si="215"/>
        <v>-4.5679355376493536E-2</v>
      </c>
    </row>
    <row r="1699" spans="1:23" x14ac:dyDescent="0.3">
      <c r="A1699" t="s">
        <v>193</v>
      </c>
      <c r="B1699" t="s">
        <v>716</v>
      </c>
      <c r="C1699" t="s">
        <v>50</v>
      </c>
      <c r="D1699" t="s">
        <v>69</v>
      </c>
      <c r="E1699">
        <v>2818</v>
      </c>
      <c r="F1699">
        <v>433.44</v>
      </c>
      <c r="G1699">
        <v>421.62</v>
      </c>
      <c r="H1699">
        <v>433.44</v>
      </c>
      <c r="I1699">
        <v>703</v>
      </c>
      <c r="J1699">
        <v>28</v>
      </c>
      <c r="K1699" s="17">
        <f t="shared" si="209"/>
        <v>656.13333333333333</v>
      </c>
      <c r="L1699" t="str">
        <f t="shared" si="210"/>
        <v>Sufficuent Stock</v>
      </c>
      <c r="P1699" s="19">
        <f t="shared" si="211"/>
        <v>0</v>
      </c>
      <c r="R1699" s="19">
        <f t="shared" si="208"/>
        <v>0</v>
      </c>
      <c r="T1699" s="19">
        <f t="shared" si="212"/>
        <v>296398.86</v>
      </c>
      <c r="U1699" s="19">
        <f t="shared" si="213"/>
        <v>304708.32</v>
      </c>
      <c r="V1699" s="21">
        <f t="shared" si="214"/>
        <v>8309.460000000021</v>
      </c>
      <c r="W1699" s="18">
        <f t="shared" si="215"/>
        <v>2.8034723210473959E-2</v>
      </c>
    </row>
    <row r="1700" spans="1:23" x14ac:dyDescent="0.3">
      <c r="A1700" t="s">
        <v>393</v>
      </c>
      <c r="B1700" t="s">
        <v>3300</v>
      </c>
      <c r="C1700" t="s">
        <v>50</v>
      </c>
      <c r="D1700" t="s">
        <v>26</v>
      </c>
      <c r="E1700">
        <v>2820</v>
      </c>
      <c r="F1700">
        <v>353.84</v>
      </c>
      <c r="G1700">
        <v>340.6</v>
      </c>
      <c r="H1700">
        <v>353.84</v>
      </c>
      <c r="I1700">
        <v>3170</v>
      </c>
      <c r="J1700">
        <v>41</v>
      </c>
      <c r="K1700" s="17">
        <f t="shared" si="209"/>
        <v>4332.3333333333339</v>
      </c>
      <c r="L1700" t="str">
        <f t="shared" si="210"/>
        <v>High Risk</v>
      </c>
      <c r="P1700" s="19">
        <f t="shared" si="211"/>
        <v>1513</v>
      </c>
      <c r="R1700" s="19">
        <f t="shared" si="208"/>
        <v>535359.91999999993</v>
      </c>
      <c r="T1700" s="19">
        <f t="shared" si="212"/>
        <v>1079702</v>
      </c>
      <c r="U1700" s="19">
        <f t="shared" si="213"/>
        <v>1121672.7999999998</v>
      </c>
      <c r="V1700" s="21">
        <f t="shared" si="214"/>
        <v>41970.799999999814</v>
      </c>
      <c r="W1700" s="18">
        <f t="shared" si="215"/>
        <v>3.887257780387534E-2</v>
      </c>
    </row>
    <row r="1701" spans="1:23" x14ac:dyDescent="0.3">
      <c r="A1701" t="s">
        <v>266</v>
      </c>
      <c r="B1701" t="s">
        <v>448</v>
      </c>
      <c r="C1701" t="s">
        <v>12</v>
      </c>
      <c r="D1701" t="s">
        <v>20</v>
      </c>
      <c r="E1701">
        <v>2822</v>
      </c>
      <c r="F1701">
        <v>385.64</v>
      </c>
      <c r="G1701">
        <v>346.63</v>
      </c>
      <c r="H1701">
        <v>385.64</v>
      </c>
      <c r="I1701">
        <v>214</v>
      </c>
      <c r="J1701">
        <v>15</v>
      </c>
      <c r="K1701" s="17">
        <f t="shared" si="209"/>
        <v>107</v>
      </c>
      <c r="L1701" t="str">
        <f t="shared" si="210"/>
        <v>Sufficuent Stock</v>
      </c>
      <c r="P1701" s="19">
        <f t="shared" si="211"/>
        <v>0</v>
      </c>
      <c r="R1701" s="19">
        <f t="shared" si="208"/>
        <v>0</v>
      </c>
      <c r="T1701" s="19">
        <f t="shared" si="212"/>
        <v>74178.819999999992</v>
      </c>
      <c r="U1701" s="19">
        <f t="shared" si="213"/>
        <v>82526.959999999992</v>
      </c>
      <c r="V1701" s="21">
        <f t="shared" si="214"/>
        <v>8348.14</v>
      </c>
      <c r="W1701" s="18">
        <f t="shared" si="215"/>
        <v>0.11254074950235121</v>
      </c>
    </row>
    <row r="1702" spans="1:23" x14ac:dyDescent="0.3">
      <c r="A1702" t="s">
        <v>391</v>
      </c>
      <c r="B1702" t="s">
        <v>2671</v>
      </c>
      <c r="C1702" t="s">
        <v>23</v>
      </c>
      <c r="D1702" t="s">
        <v>69</v>
      </c>
      <c r="E1702">
        <v>2822</v>
      </c>
      <c r="F1702">
        <v>466.94</v>
      </c>
      <c r="G1702">
        <v>410.65</v>
      </c>
      <c r="H1702">
        <v>466.94</v>
      </c>
      <c r="I1702">
        <v>3497</v>
      </c>
      <c r="J1702">
        <v>77</v>
      </c>
      <c r="K1702" s="17">
        <f t="shared" si="209"/>
        <v>8975.6333333333332</v>
      </c>
      <c r="L1702" t="str">
        <f t="shared" si="210"/>
        <v>High Risk</v>
      </c>
      <c r="P1702" s="19">
        <f t="shared" si="211"/>
        <v>6154</v>
      </c>
      <c r="R1702" s="19">
        <f t="shared" si="208"/>
        <v>2873548.76</v>
      </c>
      <c r="T1702" s="19">
        <f t="shared" si="212"/>
        <v>1436043.0499999998</v>
      </c>
      <c r="U1702" s="19">
        <f t="shared" si="213"/>
        <v>1632889.18</v>
      </c>
      <c r="V1702" s="21">
        <f t="shared" si="214"/>
        <v>196846.13000000012</v>
      </c>
      <c r="W1702" s="18">
        <f t="shared" si="215"/>
        <v>0.13707536831851952</v>
      </c>
    </row>
    <row r="1703" spans="1:23" x14ac:dyDescent="0.3">
      <c r="A1703" t="s">
        <v>94</v>
      </c>
      <c r="B1703" t="s">
        <v>1588</v>
      </c>
      <c r="C1703" t="s">
        <v>12</v>
      </c>
      <c r="D1703" t="s">
        <v>69</v>
      </c>
      <c r="E1703">
        <v>2825</v>
      </c>
      <c r="F1703">
        <v>115.42</v>
      </c>
      <c r="G1703">
        <v>124.03</v>
      </c>
      <c r="H1703">
        <v>115.42</v>
      </c>
      <c r="I1703">
        <v>1843</v>
      </c>
      <c r="J1703">
        <v>71</v>
      </c>
      <c r="K1703" s="17">
        <f t="shared" si="209"/>
        <v>4361.7666666666664</v>
      </c>
      <c r="L1703" t="str">
        <f t="shared" si="210"/>
        <v>High Risk</v>
      </c>
      <c r="P1703" s="19">
        <f t="shared" si="211"/>
        <v>1537</v>
      </c>
      <c r="R1703" s="19">
        <f t="shared" si="208"/>
        <v>177400.54</v>
      </c>
      <c r="T1703" s="19">
        <f t="shared" si="212"/>
        <v>228587.29</v>
      </c>
      <c r="U1703" s="19">
        <f t="shared" si="213"/>
        <v>212719.06</v>
      </c>
      <c r="V1703" s="21">
        <f t="shared" si="214"/>
        <v>-15868.23000000001</v>
      </c>
      <c r="W1703" s="18">
        <f t="shared" si="215"/>
        <v>-6.941868902684839E-2</v>
      </c>
    </row>
    <row r="1704" spans="1:23" x14ac:dyDescent="0.3">
      <c r="A1704" t="s">
        <v>796</v>
      </c>
      <c r="B1704" t="s">
        <v>2307</v>
      </c>
      <c r="C1704" t="s">
        <v>12</v>
      </c>
      <c r="D1704" t="s">
        <v>69</v>
      </c>
      <c r="E1704">
        <v>2829</v>
      </c>
      <c r="F1704">
        <v>300</v>
      </c>
      <c r="G1704">
        <v>276.14999999999998</v>
      </c>
      <c r="H1704">
        <v>300</v>
      </c>
      <c r="I1704">
        <v>3470</v>
      </c>
      <c r="J1704">
        <v>63</v>
      </c>
      <c r="K1704" s="17">
        <f t="shared" si="209"/>
        <v>7287</v>
      </c>
      <c r="L1704" t="str">
        <f t="shared" si="210"/>
        <v>High Risk</v>
      </c>
      <c r="P1704" s="19">
        <f t="shared" si="211"/>
        <v>4458</v>
      </c>
      <c r="R1704" s="19">
        <f t="shared" si="208"/>
        <v>1337400</v>
      </c>
      <c r="T1704" s="19">
        <f t="shared" si="212"/>
        <v>958240.49999999988</v>
      </c>
      <c r="U1704" s="19">
        <f t="shared" si="213"/>
        <v>1041000</v>
      </c>
      <c r="V1704" s="21">
        <f t="shared" si="214"/>
        <v>82759.500000000116</v>
      </c>
      <c r="W1704" s="18">
        <f t="shared" si="215"/>
        <v>8.6366105377512353E-2</v>
      </c>
    </row>
    <row r="1705" spans="1:23" x14ac:dyDescent="0.3">
      <c r="A1705" t="s">
        <v>434</v>
      </c>
      <c r="B1705" t="s">
        <v>1932</v>
      </c>
      <c r="C1705" t="s">
        <v>23</v>
      </c>
      <c r="D1705" t="s">
        <v>26</v>
      </c>
      <c r="E1705">
        <v>2829</v>
      </c>
      <c r="F1705">
        <v>395.26</v>
      </c>
      <c r="G1705">
        <v>407.07</v>
      </c>
      <c r="H1705">
        <v>395.26</v>
      </c>
      <c r="I1705">
        <v>387</v>
      </c>
      <c r="J1705">
        <v>9</v>
      </c>
      <c r="K1705" s="17">
        <f t="shared" si="209"/>
        <v>116.10000000000001</v>
      </c>
      <c r="L1705" t="str">
        <f t="shared" si="210"/>
        <v>Sufficuent Stock</v>
      </c>
      <c r="P1705" s="19">
        <f t="shared" si="211"/>
        <v>0</v>
      </c>
      <c r="R1705" s="19">
        <f t="shared" si="208"/>
        <v>0</v>
      </c>
      <c r="T1705" s="19">
        <f t="shared" si="212"/>
        <v>157536.09</v>
      </c>
      <c r="U1705" s="19">
        <f t="shared" si="213"/>
        <v>152965.62</v>
      </c>
      <c r="V1705" s="21">
        <f t="shared" si="214"/>
        <v>-4570.4700000000012</v>
      </c>
      <c r="W1705" s="18">
        <f t="shared" si="215"/>
        <v>-2.90122092023485E-2</v>
      </c>
    </row>
    <row r="1706" spans="1:23" x14ac:dyDescent="0.3">
      <c r="A1706" t="s">
        <v>180</v>
      </c>
      <c r="B1706" t="s">
        <v>2822</v>
      </c>
      <c r="C1706" t="s">
        <v>50</v>
      </c>
      <c r="D1706" t="s">
        <v>13</v>
      </c>
      <c r="E1706">
        <v>2832</v>
      </c>
      <c r="F1706">
        <v>345.29</v>
      </c>
      <c r="G1706">
        <v>380.68</v>
      </c>
      <c r="H1706">
        <v>345.29</v>
      </c>
      <c r="I1706">
        <v>1548</v>
      </c>
      <c r="J1706">
        <v>83</v>
      </c>
      <c r="K1706" s="17">
        <f t="shared" si="209"/>
        <v>4282.8</v>
      </c>
      <c r="L1706" t="str">
        <f t="shared" si="210"/>
        <v>High Risk</v>
      </c>
      <c r="P1706" s="19">
        <f t="shared" si="211"/>
        <v>1451</v>
      </c>
      <c r="R1706" s="19">
        <f t="shared" si="208"/>
        <v>501015.79000000004</v>
      </c>
      <c r="T1706" s="19">
        <f t="shared" si="212"/>
        <v>589292.64</v>
      </c>
      <c r="U1706" s="19">
        <f t="shared" si="213"/>
        <v>534508.92000000004</v>
      </c>
      <c r="V1706" s="21">
        <f t="shared" si="214"/>
        <v>-54783.719999999972</v>
      </c>
      <c r="W1706" s="18">
        <f t="shared" si="215"/>
        <v>-9.296522013239461E-2</v>
      </c>
    </row>
    <row r="1707" spans="1:23" x14ac:dyDescent="0.3">
      <c r="A1707" t="s">
        <v>1489</v>
      </c>
      <c r="B1707" t="s">
        <v>1490</v>
      </c>
      <c r="C1707" t="s">
        <v>37</v>
      </c>
      <c r="D1707" t="s">
        <v>26</v>
      </c>
      <c r="E1707">
        <v>2832</v>
      </c>
      <c r="F1707">
        <v>355.37</v>
      </c>
      <c r="G1707">
        <v>375.35</v>
      </c>
      <c r="H1707">
        <v>355.37</v>
      </c>
      <c r="I1707">
        <v>883</v>
      </c>
      <c r="J1707">
        <v>24</v>
      </c>
      <c r="K1707" s="17">
        <f t="shared" si="209"/>
        <v>706.4</v>
      </c>
      <c r="L1707" t="str">
        <f t="shared" si="210"/>
        <v>Sufficuent Stock</v>
      </c>
      <c r="P1707" s="19">
        <f t="shared" si="211"/>
        <v>0</v>
      </c>
      <c r="R1707" s="19">
        <f t="shared" si="208"/>
        <v>0</v>
      </c>
      <c r="T1707" s="19">
        <f t="shared" si="212"/>
        <v>331434.05000000005</v>
      </c>
      <c r="U1707" s="19">
        <f t="shared" si="213"/>
        <v>313791.71000000002</v>
      </c>
      <c r="V1707" s="21">
        <f t="shared" si="214"/>
        <v>-17642.340000000026</v>
      </c>
      <c r="W1707" s="18">
        <f t="shared" si="215"/>
        <v>-5.3230318369521849E-2</v>
      </c>
    </row>
    <row r="1708" spans="1:23" x14ac:dyDescent="0.3">
      <c r="A1708" t="s">
        <v>84</v>
      </c>
      <c r="B1708" t="s">
        <v>85</v>
      </c>
      <c r="C1708" t="s">
        <v>12</v>
      </c>
      <c r="D1708" t="s">
        <v>26</v>
      </c>
      <c r="E1708">
        <v>2835</v>
      </c>
      <c r="F1708">
        <v>499.2</v>
      </c>
      <c r="G1708">
        <v>451.23</v>
      </c>
      <c r="H1708">
        <v>499.2</v>
      </c>
      <c r="I1708">
        <v>1200</v>
      </c>
      <c r="J1708">
        <v>89</v>
      </c>
      <c r="K1708" s="17">
        <f t="shared" si="209"/>
        <v>3560</v>
      </c>
      <c r="L1708" t="str">
        <f t="shared" si="210"/>
        <v>High Risk</v>
      </c>
      <c r="P1708" s="19">
        <f t="shared" si="211"/>
        <v>725</v>
      </c>
      <c r="R1708" s="19">
        <f t="shared" si="208"/>
        <v>361920</v>
      </c>
      <c r="T1708" s="19">
        <f t="shared" si="212"/>
        <v>541476</v>
      </c>
      <c r="U1708" s="19">
        <f t="shared" si="213"/>
        <v>599040</v>
      </c>
      <c r="V1708" s="21">
        <f t="shared" si="214"/>
        <v>57564</v>
      </c>
      <c r="W1708" s="18">
        <f t="shared" si="215"/>
        <v>0.10630942091616249</v>
      </c>
    </row>
    <row r="1709" spans="1:23" x14ac:dyDescent="0.3">
      <c r="A1709" t="s">
        <v>1481</v>
      </c>
      <c r="B1709" t="s">
        <v>3359</v>
      </c>
      <c r="C1709" t="s">
        <v>23</v>
      </c>
      <c r="D1709" t="s">
        <v>20</v>
      </c>
      <c r="E1709">
        <v>2835</v>
      </c>
      <c r="F1709">
        <v>382.6</v>
      </c>
      <c r="G1709">
        <v>370.5</v>
      </c>
      <c r="H1709">
        <v>382.6</v>
      </c>
      <c r="I1709">
        <v>915</v>
      </c>
      <c r="J1709">
        <v>21</v>
      </c>
      <c r="K1709" s="17">
        <f t="shared" si="209"/>
        <v>640.5</v>
      </c>
      <c r="L1709" t="str">
        <f t="shared" si="210"/>
        <v>Sufficuent Stock</v>
      </c>
      <c r="P1709" s="19">
        <f t="shared" si="211"/>
        <v>0</v>
      </c>
      <c r="R1709" s="19">
        <f t="shared" si="208"/>
        <v>0</v>
      </c>
      <c r="T1709" s="19">
        <f t="shared" si="212"/>
        <v>339007.5</v>
      </c>
      <c r="U1709" s="19">
        <f t="shared" si="213"/>
        <v>350079</v>
      </c>
      <c r="V1709" s="21">
        <f t="shared" si="214"/>
        <v>11071.5</v>
      </c>
      <c r="W1709" s="18">
        <f t="shared" si="215"/>
        <v>3.2658569500674764E-2</v>
      </c>
    </row>
    <row r="1710" spans="1:23" x14ac:dyDescent="0.3">
      <c r="A1710" t="s">
        <v>157</v>
      </c>
      <c r="B1710" t="s">
        <v>2072</v>
      </c>
      <c r="C1710" t="s">
        <v>37</v>
      </c>
      <c r="D1710" t="s">
        <v>17</v>
      </c>
      <c r="E1710">
        <v>2836</v>
      </c>
      <c r="F1710">
        <v>185.14</v>
      </c>
      <c r="G1710">
        <v>186.65</v>
      </c>
      <c r="H1710">
        <v>185.14</v>
      </c>
      <c r="I1710">
        <v>3760</v>
      </c>
      <c r="J1710">
        <v>86</v>
      </c>
      <c r="K1710" s="17">
        <f t="shared" si="209"/>
        <v>10778.666666666666</v>
      </c>
      <c r="L1710" t="str">
        <f t="shared" si="210"/>
        <v>High Risk</v>
      </c>
      <c r="P1710" s="19">
        <f t="shared" si="211"/>
        <v>7943</v>
      </c>
      <c r="R1710" s="19">
        <f t="shared" si="208"/>
        <v>1470567.0199999998</v>
      </c>
      <c r="T1710" s="19">
        <f t="shared" si="212"/>
        <v>701804</v>
      </c>
      <c r="U1710" s="19">
        <f t="shared" si="213"/>
        <v>696126.39999999991</v>
      </c>
      <c r="V1710" s="21">
        <f t="shared" si="214"/>
        <v>-5677.6000000000931</v>
      </c>
      <c r="W1710" s="18">
        <f t="shared" si="215"/>
        <v>-8.0900080364319574E-3</v>
      </c>
    </row>
    <row r="1711" spans="1:23" x14ac:dyDescent="0.3">
      <c r="A1711" t="s">
        <v>205</v>
      </c>
      <c r="B1711" t="s">
        <v>2566</v>
      </c>
      <c r="C1711" t="s">
        <v>16</v>
      </c>
      <c r="D1711" t="s">
        <v>26</v>
      </c>
      <c r="E1711">
        <v>2838</v>
      </c>
      <c r="F1711">
        <v>492.07</v>
      </c>
      <c r="G1711">
        <v>485.03</v>
      </c>
      <c r="H1711">
        <v>492.07</v>
      </c>
      <c r="I1711">
        <v>1405</v>
      </c>
      <c r="J1711">
        <v>7</v>
      </c>
      <c r="K1711" s="17">
        <f t="shared" si="209"/>
        <v>327.83333333333337</v>
      </c>
      <c r="L1711" t="str">
        <f t="shared" si="210"/>
        <v>Sufficuent Stock</v>
      </c>
      <c r="P1711" s="19">
        <f t="shared" si="211"/>
        <v>0</v>
      </c>
      <c r="R1711" s="19">
        <f t="shared" si="208"/>
        <v>0</v>
      </c>
      <c r="T1711" s="19">
        <f t="shared" si="212"/>
        <v>681467.14999999991</v>
      </c>
      <c r="U1711" s="19">
        <f t="shared" si="213"/>
        <v>691358.35</v>
      </c>
      <c r="V1711" s="21">
        <f t="shared" si="214"/>
        <v>9891.2000000000698</v>
      </c>
      <c r="W1711" s="18">
        <f t="shared" si="215"/>
        <v>1.451456610931293E-2</v>
      </c>
    </row>
    <row r="1712" spans="1:23" x14ac:dyDescent="0.3">
      <c r="A1712" t="s">
        <v>525</v>
      </c>
      <c r="B1712" t="s">
        <v>3167</v>
      </c>
      <c r="C1712" t="s">
        <v>12</v>
      </c>
      <c r="D1712" t="s">
        <v>13</v>
      </c>
      <c r="E1712">
        <v>2840</v>
      </c>
      <c r="F1712">
        <v>450.87</v>
      </c>
      <c r="G1712">
        <v>459</v>
      </c>
      <c r="H1712">
        <v>450.87</v>
      </c>
      <c r="I1712">
        <v>1169</v>
      </c>
      <c r="J1712">
        <v>10</v>
      </c>
      <c r="K1712" s="17">
        <f t="shared" si="209"/>
        <v>389.66666666666669</v>
      </c>
      <c r="L1712" t="str">
        <f t="shared" si="210"/>
        <v>Sufficuent Stock</v>
      </c>
      <c r="P1712" s="19">
        <f t="shared" si="211"/>
        <v>0</v>
      </c>
      <c r="R1712" s="19">
        <f t="shared" si="208"/>
        <v>0</v>
      </c>
      <c r="T1712" s="19">
        <f t="shared" si="212"/>
        <v>536571</v>
      </c>
      <c r="U1712" s="19">
        <f t="shared" si="213"/>
        <v>527067.03</v>
      </c>
      <c r="V1712" s="21">
        <f t="shared" si="214"/>
        <v>-9503.9699999999721</v>
      </c>
      <c r="W1712" s="18">
        <f t="shared" si="215"/>
        <v>-1.7712418300653544E-2</v>
      </c>
    </row>
    <row r="1713" spans="1:23" x14ac:dyDescent="0.3">
      <c r="A1713" t="s">
        <v>96</v>
      </c>
      <c r="B1713" t="s">
        <v>3310</v>
      </c>
      <c r="C1713" t="s">
        <v>50</v>
      </c>
      <c r="D1713" t="s">
        <v>17</v>
      </c>
      <c r="E1713">
        <v>2841</v>
      </c>
      <c r="F1713">
        <v>173.89</v>
      </c>
      <c r="G1713">
        <v>176.86</v>
      </c>
      <c r="H1713">
        <v>173.89</v>
      </c>
      <c r="I1713">
        <v>950</v>
      </c>
      <c r="J1713">
        <v>34</v>
      </c>
      <c r="K1713" s="17">
        <f t="shared" si="209"/>
        <v>1076.6666666666667</v>
      </c>
      <c r="L1713" t="str">
        <f t="shared" si="210"/>
        <v>Sufficuent Stock</v>
      </c>
      <c r="P1713" s="19">
        <f t="shared" si="211"/>
        <v>0</v>
      </c>
      <c r="R1713" s="19">
        <f t="shared" si="208"/>
        <v>0</v>
      </c>
      <c r="T1713" s="19">
        <f t="shared" si="212"/>
        <v>168017</v>
      </c>
      <c r="U1713" s="19">
        <f t="shared" si="213"/>
        <v>165195.5</v>
      </c>
      <c r="V1713" s="21">
        <f t="shared" si="214"/>
        <v>-2821.5</v>
      </c>
      <c r="W1713" s="18">
        <f t="shared" si="215"/>
        <v>-1.6792943571186249E-2</v>
      </c>
    </row>
    <row r="1714" spans="1:23" x14ac:dyDescent="0.3">
      <c r="A1714" t="s">
        <v>46</v>
      </c>
      <c r="B1714" t="s">
        <v>1369</v>
      </c>
      <c r="C1714" t="s">
        <v>16</v>
      </c>
      <c r="D1714" t="s">
        <v>20</v>
      </c>
      <c r="E1714">
        <v>2846</v>
      </c>
      <c r="F1714">
        <v>50.35</v>
      </c>
      <c r="G1714">
        <v>44.42</v>
      </c>
      <c r="H1714">
        <v>50.35</v>
      </c>
      <c r="I1714">
        <v>3966</v>
      </c>
      <c r="J1714">
        <v>90</v>
      </c>
      <c r="K1714" s="17">
        <f t="shared" si="209"/>
        <v>11897.999999999998</v>
      </c>
      <c r="L1714" t="str">
        <f t="shared" si="210"/>
        <v>High Risk</v>
      </c>
      <c r="P1714" s="19">
        <f t="shared" si="211"/>
        <v>9052</v>
      </c>
      <c r="R1714" s="19">
        <f t="shared" si="208"/>
        <v>455768.2</v>
      </c>
      <c r="T1714" s="19">
        <f t="shared" si="212"/>
        <v>176169.72</v>
      </c>
      <c r="U1714" s="19">
        <f t="shared" si="213"/>
        <v>199688.1</v>
      </c>
      <c r="V1714" s="21">
        <f t="shared" si="214"/>
        <v>23518.380000000005</v>
      </c>
      <c r="W1714" s="18">
        <f t="shared" si="215"/>
        <v>0.13349842413327331</v>
      </c>
    </row>
    <row r="1715" spans="1:23" x14ac:dyDescent="0.3">
      <c r="A1715" t="s">
        <v>145</v>
      </c>
      <c r="B1715" t="s">
        <v>3333</v>
      </c>
      <c r="C1715" t="s">
        <v>12</v>
      </c>
      <c r="D1715" t="s">
        <v>17</v>
      </c>
      <c r="E1715">
        <v>2846</v>
      </c>
      <c r="F1715">
        <v>202.88</v>
      </c>
      <c r="G1715">
        <v>173.86</v>
      </c>
      <c r="H1715">
        <v>202.88</v>
      </c>
      <c r="I1715">
        <v>1148</v>
      </c>
      <c r="J1715">
        <v>88</v>
      </c>
      <c r="K1715" s="17">
        <f t="shared" si="209"/>
        <v>3367.4666666666667</v>
      </c>
      <c r="L1715" t="str">
        <f t="shared" si="210"/>
        <v>High Risk</v>
      </c>
      <c r="P1715" s="19">
        <f t="shared" si="211"/>
        <v>522</v>
      </c>
      <c r="R1715" s="19">
        <f t="shared" si="208"/>
        <v>105903.36</v>
      </c>
      <c r="T1715" s="19">
        <f t="shared" si="212"/>
        <v>199591.28000000003</v>
      </c>
      <c r="U1715" s="19">
        <f t="shared" si="213"/>
        <v>232906.23999999999</v>
      </c>
      <c r="V1715" s="21">
        <f t="shared" si="214"/>
        <v>33314.959999999963</v>
      </c>
      <c r="W1715" s="18">
        <f t="shared" si="215"/>
        <v>0.16691590935235226</v>
      </c>
    </row>
    <row r="1716" spans="1:23" x14ac:dyDescent="0.3">
      <c r="A1716" t="s">
        <v>629</v>
      </c>
      <c r="B1716" t="s">
        <v>2330</v>
      </c>
      <c r="C1716" t="s">
        <v>23</v>
      </c>
      <c r="D1716" t="s">
        <v>17</v>
      </c>
      <c r="E1716">
        <v>2850</v>
      </c>
      <c r="F1716">
        <v>122.01</v>
      </c>
      <c r="G1716">
        <v>117.33</v>
      </c>
      <c r="H1716">
        <v>122.01</v>
      </c>
      <c r="I1716">
        <v>1694</v>
      </c>
      <c r="J1716">
        <v>87</v>
      </c>
      <c r="K1716" s="17">
        <f t="shared" si="209"/>
        <v>4912.6000000000004</v>
      </c>
      <c r="L1716" t="str">
        <f t="shared" si="210"/>
        <v>High Risk</v>
      </c>
      <c r="P1716" s="19">
        <f t="shared" si="211"/>
        <v>2063</v>
      </c>
      <c r="R1716" s="19">
        <f t="shared" si="208"/>
        <v>251706.63</v>
      </c>
      <c r="T1716" s="19">
        <f t="shared" si="212"/>
        <v>198757.02</v>
      </c>
      <c r="U1716" s="19">
        <f t="shared" si="213"/>
        <v>206684.94</v>
      </c>
      <c r="V1716" s="21">
        <f t="shared" si="214"/>
        <v>7927.9200000000128</v>
      </c>
      <c r="W1716" s="18">
        <f t="shared" si="215"/>
        <v>3.9887496803886542E-2</v>
      </c>
    </row>
    <row r="1717" spans="1:23" x14ac:dyDescent="0.3">
      <c r="A1717" t="s">
        <v>323</v>
      </c>
      <c r="B1717" t="s">
        <v>2751</v>
      </c>
      <c r="C1717" t="s">
        <v>37</v>
      </c>
      <c r="D1717" t="s">
        <v>17</v>
      </c>
      <c r="E1717">
        <v>2851</v>
      </c>
      <c r="F1717">
        <v>334.73</v>
      </c>
      <c r="G1717">
        <v>281.22000000000003</v>
      </c>
      <c r="H1717">
        <v>334.73</v>
      </c>
      <c r="I1717">
        <v>1782</v>
      </c>
      <c r="J1717">
        <v>24</v>
      </c>
      <c r="K1717" s="17">
        <f t="shared" si="209"/>
        <v>1425.6</v>
      </c>
      <c r="L1717" t="str">
        <f t="shared" si="210"/>
        <v>Sufficuent Stock</v>
      </c>
      <c r="P1717" s="19">
        <f t="shared" si="211"/>
        <v>0</v>
      </c>
      <c r="R1717" s="19">
        <f t="shared" si="208"/>
        <v>0</v>
      </c>
      <c r="T1717" s="19">
        <f t="shared" si="212"/>
        <v>501134.04000000004</v>
      </c>
      <c r="U1717" s="19">
        <f t="shared" si="213"/>
        <v>596488.86</v>
      </c>
      <c r="V1717" s="21">
        <f t="shared" si="214"/>
        <v>95354.819999999949</v>
      </c>
      <c r="W1717" s="18">
        <f t="shared" si="215"/>
        <v>0.19027807410568226</v>
      </c>
    </row>
    <row r="1718" spans="1:23" x14ac:dyDescent="0.3">
      <c r="A1718" t="s">
        <v>213</v>
      </c>
      <c r="B1718" t="s">
        <v>2428</v>
      </c>
      <c r="C1718" t="s">
        <v>23</v>
      </c>
      <c r="D1718" t="s">
        <v>69</v>
      </c>
      <c r="E1718">
        <v>2852</v>
      </c>
      <c r="F1718">
        <v>330.55</v>
      </c>
      <c r="G1718">
        <v>339.63</v>
      </c>
      <c r="H1718">
        <v>330.55</v>
      </c>
      <c r="I1718">
        <v>1029</v>
      </c>
      <c r="J1718">
        <v>88</v>
      </c>
      <c r="K1718" s="17">
        <f t="shared" si="209"/>
        <v>3018.3999999999996</v>
      </c>
      <c r="L1718" t="str">
        <f t="shared" si="210"/>
        <v>High Risk</v>
      </c>
      <c r="P1718" s="19">
        <f t="shared" si="211"/>
        <v>167</v>
      </c>
      <c r="R1718" s="19">
        <f t="shared" si="208"/>
        <v>55201.85</v>
      </c>
      <c r="T1718" s="19">
        <f t="shared" si="212"/>
        <v>349479.27</v>
      </c>
      <c r="U1718" s="19">
        <f t="shared" si="213"/>
        <v>340135.95</v>
      </c>
      <c r="V1718" s="21">
        <f t="shared" si="214"/>
        <v>-9343.320000000007</v>
      </c>
      <c r="W1718" s="18">
        <f t="shared" si="215"/>
        <v>-2.6734976297735791E-2</v>
      </c>
    </row>
    <row r="1719" spans="1:23" x14ac:dyDescent="0.3">
      <c r="A1719" t="s">
        <v>105</v>
      </c>
      <c r="B1719" t="s">
        <v>106</v>
      </c>
      <c r="C1719" t="s">
        <v>37</v>
      </c>
      <c r="D1719" t="s">
        <v>13</v>
      </c>
      <c r="E1719">
        <v>2852</v>
      </c>
      <c r="F1719">
        <v>317.39999999999998</v>
      </c>
      <c r="G1719">
        <v>322.45999999999998</v>
      </c>
      <c r="H1719">
        <v>317.39999999999998</v>
      </c>
      <c r="I1719">
        <v>2655</v>
      </c>
      <c r="J1719">
        <v>75</v>
      </c>
      <c r="K1719" s="17">
        <f t="shared" si="209"/>
        <v>6637.5</v>
      </c>
      <c r="L1719" t="str">
        <f t="shared" si="210"/>
        <v>High Risk</v>
      </c>
      <c r="P1719" s="19">
        <f t="shared" si="211"/>
        <v>3786</v>
      </c>
      <c r="R1719" s="19">
        <f t="shared" si="208"/>
        <v>1201676.3999999999</v>
      </c>
      <c r="T1719" s="19">
        <f t="shared" si="212"/>
        <v>856131.29999999993</v>
      </c>
      <c r="U1719" s="19">
        <f t="shared" si="213"/>
        <v>842696.99999999988</v>
      </c>
      <c r="V1719" s="21">
        <f t="shared" si="214"/>
        <v>-13434.300000000047</v>
      </c>
      <c r="W1719" s="18">
        <f t="shared" si="215"/>
        <v>-1.569186875891589E-2</v>
      </c>
    </row>
    <row r="1720" spans="1:23" x14ac:dyDescent="0.3">
      <c r="A1720" t="s">
        <v>539</v>
      </c>
      <c r="B1720" t="s">
        <v>1838</v>
      </c>
      <c r="C1720" t="s">
        <v>16</v>
      </c>
      <c r="D1720" t="s">
        <v>69</v>
      </c>
      <c r="E1720">
        <v>2853</v>
      </c>
      <c r="F1720">
        <v>359.39</v>
      </c>
      <c r="G1720">
        <v>371.58</v>
      </c>
      <c r="H1720">
        <v>359.39</v>
      </c>
      <c r="I1720">
        <v>3802</v>
      </c>
      <c r="J1720">
        <v>84</v>
      </c>
      <c r="K1720" s="17">
        <f t="shared" si="209"/>
        <v>10645.6</v>
      </c>
      <c r="L1720" t="str">
        <f t="shared" si="210"/>
        <v>High Risk</v>
      </c>
      <c r="P1720" s="19">
        <f t="shared" si="211"/>
        <v>7793</v>
      </c>
      <c r="R1720" s="19">
        <f t="shared" si="208"/>
        <v>2800726.27</v>
      </c>
      <c r="T1720" s="19">
        <f t="shared" si="212"/>
        <v>1412747.16</v>
      </c>
      <c r="U1720" s="19">
        <f t="shared" si="213"/>
        <v>1366400.78</v>
      </c>
      <c r="V1720" s="21">
        <f t="shared" si="214"/>
        <v>-46346.379999999888</v>
      </c>
      <c r="W1720" s="18">
        <f t="shared" si="215"/>
        <v>-3.2805856074062036E-2</v>
      </c>
    </row>
    <row r="1721" spans="1:23" x14ac:dyDescent="0.3">
      <c r="A1721" t="s">
        <v>581</v>
      </c>
      <c r="B1721" t="s">
        <v>2737</v>
      </c>
      <c r="C1721" t="s">
        <v>16</v>
      </c>
      <c r="D1721" t="s">
        <v>17</v>
      </c>
      <c r="E1721">
        <v>2854</v>
      </c>
      <c r="F1721">
        <v>104.8</v>
      </c>
      <c r="G1721">
        <v>88.03</v>
      </c>
      <c r="H1721">
        <v>104.8</v>
      </c>
      <c r="I1721">
        <v>3576</v>
      </c>
      <c r="J1721">
        <v>6</v>
      </c>
      <c r="K1721" s="17">
        <f t="shared" si="209"/>
        <v>715.2</v>
      </c>
      <c r="L1721" t="str">
        <f t="shared" si="210"/>
        <v>Sufficuent Stock</v>
      </c>
      <c r="P1721" s="19">
        <f t="shared" si="211"/>
        <v>0</v>
      </c>
      <c r="R1721" s="19">
        <f t="shared" si="208"/>
        <v>0</v>
      </c>
      <c r="T1721" s="19">
        <f t="shared" si="212"/>
        <v>314795.28000000003</v>
      </c>
      <c r="U1721" s="19">
        <f t="shared" si="213"/>
        <v>374764.79999999999</v>
      </c>
      <c r="V1721" s="21">
        <f t="shared" si="214"/>
        <v>59969.51999999996</v>
      </c>
      <c r="W1721" s="18">
        <f t="shared" si="215"/>
        <v>0.19050323753265919</v>
      </c>
    </row>
    <row r="1722" spans="1:23" x14ac:dyDescent="0.3">
      <c r="A1722" t="s">
        <v>125</v>
      </c>
      <c r="B1722" t="s">
        <v>817</v>
      </c>
      <c r="C1722" t="s">
        <v>37</v>
      </c>
      <c r="D1722" t="s">
        <v>20</v>
      </c>
      <c r="E1722">
        <v>2857</v>
      </c>
      <c r="F1722">
        <v>195.19</v>
      </c>
      <c r="G1722">
        <v>201.98</v>
      </c>
      <c r="H1722">
        <v>195.19</v>
      </c>
      <c r="I1722">
        <v>3562</v>
      </c>
      <c r="J1722">
        <v>42</v>
      </c>
      <c r="K1722" s="17">
        <f t="shared" si="209"/>
        <v>4986.8</v>
      </c>
      <c r="L1722" t="str">
        <f t="shared" si="210"/>
        <v>High Risk</v>
      </c>
      <c r="P1722" s="19">
        <f t="shared" si="211"/>
        <v>2130</v>
      </c>
      <c r="R1722" s="19">
        <f t="shared" si="208"/>
        <v>415754.7</v>
      </c>
      <c r="T1722" s="19">
        <f t="shared" si="212"/>
        <v>719452.76</v>
      </c>
      <c r="U1722" s="19">
        <f t="shared" si="213"/>
        <v>695266.78</v>
      </c>
      <c r="V1722" s="21">
        <f t="shared" si="214"/>
        <v>-24185.979999999981</v>
      </c>
      <c r="W1722" s="18">
        <f t="shared" si="215"/>
        <v>-3.3617189820774308E-2</v>
      </c>
    </row>
    <row r="1723" spans="1:23" x14ac:dyDescent="0.3">
      <c r="A1723" t="s">
        <v>376</v>
      </c>
      <c r="B1723" t="s">
        <v>2211</v>
      </c>
      <c r="C1723" t="s">
        <v>16</v>
      </c>
      <c r="D1723" t="s">
        <v>20</v>
      </c>
      <c r="E1723">
        <v>2859</v>
      </c>
      <c r="F1723">
        <v>345.74</v>
      </c>
      <c r="G1723">
        <v>327.83</v>
      </c>
      <c r="H1723">
        <v>345.74</v>
      </c>
      <c r="I1723">
        <v>603</v>
      </c>
      <c r="J1723">
        <v>45</v>
      </c>
      <c r="K1723" s="17">
        <f t="shared" si="209"/>
        <v>904.50000000000011</v>
      </c>
      <c r="L1723" t="str">
        <f t="shared" si="210"/>
        <v>Sufficuent Stock</v>
      </c>
      <c r="P1723" s="19">
        <f t="shared" si="211"/>
        <v>0</v>
      </c>
      <c r="R1723" s="19">
        <f t="shared" si="208"/>
        <v>0</v>
      </c>
      <c r="T1723" s="19">
        <f t="shared" si="212"/>
        <v>197681.49</v>
      </c>
      <c r="U1723" s="19">
        <f t="shared" si="213"/>
        <v>208481.22</v>
      </c>
      <c r="V1723" s="21">
        <f t="shared" si="214"/>
        <v>10799.73000000001</v>
      </c>
      <c r="W1723" s="18">
        <f t="shared" si="215"/>
        <v>5.4631973888905894E-2</v>
      </c>
    </row>
    <row r="1724" spans="1:23" x14ac:dyDescent="0.3">
      <c r="A1724" t="s">
        <v>923</v>
      </c>
      <c r="B1724" t="s">
        <v>2801</v>
      </c>
      <c r="C1724" t="s">
        <v>23</v>
      </c>
      <c r="D1724" t="s">
        <v>26</v>
      </c>
      <c r="E1724">
        <v>2859</v>
      </c>
      <c r="F1724">
        <v>389.21</v>
      </c>
      <c r="G1724">
        <v>417.3</v>
      </c>
      <c r="H1724">
        <v>389.21</v>
      </c>
      <c r="I1724">
        <v>1801</v>
      </c>
      <c r="J1724">
        <v>58</v>
      </c>
      <c r="K1724" s="17">
        <f t="shared" si="209"/>
        <v>3481.9333333333334</v>
      </c>
      <c r="L1724" t="str">
        <f t="shared" si="210"/>
        <v>High Risk</v>
      </c>
      <c r="P1724" s="19">
        <f t="shared" si="211"/>
        <v>623</v>
      </c>
      <c r="R1724" s="19">
        <f t="shared" si="208"/>
        <v>242477.83</v>
      </c>
      <c r="T1724" s="19">
        <f t="shared" si="212"/>
        <v>751557.3</v>
      </c>
      <c r="U1724" s="19">
        <f t="shared" si="213"/>
        <v>700967.21</v>
      </c>
      <c r="V1724" s="21">
        <f t="shared" si="214"/>
        <v>-50590.090000000084</v>
      </c>
      <c r="W1724" s="18">
        <f t="shared" si="215"/>
        <v>-6.7313683201533775E-2</v>
      </c>
    </row>
    <row r="1725" spans="1:23" x14ac:dyDescent="0.3">
      <c r="A1725" t="s">
        <v>543</v>
      </c>
      <c r="B1725" t="s">
        <v>3316</v>
      </c>
      <c r="C1725" t="s">
        <v>50</v>
      </c>
      <c r="D1725" t="s">
        <v>13</v>
      </c>
      <c r="E1725">
        <v>2861</v>
      </c>
      <c r="F1725">
        <v>131.34</v>
      </c>
      <c r="G1725">
        <v>111.8</v>
      </c>
      <c r="H1725">
        <v>131.34</v>
      </c>
      <c r="I1725">
        <v>1355</v>
      </c>
      <c r="J1725">
        <v>85</v>
      </c>
      <c r="K1725" s="17">
        <f t="shared" si="209"/>
        <v>3839.1666666666665</v>
      </c>
      <c r="L1725" t="str">
        <f t="shared" si="210"/>
        <v>High Risk</v>
      </c>
      <c r="P1725" s="19">
        <f t="shared" si="211"/>
        <v>979</v>
      </c>
      <c r="R1725" s="19">
        <f t="shared" si="208"/>
        <v>128581.86</v>
      </c>
      <c r="T1725" s="19">
        <f t="shared" si="212"/>
        <v>151489</v>
      </c>
      <c r="U1725" s="19">
        <f t="shared" si="213"/>
        <v>177965.7</v>
      </c>
      <c r="V1725" s="21">
        <f t="shared" si="214"/>
        <v>26476.700000000012</v>
      </c>
      <c r="W1725" s="18">
        <f t="shared" si="215"/>
        <v>0.17477638640429347</v>
      </c>
    </row>
    <row r="1726" spans="1:23" x14ac:dyDescent="0.3">
      <c r="A1726" t="s">
        <v>251</v>
      </c>
      <c r="B1726" t="s">
        <v>2620</v>
      </c>
      <c r="C1726" t="s">
        <v>16</v>
      </c>
      <c r="D1726" t="s">
        <v>69</v>
      </c>
      <c r="E1726">
        <v>2861</v>
      </c>
      <c r="F1726">
        <v>172.25</v>
      </c>
      <c r="G1726">
        <v>185.52</v>
      </c>
      <c r="H1726">
        <v>172.25</v>
      </c>
      <c r="I1726">
        <v>309</v>
      </c>
      <c r="J1726">
        <v>87</v>
      </c>
      <c r="K1726" s="17">
        <f t="shared" si="209"/>
        <v>896.1</v>
      </c>
      <c r="L1726" t="str">
        <f t="shared" si="210"/>
        <v>Sufficuent Stock</v>
      </c>
      <c r="P1726" s="19">
        <f t="shared" si="211"/>
        <v>0</v>
      </c>
      <c r="R1726" s="19">
        <f t="shared" si="208"/>
        <v>0</v>
      </c>
      <c r="T1726" s="19">
        <f t="shared" si="212"/>
        <v>57325.68</v>
      </c>
      <c r="U1726" s="19">
        <f t="shared" si="213"/>
        <v>53225.25</v>
      </c>
      <c r="V1726" s="21">
        <f t="shared" si="214"/>
        <v>-4100.43</v>
      </c>
      <c r="W1726" s="18">
        <f t="shared" si="215"/>
        <v>-7.1528676153514451E-2</v>
      </c>
    </row>
    <row r="1727" spans="1:23" x14ac:dyDescent="0.3">
      <c r="A1727" t="s">
        <v>213</v>
      </c>
      <c r="B1727" t="s">
        <v>2506</v>
      </c>
      <c r="C1727" t="s">
        <v>50</v>
      </c>
      <c r="D1727" t="s">
        <v>69</v>
      </c>
      <c r="E1727">
        <v>2863</v>
      </c>
      <c r="F1727">
        <v>241.77</v>
      </c>
      <c r="G1727">
        <v>234.73</v>
      </c>
      <c r="H1727">
        <v>241.77</v>
      </c>
      <c r="I1727">
        <v>3764</v>
      </c>
      <c r="J1727">
        <v>34</v>
      </c>
      <c r="K1727" s="17">
        <f t="shared" si="209"/>
        <v>4265.8666666666668</v>
      </c>
      <c r="L1727" t="str">
        <f t="shared" si="210"/>
        <v>High Risk</v>
      </c>
      <c r="P1727" s="19">
        <f t="shared" si="211"/>
        <v>1403</v>
      </c>
      <c r="R1727" s="19">
        <f t="shared" si="208"/>
        <v>339203.31</v>
      </c>
      <c r="T1727" s="19">
        <f t="shared" si="212"/>
        <v>883523.72</v>
      </c>
      <c r="U1727" s="19">
        <f t="shared" si="213"/>
        <v>910022.28</v>
      </c>
      <c r="V1727" s="21">
        <f t="shared" si="214"/>
        <v>26498.560000000056</v>
      </c>
      <c r="W1727" s="18">
        <f t="shared" si="215"/>
        <v>2.9991905593660866E-2</v>
      </c>
    </row>
    <row r="1728" spans="1:23" x14ac:dyDescent="0.3">
      <c r="A1728" t="s">
        <v>688</v>
      </c>
      <c r="B1728" t="s">
        <v>1725</v>
      </c>
      <c r="C1728" t="s">
        <v>37</v>
      </c>
      <c r="D1728" t="s">
        <v>17</v>
      </c>
      <c r="E1728">
        <v>2863</v>
      </c>
      <c r="F1728">
        <v>86.46</v>
      </c>
      <c r="G1728">
        <v>91.42</v>
      </c>
      <c r="H1728">
        <v>86.46</v>
      </c>
      <c r="I1728">
        <v>1327</v>
      </c>
      <c r="J1728">
        <v>52</v>
      </c>
      <c r="K1728" s="17">
        <f t="shared" si="209"/>
        <v>2300.1333333333332</v>
      </c>
      <c r="L1728" t="str">
        <f t="shared" si="210"/>
        <v>Sufficuent Stock</v>
      </c>
      <c r="P1728" s="19">
        <f t="shared" si="211"/>
        <v>0</v>
      </c>
      <c r="R1728" s="19">
        <f t="shared" si="208"/>
        <v>0</v>
      </c>
      <c r="T1728" s="19">
        <f t="shared" si="212"/>
        <v>121314.34</v>
      </c>
      <c r="U1728" s="19">
        <f t="shared" si="213"/>
        <v>114732.42</v>
      </c>
      <c r="V1728" s="21">
        <f t="shared" si="214"/>
        <v>-6581.9199999999983</v>
      </c>
      <c r="W1728" s="18">
        <f t="shared" si="215"/>
        <v>-5.4255086414351332E-2</v>
      </c>
    </row>
    <row r="1729" spans="1:23" x14ac:dyDescent="0.3">
      <c r="A1729" t="s">
        <v>92</v>
      </c>
      <c r="B1729" t="s">
        <v>190</v>
      </c>
      <c r="C1729" t="s">
        <v>12</v>
      </c>
      <c r="D1729" t="s">
        <v>17</v>
      </c>
      <c r="E1729">
        <v>2864</v>
      </c>
      <c r="F1729">
        <v>315.75</v>
      </c>
      <c r="G1729">
        <v>271.17</v>
      </c>
      <c r="H1729">
        <v>315.75</v>
      </c>
      <c r="I1729">
        <v>2455</v>
      </c>
      <c r="J1729">
        <v>37</v>
      </c>
      <c r="K1729" s="17">
        <f t="shared" si="209"/>
        <v>3027.833333333333</v>
      </c>
      <c r="L1729" t="str">
        <f t="shared" si="210"/>
        <v>High Risk</v>
      </c>
      <c r="P1729" s="19">
        <f t="shared" si="211"/>
        <v>164</v>
      </c>
      <c r="R1729" s="19">
        <f t="shared" si="208"/>
        <v>51783</v>
      </c>
      <c r="T1729" s="19">
        <f t="shared" si="212"/>
        <v>665722.35000000009</v>
      </c>
      <c r="U1729" s="19">
        <f t="shared" si="213"/>
        <v>775166.25</v>
      </c>
      <c r="V1729" s="21">
        <f t="shared" si="214"/>
        <v>109443.89999999991</v>
      </c>
      <c r="W1729" s="18">
        <f t="shared" si="215"/>
        <v>0.16439871667219808</v>
      </c>
    </row>
    <row r="1730" spans="1:23" x14ac:dyDescent="0.3">
      <c r="A1730" t="s">
        <v>44</v>
      </c>
      <c r="B1730" t="s">
        <v>958</v>
      </c>
      <c r="C1730" t="s">
        <v>16</v>
      </c>
      <c r="D1730" t="s">
        <v>17</v>
      </c>
      <c r="E1730">
        <v>2867</v>
      </c>
      <c r="F1730">
        <v>78.11</v>
      </c>
      <c r="G1730">
        <v>76.77</v>
      </c>
      <c r="H1730">
        <v>78.11</v>
      </c>
      <c r="I1730">
        <v>2521</v>
      </c>
      <c r="J1730">
        <v>33</v>
      </c>
      <c r="K1730" s="17">
        <f t="shared" si="209"/>
        <v>2773.1</v>
      </c>
      <c r="L1730" t="str">
        <f t="shared" si="210"/>
        <v>Sufficuent Stock</v>
      </c>
      <c r="P1730" s="19">
        <f t="shared" si="211"/>
        <v>0</v>
      </c>
      <c r="R1730" s="19">
        <f t="shared" ref="R1730:R1793" si="216">P1730*H1730</f>
        <v>0</v>
      </c>
      <c r="T1730" s="19">
        <f t="shared" si="212"/>
        <v>193537.16999999998</v>
      </c>
      <c r="U1730" s="19">
        <f t="shared" si="213"/>
        <v>196915.31</v>
      </c>
      <c r="V1730" s="21">
        <f t="shared" si="214"/>
        <v>3378.140000000014</v>
      </c>
      <c r="W1730" s="18">
        <f t="shared" si="215"/>
        <v>1.745473492249584E-2</v>
      </c>
    </row>
    <row r="1731" spans="1:23" x14ac:dyDescent="0.3">
      <c r="A1731" t="s">
        <v>748</v>
      </c>
      <c r="B1731" t="s">
        <v>1207</v>
      </c>
      <c r="C1731" t="s">
        <v>23</v>
      </c>
      <c r="D1731" t="s">
        <v>69</v>
      </c>
      <c r="E1731">
        <v>2868</v>
      </c>
      <c r="F1731">
        <v>353.17</v>
      </c>
      <c r="G1731">
        <v>328.47</v>
      </c>
      <c r="H1731">
        <v>353.17</v>
      </c>
      <c r="I1731">
        <v>788</v>
      </c>
      <c r="J1731">
        <v>59</v>
      </c>
      <c r="K1731" s="17">
        <f t="shared" ref="K1731:K1794" si="217">(I1731/30)*J1731</f>
        <v>1549.7333333333333</v>
      </c>
      <c r="L1731" t="str">
        <f t="shared" ref="L1731:L1794" si="218">IF(E1731&lt;K1731,"High Risk","Sufficuent Stock")</f>
        <v>Sufficuent Stock</v>
      </c>
      <c r="P1731" s="19">
        <f t="shared" ref="P1731:P1794" si="219">ROUNDUP(MAX(0,K1731-E1731),0)</f>
        <v>0</v>
      </c>
      <c r="R1731" s="19">
        <f t="shared" si="216"/>
        <v>0</v>
      </c>
      <c r="T1731" s="19">
        <f t="shared" ref="T1731:T1794" si="220">I1731*G1731</f>
        <v>258834.36000000002</v>
      </c>
      <c r="U1731" s="19">
        <f t="shared" ref="U1731:U1794" si="221">I1731*H1731</f>
        <v>278297.96000000002</v>
      </c>
      <c r="V1731" s="21">
        <f t="shared" ref="V1731:V1794" si="222">U1731-T1731</f>
        <v>19463.600000000006</v>
      </c>
      <c r="W1731" s="18">
        <f t="shared" ref="W1731:W1794" si="223">IFERROR(V1731/T1731,0)</f>
        <v>7.5197126069351861E-2</v>
      </c>
    </row>
    <row r="1732" spans="1:23" x14ac:dyDescent="0.3">
      <c r="A1732" t="s">
        <v>850</v>
      </c>
      <c r="B1732" t="s">
        <v>851</v>
      </c>
      <c r="C1732" t="s">
        <v>12</v>
      </c>
      <c r="D1732" t="s">
        <v>20</v>
      </c>
      <c r="E1732">
        <v>2869</v>
      </c>
      <c r="F1732">
        <v>111.29</v>
      </c>
      <c r="G1732">
        <v>122.45</v>
      </c>
      <c r="H1732">
        <v>111.29</v>
      </c>
      <c r="I1732">
        <v>3770</v>
      </c>
      <c r="J1732">
        <v>17</v>
      </c>
      <c r="K1732" s="17">
        <f t="shared" si="217"/>
        <v>2136.3333333333335</v>
      </c>
      <c r="L1732" t="str">
        <f t="shared" si="218"/>
        <v>Sufficuent Stock</v>
      </c>
      <c r="P1732" s="19">
        <f t="shared" si="219"/>
        <v>0</v>
      </c>
      <c r="R1732" s="19">
        <f t="shared" si="216"/>
        <v>0</v>
      </c>
      <c r="T1732" s="19">
        <f t="shared" si="220"/>
        <v>461636.5</v>
      </c>
      <c r="U1732" s="19">
        <f t="shared" si="221"/>
        <v>419563.30000000005</v>
      </c>
      <c r="V1732" s="21">
        <f t="shared" si="222"/>
        <v>-42073.199999999953</v>
      </c>
      <c r="W1732" s="18">
        <f t="shared" si="223"/>
        <v>-9.1139240506329017E-2</v>
      </c>
    </row>
    <row r="1733" spans="1:23" x14ac:dyDescent="0.3">
      <c r="A1733" t="s">
        <v>890</v>
      </c>
      <c r="B1733" t="s">
        <v>2536</v>
      </c>
      <c r="C1733" t="s">
        <v>23</v>
      </c>
      <c r="D1733" t="s">
        <v>13</v>
      </c>
      <c r="E1733">
        <v>2871</v>
      </c>
      <c r="F1733">
        <v>270.77</v>
      </c>
      <c r="G1733">
        <v>281.82</v>
      </c>
      <c r="H1733">
        <v>270.77</v>
      </c>
      <c r="I1733">
        <v>2854</v>
      </c>
      <c r="J1733">
        <v>48</v>
      </c>
      <c r="K1733" s="17">
        <f t="shared" si="217"/>
        <v>4566.4000000000005</v>
      </c>
      <c r="L1733" t="str">
        <f t="shared" si="218"/>
        <v>High Risk</v>
      </c>
      <c r="P1733" s="19">
        <f t="shared" si="219"/>
        <v>1696</v>
      </c>
      <c r="R1733" s="19">
        <f t="shared" si="216"/>
        <v>459225.92</v>
      </c>
      <c r="T1733" s="19">
        <f t="shared" si="220"/>
        <v>804314.28</v>
      </c>
      <c r="U1733" s="19">
        <f t="shared" si="221"/>
        <v>772777.58</v>
      </c>
      <c r="V1733" s="21">
        <f t="shared" si="222"/>
        <v>-31536.70000000007</v>
      </c>
      <c r="W1733" s="18">
        <f t="shared" si="223"/>
        <v>-3.9209424455326179E-2</v>
      </c>
    </row>
    <row r="1734" spans="1:23" x14ac:dyDescent="0.3">
      <c r="A1734" t="s">
        <v>290</v>
      </c>
      <c r="B1734" t="s">
        <v>2786</v>
      </c>
      <c r="C1734" t="s">
        <v>12</v>
      </c>
      <c r="D1734" t="s">
        <v>26</v>
      </c>
      <c r="E1734">
        <v>2874</v>
      </c>
      <c r="F1734">
        <v>151.76</v>
      </c>
      <c r="G1734">
        <v>129.94</v>
      </c>
      <c r="H1734">
        <v>151.76</v>
      </c>
      <c r="I1734">
        <v>3651</v>
      </c>
      <c r="J1734">
        <v>38</v>
      </c>
      <c r="K1734" s="17">
        <f t="shared" si="217"/>
        <v>4624.6000000000004</v>
      </c>
      <c r="L1734" t="str">
        <f t="shared" si="218"/>
        <v>High Risk</v>
      </c>
      <c r="P1734" s="19">
        <f t="shared" si="219"/>
        <v>1751</v>
      </c>
      <c r="R1734" s="19">
        <f t="shared" si="216"/>
        <v>265731.76</v>
      </c>
      <c r="T1734" s="19">
        <f t="shared" si="220"/>
        <v>474410.94</v>
      </c>
      <c r="U1734" s="19">
        <f t="shared" si="221"/>
        <v>554075.76</v>
      </c>
      <c r="V1734" s="21">
        <f t="shared" si="222"/>
        <v>79664.820000000007</v>
      </c>
      <c r="W1734" s="18">
        <f t="shared" si="223"/>
        <v>0.16792365707249501</v>
      </c>
    </row>
    <row r="1735" spans="1:23" x14ac:dyDescent="0.3">
      <c r="A1735" t="s">
        <v>600</v>
      </c>
      <c r="B1735" t="s">
        <v>2580</v>
      </c>
      <c r="C1735" t="s">
        <v>12</v>
      </c>
      <c r="D1735" t="s">
        <v>26</v>
      </c>
      <c r="E1735">
        <v>2875</v>
      </c>
      <c r="F1735">
        <v>410.51</v>
      </c>
      <c r="G1735">
        <v>410.29</v>
      </c>
      <c r="H1735">
        <v>410.51</v>
      </c>
      <c r="I1735">
        <v>3157</v>
      </c>
      <c r="J1735">
        <v>37</v>
      </c>
      <c r="K1735" s="17">
        <f t="shared" si="217"/>
        <v>3893.6333333333332</v>
      </c>
      <c r="L1735" t="str">
        <f t="shared" si="218"/>
        <v>High Risk</v>
      </c>
      <c r="P1735" s="19">
        <f t="shared" si="219"/>
        <v>1019</v>
      </c>
      <c r="R1735" s="19">
        <f t="shared" si="216"/>
        <v>418309.69</v>
      </c>
      <c r="T1735" s="19">
        <f t="shared" si="220"/>
        <v>1295285.53</v>
      </c>
      <c r="U1735" s="19">
        <f t="shared" si="221"/>
        <v>1295980.07</v>
      </c>
      <c r="V1735" s="21">
        <f t="shared" si="222"/>
        <v>694.54000000003725</v>
      </c>
      <c r="W1735" s="18">
        <f t="shared" si="223"/>
        <v>5.3620609812574473E-4</v>
      </c>
    </row>
    <row r="1736" spans="1:23" x14ac:dyDescent="0.3">
      <c r="A1736" t="s">
        <v>482</v>
      </c>
      <c r="B1736" t="s">
        <v>623</v>
      </c>
      <c r="C1736" t="s">
        <v>37</v>
      </c>
      <c r="D1736" t="s">
        <v>26</v>
      </c>
      <c r="E1736">
        <v>2875</v>
      </c>
      <c r="F1736">
        <v>222.53</v>
      </c>
      <c r="G1736">
        <v>189.95</v>
      </c>
      <c r="H1736">
        <v>222.53</v>
      </c>
      <c r="I1736">
        <v>2565</v>
      </c>
      <c r="J1736">
        <v>52</v>
      </c>
      <c r="K1736" s="17">
        <f t="shared" si="217"/>
        <v>4446</v>
      </c>
      <c r="L1736" t="str">
        <f t="shared" si="218"/>
        <v>High Risk</v>
      </c>
      <c r="P1736" s="19">
        <f t="shared" si="219"/>
        <v>1571</v>
      </c>
      <c r="R1736" s="19">
        <f t="shared" si="216"/>
        <v>349594.63</v>
      </c>
      <c r="T1736" s="19">
        <f t="shared" si="220"/>
        <v>487221.74999999994</v>
      </c>
      <c r="U1736" s="19">
        <f t="shared" si="221"/>
        <v>570789.44999999995</v>
      </c>
      <c r="V1736" s="21">
        <f t="shared" si="222"/>
        <v>83567.700000000012</v>
      </c>
      <c r="W1736" s="18">
        <f t="shared" si="223"/>
        <v>0.17151882074230065</v>
      </c>
    </row>
    <row r="1737" spans="1:23" x14ac:dyDescent="0.3">
      <c r="A1737" t="s">
        <v>98</v>
      </c>
      <c r="B1737" t="s">
        <v>99</v>
      </c>
      <c r="C1737" t="s">
        <v>37</v>
      </c>
      <c r="D1737" t="s">
        <v>26</v>
      </c>
      <c r="E1737">
        <v>2876</v>
      </c>
      <c r="F1737">
        <v>253.85</v>
      </c>
      <c r="G1737">
        <v>273.94</v>
      </c>
      <c r="H1737">
        <v>253.85</v>
      </c>
      <c r="I1737">
        <v>1257</v>
      </c>
      <c r="J1737">
        <v>81</v>
      </c>
      <c r="K1737" s="17">
        <f t="shared" si="217"/>
        <v>3393.9</v>
      </c>
      <c r="L1737" t="str">
        <f t="shared" si="218"/>
        <v>High Risk</v>
      </c>
      <c r="P1737" s="19">
        <f t="shared" si="219"/>
        <v>518</v>
      </c>
      <c r="R1737" s="19">
        <f t="shared" si="216"/>
        <v>131494.29999999999</v>
      </c>
      <c r="T1737" s="19">
        <f t="shared" si="220"/>
        <v>344342.58</v>
      </c>
      <c r="U1737" s="19">
        <f t="shared" si="221"/>
        <v>319089.45</v>
      </c>
      <c r="V1737" s="21">
        <f t="shared" si="222"/>
        <v>-25253.130000000005</v>
      </c>
      <c r="W1737" s="18">
        <f t="shared" si="223"/>
        <v>-7.3337227130028479E-2</v>
      </c>
    </row>
    <row r="1738" spans="1:23" x14ac:dyDescent="0.3">
      <c r="A1738" t="s">
        <v>51</v>
      </c>
      <c r="B1738" t="s">
        <v>2018</v>
      </c>
      <c r="C1738" t="s">
        <v>23</v>
      </c>
      <c r="D1738" t="s">
        <v>69</v>
      </c>
      <c r="E1738">
        <v>2876</v>
      </c>
      <c r="F1738">
        <v>503.18</v>
      </c>
      <c r="G1738">
        <v>476.15</v>
      </c>
      <c r="H1738">
        <v>503.18</v>
      </c>
      <c r="I1738">
        <v>2725</v>
      </c>
      <c r="J1738">
        <v>47</v>
      </c>
      <c r="K1738" s="17">
        <f t="shared" si="217"/>
        <v>4269.1666666666661</v>
      </c>
      <c r="L1738" t="str">
        <f t="shared" si="218"/>
        <v>High Risk</v>
      </c>
      <c r="P1738" s="19">
        <f t="shared" si="219"/>
        <v>1394</v>
      </c>
      <c r="R1738" s="19">
        <f t="shared" si="216"/>
        <v>701432.92</v>
      </c>
      <c r="T1738" s="19">
        <f t="shared" si="220"/>
        <v>1297508.75</v>
      </c>
      <c r="U1738" s="19">
        <f t="shared" si="221"/>
        <v>1371165.5</v>
      </c>
      <c r="V1738" s="21">
        <f t="shared" si="222"/>
        <v>73656.75</v>
      </c>
      <c r="W1738" s="18">
        <f t="shared" si="223"/>
        <v>5.6767825265147537E-2</v>
      </c>
    </row>
    <row r="1739" spans="1:23" x14ac:dyDescent="0.3">
      <c r="A1739" t="s">
        <v>246</v>
      </c>
      <c r="B1739" t="s">
        <v>2540</v>
      </c>
      <c r="C1739" t="s">
        <v>16</v>
      </c>
      <c r="D1739" t="s">
        <v>13</v>
      </c>
      <c r="E1739">
        <v>2877</v>
      </c>
      <c r="F1739">
        <v>13.75</v>
      </c>
      <c r="G1739">
        <v>13.61</v>
      </c>
      <c r="H1739">
        <v>13.75</v>
      </c>
      <c r="I1739">
        <v>2878</v>
      </c>
      <c r="J1739">
        <v>48</v>
      </c>
      <c r="K1739" s="17">
        <f t="shared" si="217"/>
        <v>4604.8</v>
      </c>
      <c r="L1739" t="str">
        <f t="shared" si="218"/>
        <v>High Risk</v>
      </c>
      <c r="P1739" s="19">
        <f t="shared" si="219"/>
        <v>1728</v>
      </c>
      <c r="R1739" s="19">
        <f t="shared" si="216"/>
        <v>23760</v>
      </c>
      <c r="T1739" s="19">
        <f t="shared" si="220"/>
        <v>39169.58</v>
      </c>
      <c r="U1739" s="19">
        <f t="shared" si="221"/>
        <v>39572.5</v>
      </c>
      <c r="V1739" s="21">
        <f t="shared" si="222"/>
        <v>402.91999999999825</v>
      </c>
      <c r="W1739" s="18">
        <f t="shared" si="223"/>
        <v>1.0286554004408479E-2</v>
      </c>
    </row>
    <row r="1740" spans="1:23" x14ac:dyDescent="0.3">
      <c r="A1740" t="s">
        <v>581</v>
      </c>
      <c r="B1740" t="s">
        <v>582</v>
      </c>
      <c r="C1740" t="s">
        <v>37</v>
      </c>
      <c r="D1740" t="s">
        <v>26</v>
      </c>
      <c r="E1740">
        <v>2878</v>
      </c>
      <c r="F1740">
        <v>432.34</v>
      </c>
      <c r="G1740">
        <v>386.06</v>
      </c>
      <c r="H1740">
        <v>432.34</v>
      </c>
      <c r="I1740">
        <v>3962</v>
      </c>
      <c r="J1740">
        <v>33</v>
      </c>
      <c r="K1740" s="17">
        <f t="shared" si="217"/>
        <v>4358.2</v>
      </c>
      <c r="L1740" t="str">
        <f t="shared" si="218"/>
        <v>High Risk</v>
      </c>
      <c r="P1740" s="19">
        <f t="shared" si="219"/>
        <v>1481</v>
      </c>
      <c r="R1740" s="19">
        <f t="shared" si="216"/>
        <v>640295.53999999992</v>
      </c>
      <c r="T1740" s="19">
        <f t="shared" si="220"/>
        <v>1529569.72</v>
      </c>
      <c r="U1740" s="19">
        <f t="shared" si="221"/>
        <v>1712931.0799999998</v>
      </c>
      <c r="V1740" s="21">
        <f t="shared" si="222"/>
        <v>183361.35999999987</v>
      </c>
      <c r="W1740" s="18">
        <f t="shared" si="223"/>
        <v>0.11987773921152144</v>
      </c>
    </row>
    <row r="1741" spans="1:23" x14ac:dyDescent="0.3">
      <c r="A1741" t="s">
        <v>525</v>
      </c>
      <c r="B1741" t="s">
        <v>1099</v>
      </c>
      <c r="C1741" t="s">
        <v>12</v>
      </c>
      <c r="D1741" t="s">
        <v>20</v>
      </c>
      <c r="E1741">
        <v>2878</v>
      </c>
      <c r="F1741">
        <v>70.61</v>
      </c>
      <c r="G1741">
        <v>63.66</v>
      </c>
      <c r="H1741">
        <v>70.61</v>
      </c>
      <c r="I1741">
        <v>3306</v>
      </c>
      <c r="J1741">
        <v>51</v>
      </c>
      <c r="K1741" s="17">
        <f t="shared" si="217"/>
        <v>5620.2</v>
      </c>
      <c r="L1741" t="str">
        <f t="shared" si="218"/>
        <v>High Risk</v>
      </c>
      <c r="P1741" s="19">
        <f t="shared" si="219"/>
        <v>2743</v>
      </c>
      <c r="R1741" s="19">
        <f t="shared" si="216"/>
        <v>193683.23</v>
      </c>
      <c r="T1741" s="19">
        <f t="shared" si="220"/>
        <v>210459.96</v>
      </c>
      <c r="U1741" s="19">
        <f t="shared" si="221"/>
        <v>233436.66</v>
      </c>
      <c r="V1741" s="21">
        <f t="shared" si="222"/>
        <v>22976.700000000012</v>
      </c>
      <c r="W1741" s="18">
        <f t="shared" si="223"/>
        <v>0.10917373546968275</v>
      </c>
    </row>
    <row r="1742" spans="1:23" x14ac:dyDescent="0.3">
      <c r="A1742" t="s">
        <v>618</v>
      </c>
      <c r="B1742" t="s">
        <v>2316</v>
      </c>
      <c r="C1742" t="s">
        <v>16</v>
      </c>
      <c r="D1742" t="s">
        <v>26</v>
      </c>
      <c r="E1742">
        <v>2878</v>
      </c>
      <c r="F1742">
        <v>137.08000000000001</v>
      </c>
      <c r="G1742">
        <v>119.09</v>
      </c>
      <c r="H1742">
        <v>137.08000000000001</v>
      </c>
      <c r="I1742">
        <v>713</v>
      </c>
      <c r="J1742">
        <v>25</v>
      </c>
      <c r="K1742" s="17">
        <f t="shared" si="217"/>
        <v>594.16666666666663</v>
      </c>
      <c r="L1742" t="str">
        <f t="shared" si="218"/>
        <v>Sufficuent Stock</v>
      </c>
      <c r="P1742" s="19">
        <f t="shared" si="219"/>
        <v>0</v>
      </c>
      <c r="R1742" s="19">
        <f t="shared" si="216"/>
        <v>0</v>
      </c>
      <c r="T1742" s="19">
        <f t="shared" si="220"/>
        <v>84911.17</v>
      </c>
      <c r="U1742" s="19">
        <f t="shared" si="221"/>
        <v>97738.040000000008</v>
      </c>
      <c r="V1742" s="21">
        <f t="shared" si="222"/>
        <v>12826.87000000001</v>
      </c>
      <c r="W1742" s="18">
        <f t="shared" si="223"/>
        <v>0.15106222184902188</v>
      </c>
    </row>
    <row r="1743" spans="1:23" x14ac:dyDescent="0.3">
      <c r="A1743" t="s">
        <v>605</v>
      </c>
      <c r="B1743" t="s">
        <v>1799</v>
      </c>
      <c r="C1743" t="s">
        <v>37</v>
      </c>
      <c r="D1743" t="s">
        <v>69</v>
      </c>
      <c r="E1743">
        <v>2880</v>
      </c>
      <c r="F1743">
        <v>267.20999999999998</v>
      </c>
      <c r="G1743">
        <v>253.17</v>
      </c>
      <c r="H1743">
        <v>267.20999999999998</v>
      </c>
      <c r="I1743">
        <v>123</v>
      </c>
      <c r="J1743">
        <v>54</v>
      </c>
      <c r="K1743" s="17">
        <f t="shared" si="217"/>
        <v>221.39999999999998</v>
      </c>
      <c r="L1743" t="str">
        <f t="shared" si="218"/>
        <v>Sufficuent Stock</v>
      </c>
      <c r="P1743" s="19">
        <f t="shared" si="219"/>
        <v>0</v>
      </c>
      <c r="R1743" s="19">
        <f t="shared" si="216"/>
        <v>0</v>
      </c>
      <c r="T1743" s="19">
        <f t="shared" si="220"/>
        <v>31139.91</v>
      </c>
      <c r="U1743" s="19">
        <f t="shared" si="221"/>
        <v>32866.829999999994</v>
      </c>
      <c r="V1743" s="21">
        <f t="shared" si="222"/>
        <v>1726.9199999999946</v>
      </c>
      <c r="W1743" s="18">
        <f t="shared" si="223"/>
        <v>5.5456807678634736E-2</v>
      </c>
    </row>
    <row r="1744" spans="1:23" x14ac:dyDescent="0.3">
      <c r="A1744" t="s">
        <v>1060</v>
      </c>
      <c r="B1744" t="s">
        <v>2205</v>
      </c>
      <c r="C1744" t="s">
        <v>16</v>
      </c>
      <c r="D1744" t="s">
        <v>17</v>
      </c>
      <c r="E1744">
        <v>2881</v>
      </c>
      <c r="F1744">
        <v>338.42</v>
      </c>
      <c r="G1744">
        <v>350.36</v>
      </c>
      <c r="H1744">
        <v>338.42</v>
      </c>
      <c r="I1744">
        <v>3646</v>
      </c>
      <c r="J1744">
        <v>23</v>
      </c>
      <c r="K1744" s="17">
        <f t="shared" si="217"/>
        <v>2795.2666666666664</v>
      </c>
      <c r="L1744" t="str">
        <f t="shared" si="218"/>
        <v>Sufficuent Stock</v>
      </c>
      <c r="P1744" s="19">
        <f t="shared" si="219"/>
        <v>0</v>
      </c>
      <c r="R1744" s="19">
        <f t="shared" si="216"/>
        <v>0</v>
      </c>
      <c r="T1744" s="19">
        <f t="shared" si="220"/>
        <v>1277412.56</v>
      </c>
      <c r="U1744" s="19">
        <f t="shared" si="221"/>
        <v>1233879.32</v>
      </c>
      <c r="V1744" s="21">
        <f t="shared" si="222"/>
        <v>-43533.239999999991</v>
      </c>
      <c r="W1744" s="18">
        <f t="shared" si="223"/>
        <v>-3.4079232789131171E-2</v>
      </c>
    </row>
    <row r="1745" spans="1:23" x14ac:dyDescent="0.3">
      <c r="A1745" t="s">
        <v>855</v>
      </c>
      <c r="B1745" t="s">
        <v>3343</v>
      </c>
      <c r="C1745" t="s">
        <v>37</v>
      </c>
      <c r="D1745" t="s">
        <v>69</v>
      </c>
      <c r="E1745">
        <v>2882</v>
      </c>
      <c r="F1745">
        <v>498.18</v>
      </c>
      <c r="G1745">
        <v>428.64</v>
      </c>
      <c r="H1745">
        <v>498.18</v>
      </c>
      <c r="I1745">
        <v>1700</v>
      </c>
      <c r="J1745">
        <v>7</v>
      </c>
      <c r="K1745" s="17">
        <f t="shared" si="217"/>
        <v>396.66666666666663</v>
      </c>
      <c r="L1745" t="str">
        <f t="shared" si="218"/>
        <v>Sufficuent Stock</v>
      </c>
      <c r="P1745" s="19">
        <f t="shared" si="219"/>
        <v>0</v>
      </c>
      <c r="R1745" s="19">
        <f t="shared" si="216"/>
        <v>0</v>
      </c>
      <c r="T1745" s="19">
        <f t="shared" si="220"/>
        <v>728688</v>
      </c>
      <c r="U1745" s="19">
        <f t="shared" si="221"/>
        <v>846906</v>
      </c>
      <c r="V1745" s="21">
        <f t="shared" si="222"/>
        <v>118218</v>
      </c>
      <c r="W1745" s="18">
        <f t="shared" si="223"/>
        <v>0.16223404255319149</v>
      </c>
    </row>
    <row r="1746" spans="1:23" x14ac:dyDescent="0.3">
      <c r="A1746" t="s">
        <v>63</v>
      </c>
      <c r="B1746" t="s">
        <v>64</v>
      </c>
      <c r="C1746" t="s">
        <v>23</v>
      </c>
      <c r="D1746" t="s">
        <v>20</v>
      </c>
      <c r="E1746">
        <v>2883</v>
      </c>
      <c r="F1746">
        <v>543.91999999999996</v>
      </c>
      <c r="G1746">
        <v>468.61</v>
      </c>
      <c r="H1746">
        <v>543.91999999999996</v>
      </c>
      <c r="I1746">
        <v>1990</v>
      </c>
      <c r="J1746">
        <v>24</v>
      </c>
      <c r="K1746" s="17">
        <f t="shared" si="217"/>
        <v>1592</v>
      </c>
      <c r="L1746" t="str">
        <f t="shared" si="218"/>
        <v>Sufficuent Stock</v>
      </c>
      <c r="P1746" s="19">
        <f t="shared" si="219"/>
        <v>0</v>
      </c>
      <c r="R1746" s="19">
        <f t="shared" si="216"/>
        <v>0</v>
      </c>
      <c r="T1746" s="19">
        <f t="shared" si="220"/>
        <v>932533.9</v>
      </c>
      <c r="U1746" s="19">
        <f t="shared" si="221"/>
        <v>1082400.7999999998</v>
      </c>
      <c r="V1746" s="21">
        <f t="shared" si="222"/>
        <v>149866.89999999979</v>
      </c>
      <c r="W1746" s="18">
        <f t="shared" si="223"/>
        <v>0.16070933185378011</v>
      </c>
    </row>
    <row r="1747" spans="1:23" x14ac:dyDescent="0.3">
      <c r="A1747" t="s">
        <v>354</v>
      </c>
      <c r="B1747" t="s">
        <v>1869</v>
      </c>
      <c r="C1747" t="s">
        <v>23</v>
      </c>
      <c r="D1747" t="s">
        <v>17</v>
      </c>
      <c r="E1747">
        <v>2883</v>
      </c>
      <c r="F1747">
        <v>26.29</v>
      </c>
      <c r="G1747">
        <v>26.78</v>
      </c>
      <c r="H1747">
        <v>26.29</v>
      </c>
      <c r="I1747">
        <v>2779</v>
      </c>
      <c r="J1747">
        <v>68</v>
      </c>
      <c r="K1747" s="17">
        <f t="shared" si="217"/>
        <v>6299.0666666666675</v>
      </c>
      <c r="L1747" t="str">
        <f t="shared" si="218"/>
        <v>High Risk</v>
      </c>
      <c r="P1747" s="19">
        <f t="shared" si="219"/>
        <v>3417</v>
      </c>
      <c r="R1747" s="19">
        <f t="shared" si="216"/>
        <v>89832.93</v>
      </c>
      <c r="T1747" s="19">
        <f t="shared" si="220"/>
        <v>74421.62000000001</v>
      </c>
      <c r="U1747" s="19">
        <f t="shared" si="221"/>
        <v>73059.91</v>
      </c>
      <c r="V1747" s="21">
        <f t="shared" si="222"/>
        <v>-1361.7100000000064</v>
      </c>
      <c r="W1747" s="18">
        <f t="shared" si="223"/>
        <v>-1.829723674383877E-2</v>
      </c>
    </row>
    <row r="1748" spans="1:23" x14ac:dyDescent="0.3">
      <c r="A1748" t="s">
        <v>620</v>
      </c>
      <c r="B1748" t="s">
        <v>1111</v>
      </c>
      <c r="C1748" t="s">
        <v>23</v>
      </c>
      <c r="D1748" t="s">
        <v>26</v>
      </c>
      <c r="E1748">
        <v>2884</v>
      </c>
      <c r="F1748">
        <v>342.01</v>
      </c>
      <c r="G1748">
        <v>304.98</v>
      </c>
      <c r="H1748">
        <v>342.01</v>
      </c>
      <c r="I1748">
        <v>2477</v>
      </c>
      <c r="J1748">
        <v>8</v>
      </c>
      <c r="K1748" s="17">
        <f t="shared" si="217"/>
        <v>660.5333333333333</v>
      </c>
      <c r="L1748" t="str">
        <f t="shared" si="218"/>
        <v>Sufficuent Stock</v>
      </c>
      <c r="P1748" s="19">
        <f t="shared" si="219"/>
        <v>0</v>
      </c>
      <c r="R1748" s="19">
        <f t="shared" si="216"/>
        <v>0</v>
      </c>
      <c r="T1748" s="19">
        <f t="shared" si="220"/>
        <v>755435.46000000008</v>
      </c>
      <c r="U1748" s="19">
        <f t="shared" si="221"/>
        <v>847158.77</v>
      </c>
      <c r="V1748" s="21">
        <f t="shared" si="222"/>
        <v>91723.309999999939</v>
      </c>
      <c r="W1748" s="18">
        <f t="shared" si="223"/>
        <v>0.12141779788838603</v>
      </c>
    </row>
    <row r="1749" spans="1:23" x14ac:dyDescent="0.3">
      <c r="A1749" t="s">
        <v>352</v>
      </c>
      <c r="B1749" t="s">
        <v>1451</v>
      </c>
      <c r="C1749" t="s">
        <v>23</v>
      </c>
      <c r="D1749" t="s">
        <v>69</v>
      </c>
      <c r="E1749">
        <v>2884</v>
      </c>
      <c r="F1749">
        <v>384.5</v>
      </c>
      <c r="G1749">
        <v>383.19</v>
      </c>
      <c r="H1749">
        <v>384.5</v>
      </c>
      <c r="I1749">
        <v>3091</v>
      </c>
      <c r="J1749">
        <v>27</v>
      </c>
      <c r="K1749" s="17">
        <f t="shared" si="217"/>
        <v>2781.9</v>
      </c>
      <c r="L1749" t="str">
        <f t="shared" si="218"/>
        <v>Sufficuent Stock</v>
      </c>
      <c r="P1749" s="19">
        <f t="shared" si="219"/>
        <v>0</v>
      </c>
      <c r="R1749" s="19">
        <f t="shared" si="216"/>
        <v>0</v>
      </c>
      <c r="T1749" s="19">
        <f t="shared" si="220"/>
        <v>1184440.29</v>
      </c>
      <c r="U1749" s="19">
        <f t="shared" si="221"/>
        <v>1188489.5</v>
      </c>
      <c r="V1749" s="21">
        <f t="shared" si="222"/>
        <v>4049.2099999999627</v>
      </c>
      <c r="W1749" s="18">
        <f t="shared" si="223"/>
        <v>3.4186695894986505E-3</v>
      </c>
    </row>
    <row r="1750" spans="1:23" x14ac:dyDescent="0.3">
      <c r="A1750" t="s">
        <v>1163</v>
      </c>
      <c r="B1750" t="s">
        <v>2249</v>
      </c>
      <c r="C1750" t="s">
        <v>50</v>
      </c>
      <c r="D1750" t="s">
        <v>26</v>
      </c>
      <c r="E1750">
        <v>2890</v>
      </c>
      <c r="F1750">
        <v>201.14</v>
      </c>
      <c r="G1750">
        <v>194.66</v>
      </c>
      <c r="H1750">
        <v>201.14</v>
      </c>
      <c r="I1750">
        <v>90</v>
      </c>
      <c r="J1750">
        <v>61</v>
      </c>
      <c r="K1750" s="17">
        <f t="shared" si="217"/>
        <v>183</v>
      </c>
      <c r="L1750" t="str">
        <f t="shared" si="218"/>
        <v>Sufficuent Stock</v>
      </c>
      <c r="P1750" s="19">
        <f t="shared" si="219"/>
        <v>0</v>
      </c>
      <c r="R1750" s="19">
        <f t="shared" si="216"/>
        <v>0</v>
      </c>
      <c r="T1750" s="19">
        <f t="shared" si="220"/>
        <v>17519.400000000001</v>
      </c>
      <c r="U1750" s="19">
        <f t="shared" si="221"/>
        <v>18102.599999999999</v>
      </c>
      <c r="V1750" s="21">
        <f t="shared" si="222"/>
        <v>583.19999999999709</v>
      </c>
      <c r="W1750" s="18">
        <f t="shared" si="223"/>
        <v>3.328881126065944E-2</v>
      </c>
    </row>
    <row r="1751" spans="1:23" x14ac:dyDescent="0.3">
      <c r="A1751" t="s">
        <v>442</v>
      </c>
      <c r="B1751" t="s">
        <v>656</v>
      </c>
      <c r="C1751" t="s">
        <v>16</v>
      </c>
      <c r="D1751" t="s">
        <v>17</v>
      </c>
      <c r="E1751">
        <v>2891</v>
      </c>
      <c r="F1751">
        <v>379.44</v>
      </c>
      <c r="G1751">
        <v>321.45999999999998</v>
      </c>
      <c r="H1751">
        <v>379.44</v>
      </c>
      <c r="I1751">
        <v>3629</v>
      </c>
      <c r="J1751">
        <v>55</v>
      </c>
      <c r="K1751" s="17">
        <f t="shared" si="217"/>
        <v>6653.166666666667</v>
      </c>
      <c r="L1751" t="str">
        <f t="shared" si="218"/>
        <v>High Risk</v>
      </c>
      <c r="P1751" s="19">
        <f t="shared" si="219"/>
        <v>3763</v>
      </c>
      <c r="R1751" s="19">
        <f t="shared" si="216"/>
        <v>1427832.72</v>
      </c>
      <c r="T1751" s="19">
        <f t="shared" si="220"/>
        <v>1166578.3399999999</v>
      </c>
      <c r="U1751" s="19">
        <f t="shared" si="221"/>
        <v>1376987.76</v>
      </c>
      <c r="V1751" s="21">
        <f t="shared" si="222"/>
        <v>210409.42000000016</v>
      </c>
      <c r="W1751" s="18">
        <f t="shared" si="223"/>
        <v>0.1803645865737574</v>
      </c>
    </row>
    <row r="1752" spans="1:23" x14ac:dyDescent="0.3">
      <c r="A1752" t="s">
        <v>831</v>
      </c>
      <c r="B1752" t="s">
        <v>1217</v>
      </c>
      <c r="C1752" t="s">
        <v>37</v>
      </c>
      <c r="D1752" t="s">
        <v>17</v>
      </c>
      <c r="E1752">
        <v>2891</v>
      </c>
      <c r="F1752">
        <v>203.99</v>
      </c>
      <c r="G1752">
        <v>173.59</v>
      </c>
      <c r="H1752">
        <v>203.99</v>
      </c>
      <c r="I1752">
        <v>1696</v>
      </c>
      <c r="J1752">
        <v>74</v>
      </c>
      <c r="K1752" s="17">
        <f t="shared" si="217"/>
        <v>4183.4666666666662</v>
      </c>
      <c r="L1752" t="str">
        <f t="shared" si="218"/>
        <v>High Risk</v>
      </c>
      <c r="P1752" s="19">
        <f t="shared" si="219"/>
        <v>1293</v>
      </c>
      <c r="R1752" s="19">
        <f t="shared" si="216"/>
        <v>263759.07</v>
      </c>
      <c r="T1752" s="19">
        <f t="shared" si="220"/>
        <v>294408.64</v>
      </c>
      <c r="U1752" s="19">
        <f t="shared" si="221"/>
        <v>345967.04000000004</v>
      </c>
      <c r="V1752" s="21">
        <f t="shared" si="222"/>
        <v>51558.400000000023</v>
      </c>
      <c r="W1752" s="18">
        <f t="shared" si="223"/>
        <v>0.17512529523590076</v>
      </c>
    </row>
    <row r="1753" spans="1:23" x14ac:dyDescent="0.3">
      <c r="A1753" t="s">
        <v>80</v>
      </c>
      <c r="B1753" t="s">
        <v>1936</v>
      </c>
      <c r="C1753" t="s">
        <v>12</v>
      </c>
      <c r="D1753" t="s">
        <v>17</v>
      </c>
      <c r="E1753">
        <v>2894</v>
      </c>
      <c r="F1753">
        <v>245.73</v>
      </c>
      <c r="G1753">
        <v>235.43</v>
      </c>
      <c r="H1753">
        <v>245.73</v>
      </c>
      <c r="I1753">
        <v>656</v>
      </c>
      <c r="J1753">
        <v>11</v>
      </c>
      <c r="K1753" s="17">
        <f t="shared" si="217"/>
        <v>240.53333333333333</v>
      </c>
      <c r="L1753" t="str">
        <f t="shared" si="218"/>
        <v>Sufficuent Stock</v>
      </c>
      <c r="P1753" s="19">
        <f t="shared" si="219"/>
        <v>0</v>
      </c>
      <c r="R1753" s="19">
        <f t="shared" si="216"/>
        <v>0</v>
      </c>
      <c r="T1753" s="19">
        <f t="shared" si="220"/>
        <v>154442.08000000002</v>
      </c>
      <c r="U1753" s="19">
        <f t="shared" si="221"/>
        <v>161198.88</v>
      </c>
      <c r="V1753" s="21">
        <f t="shared" si="222"/>
        <v>6756.7999999999884</v>
      </c>
      <c r="W1753" s="18">
        <f t="shared" si="223"/>
        <v>4.3749734528309818E-2</v>
      </c>
    </row>
    <row r="1754" spans="1:23" x14ac:dyDescent="0.3">
      <c r="A1754" t="s">
        <v>266</v>
      </c>
      <c r="B1754" t="s">
        <v>564</v>
      </c>
      <c r="C1754" t="s">
        <v>23</v>
      </c>
      <c r="D1754" t="s">
        <v>69</v>
      </c>
      <c r="E1754">
        <v>2900</v>
      </c>
      <c r="F1754">
        <v>108.02</v>
      </c>
      <c r="G1754">
        <v>95.64</v>
      </c>
      <c r="H1754">
        <v>108.02</v>
      </c>
      <c r="I1754">
        <v>3606</v>
      </c>
      <c r="J1754">
        <v>59</v>
      </c>
      <c r="K1754" s="17">
        <f t="shared" si="217"/>
        <v>7091.8</v>
      </c>
      <c r="L1754" t="str">
        <f t="shared" si="218"/>
        <v>High Risk</v>
      </c>
      <c r="P1754" s="19">
        <f t="shared" si="219"/>
        <v>4192</v>
      </c>
      <c r="R1754" s="19">
        <f t="shared" si="216"/>
        <v>452819.83999999997</v>
      </c>
      <c r="T1754" s="19">
        <f t="shared" si="220"/>
        <v>344877.84</v>
      </c>
      <c r="U1754" s="19">
        <f t="shared" si="221"/>
        <v>389520.12</v>
      </c>
      <c r="V1754" s="21">
        <f t="shared" si="222"/>
        <v>44642.27999999997</v>
      </c>
      <c r="W1754" s="18">
        <f t="shared" si="223"/>
        <v>0.12944374738603084</v>
      </c>
    </row>
    <row r="1755" spans="1:23" x14ac:dyDescent="0.3">
      <c r="A1755" t="s">
        <v>125</v>
      </c>
      <c r="B1755" t="s">
        <v>3134</v>
      </c>
      <c r="C1755" t="s">
        <v>23</v>
      </c>
      <c r="D1755" t="s">
        <v>26</v>
      </c>
      <c r="E1755">
        <v>2901</v>
      </c>
      <c r="F1755">
        <v>323.72000000000003</v>
      </c>
      <c r="G1755">
        <v>283.51</v>
      </c>
      <c r="H1755">
        <v>323.72000000000003</v>
      </c>
      <c r="I1755">
        <v>3662</v>
      </c>
      <c r="J1755">
        <v>70</v>
      </c>
      <c r="K1755" s="17">
        <f t="shared" si="217"/>
        <v>8544.6666666666661</v>
      </c>
      <c r="L1755" t="str">
        <f t="shared" si="218"/>
        <v>High Risk</v>
      </c>
      <c r="P1755" s="19">
        <f t="shared" si="219"/>
        <v>5644</v>
      </c>
      <c r="R1755" s="19">
        <f t="shared" si="216"/>
        <v>1827075.6800000002</v>
      </c>
      <c r="T1755" s="19">
        <f t="shared" si="220"/>
        <v>1038213.62</v>
      </c>
      <c r="U1755" s="19">
        <f t="shared" si="221"/>
        <v>1185462.6400000001</v>
      </c>
      <c r="V1755" s="21">
        <f t="shared" si="222"/>
        <v>147249.02000000014</v>
      </c>
      <c r="W1755" s="18">
        <f t="shared" si="223"/>
        <v>0.14182921237346138</v>
      </c>
    </row>
    <row r="1756" spans="1:23" x14ac:dyDescent="0.3">
      <c r="A1756" t="s">
        <v>1481</v>
      </c>
      <c r="B1756" t="s">
        <v>3260</v>
      </c>
      <c r="C1756" t="s">
        <v>50</v>
      </c>
      <c r="D1756" t="s">
        <v>26</v>
      </c>
      <c r="E1756">
        <v>2901</v>
      </c>
      <c r="F1756">
        <v>317.77999999999997</v>
      </c>
      <c r="G1756">
        <v>264.83999999999997</v>
      </c>
      <c r="H1756">
        <v>317.77999999999997</v>
      </c>
      <c r="I1756">
        <v>1974</v>
      </c>
      <c r="J1756">
        <v>22</v>
      </c>
      <c r="K1756" s="17">
        <f t="shared" si="217"/>
        <v>1447.6</v>
      </c>
      <c r="L1756" t="str">
        <f t="shared" si="218"/>
        <v>Sufficuent Stock</v>
      </c>
      <c r="P1756" s="19">
        <f t="shared" si="219"/>
        <v>0</v>
      </c>
      <c r="R1756" s="19">
        <f t="shared" si="216"/>
        <v>0</v>
      </c>
      <c r="T1756" s="19">
        <f t="shared" si="220"/>
        <v>522794.16</v>
      </c>
      <c r="U1756" s="19">
        <f t="shared" si="221"/>
        <v>627297.72</v>
      </c>
      <c r="V1756" s="21">
        <f t="shared" si="222"/>
        <v>104503.56</v>
      </c>
      <c r="W1756" s="18">
        <f t="shared" si="223"/>
        <v>0.19989427578915572</v>
      </c>
    </row>
    <row r="1757" spans="1:23" x14ac:dyDescent="0.3">
      <c r="A1757" t="s">
        <v>42</v>
      </c>
      <c r="B1757" t="s">
        <v>1364</v>
      </c>
      <c r="C1757" t="s">
        <v>37</v>
      </c>
      <c r="D1757" t="s">
        <v>17</v>
      </c>
      <c r="E1757">
        <v>2902</v>
      </c>
      <c r="F1757">
        <v>30.33</v>
      </c>
      <c r="G1757">
        <v>33.159999999999997</v>
      </c>
      <c r="H1757">
        <v>30.33</v>
      </c>
      <c r="I1757">
        <v>2346</v>
      </c>
      <c r="J1757">
        <v>88</v>
      </c>
      <c r="K1757" s="17">
        <f t="shared" si="217"/>
        <v>6881.6</v>
      </c>
      <c r="L1757" t="str">
        <f t="shared" si="218"/>
        <v>High Risk</v>
      </c>
      <c r="P1757" s="19">
        <f t="shared" si="219"/>
        <v>3980</v>
      </c>
      <c r="R1757" s="19">
        <f t="shared" si="216"/>
        <v>120713.4</v>
      </c>
      <c r="T1757" s="19">
        <f t="shared" si="220"/>
        <v>77793.359999999986</v>
      </c>
      <c r="U1757" s="19">
        <f t="shared" si="221"/>
        <v>71154.179999999993</v>
      </c>
      <c r="V1757" s="21">
        <f t="shared" si="222"/>
        <v>-6639.179999999993</v>
      </c>
      <c r="W1757" s="18">
        <f t="shared" si="223"/>
        <v>-8.5343787696019233E-2</v>
      </c>
    </row>
    <row r="1758" spans="1:23" x14ac:dyDescent="0.3">
      <c r="A1758" t="s">
        <v>1076</v>
      </c>
      <c r="B1758" t="s">
        <v>2473</v>
      </c>
      <c r="C1758" t="s">
        <v>23</v>
      </c>
      <c r="D1758" t="s">
        <v>26</v>
      </c>
      <c r="E1758">
        <v>2903</v>
      </c>
      <c r="F1758">
        <v>90.64</v>
      </c>
      <c r="G1758">
        <v>89.52</v>
      </c>
      <c r="H1758">
        <v>90.64</v>
      </c>
      <c r="I1758">
        <v>2025</v>
      </c>
      <c r="J1758">
        <v>79</v>
      </c>
      <c r="K1758" s="17">
        <f t="shared" si="217"/>
        <v>5332.5</v>
      </c>
      <c r="L1758" t="str">
        <f t="shared" si="218"/>
        <v>High Risk</v>
      </c>
      <c r="P1758" s="19">
        <f t="shared" si="219"/>
        <v>2430</v>
      </c>
      <c r="R1758" s="19">
        <f t="shared" si="216"/>
        <v>220255.2</v>
      </c>
      <c r="T1758" s="19">
        <f t="shared" si="220"/>
        <v>181278</v>
      </c>
      <c r="U1758" s="19">
        <f t="shared" si="221"/>
        <v>183546</v>
      </c>
      <c r="V1758" s="21">
        <f t="shared" si="222"/>
        <v>2268</v>
      </c>
      <c r="W1758" s="18">
        <f t="shared" si="223"/>
        <v>1.2511170688114389E-2</v>
      </c>
    </row>
    <row r="1759" spans="1:23" x14ac:dyDescent="0.3">
      <c r="A1759" t="s">
        <v>459</v>
      </c>
      <c r="B1759" t="s">
        <v>460</v>
      </c>
      <c r="C1759" t="s">
        <v>37</v>
      </c>
      <c r="D1759" t="s">
        <v>69</v>
      </c>
      <c r="E1759">
        <v>2904</v>
      </c>
      <c r="F1759">
        <v>124.13</v>
      </c>
      <c r="G1759">
        <v>136.59</v>
      </c>
      <c r="H1759">
        <v>124.13</v>
      </c>
      <c r="I1759">
        <v>993</v>
      </c>
      <c r="J1759">
        <v>52</v>
      </c>
      <c r="K1759" s="17">
        <f t="shared" si="217"/>
        <v>1721.2</v>
      </c>
      <c r="L1759" t="str">
        <f t="shared" si="218"/>
        <v>Sufficuent Stock</v>
      </c>
      <c r="P1759" s="19">
        <f t="shared" si="219"/>
        <v>0</v>
      </c>
      <c r="R1759" s="19">
        <f t="shared" si="216"/>
        <v>0</v>
      </c>
      <c r="T1759" s="19">
        <f t="shared" si="220"/>
        <v>135633.87</v>
      </c>
      <c r="U1759" s="19">
        <f t="shared" si="221"/>
        <v>123261.09</v>
      </c>
      <c r="V1759" s="21">
        <f t="shared" si="222"/>
        <v>-12372.779999999999</v>
      </c>
      <c r="W1759" s="18">
        <f t="shared" si="223"/>
        <v>-9.1221904971081333E-2</v>
      </c>
    </row>
    <row r="1760" spans="1:23" x14ac:dyDescent="0.3">
      <c r="A1760" t="s">
        <v>121</v>
      </c>
      <c r="B1760" t="s">
        <v>1367</v>
      </c>
      <c r="C1760" t="s">
        <v>16</v>
      </c>
      <c r="D1760" t="s">
        <v>26</v>
      </c>
      <c r="E1760">
        <v>2905</v>
      </c>
      <c r="F1760">
        <v>89.6</v>
      </c>
      <c r="G1760">
        <v>77.290000000000006</v>
      </c>
      <c r="H1760">
        <v>89.6</v>
      </c>
      <c r="I1760">
        <v>2252</v>
      </c>
      <c r="J1760">
        <v>50</v>
      </c>
      <c r="K1760" s="17">
        <f t="shared" si="217"/>
        <v>3753.333333333333</v>
      </c>
      <c r="L1760" t="str">
        <f t="shared" si="218"/>
        <v>High Risk</v>
      </c>
      <c r="P1760" s="19">
        <f t="shared" si="219"/>
        <v>849</v>
      </c>
      <c r="R1760" s="19">
        <f t="shared" si="216"/>
        <v>76070.399999999994</v>
      </c>
      <c r="T1760" s="19">
        <f t="shared" si="220"/>
        <v>174057.08000000002</v>
      </c>
      <c r="U1760" s="19">
        <f t="shared" si="221"/>
        <v>201779.19999999998</v>
      </c>
      <c r="V1760" s="21">
        <f t="shared" si="222"/>
        <v>27722.119999999966</v>
      </c>
      <c r="W1760" s="18">
        <f t="shared" si="223"/>
        <v>0.1592702807607709</v>
      </c>
    </row>
    <row r="1761" spans="1:23" x14ac:dyDescent="0.3">
      <c r="A1761" t="s">
        <v>549</v>
      </c>
      <c r="B1761" t="s">
        <v>1420</v>
      </c>
      <c r="C1761" t="s">
        <v>50</v>
      </c>
      <c r="D1761" t="s">
        <v>69</v>
      </c>
      <c r="E1761">
        <v>2906</v>
      </c>
      <c r="F1761">
        <v>97.29</v>
      </c>
      <c r="G1761">
        <v>98.95</v>
      </c>
      <c r="H1761">
        <v>97.29</v>
      </c>
      <c r="I1761">
        <v>581</v>
      </c>
      <c r="J1761">
        <v>8</v>
      </c>
      <c r="K1761" s="17">
        <f t="shared" si="217"/>
        <v>154.93333333333334</v>
      </c>
      <c r="L1761" t="str">
        <f t="shared" si="218"/>
        <v>Sufficuent Stock</v>
      </c>
      <c r="P1761" s="19">
        <f t="shared" si="219"/>
        <v>0</v>
      </c>
      <c r="R1761" s="19">
        <f t="shared" si="216"/>
        <v>0</v>
      </c>
      <c r="T1761" s="19">
        <f t="shared" si="220"/>
        <v>57489.950000000004</v>
      </c>
      <c r="U1761" s="19">
        <f t="shared" si="221"/>
        <v>56525.490000000005</v>
      </c>
      <c r="V1761" s="21">
        <f t="shared" si="222"/>
        <v>-964.45999999999913</v>
      </c>
      <c r="W1761" s="18">
        <f t="shared" si="223"/>
        <v>-1.6776149570490131E-2</v>
      </c>
    </row>
    <row r="1762" spans="1:23" x14ac:dyDescent="0.3">
      <c r="A1762" t="s">
        <v>157</v>
      </c>
      <c r="B1762" t="s">
        <v>2195</v>
      </c>
      <c r="C1762" t="s">
        <v>50</v>
      </c>
      <c r="D1762" t="s">
        <v>26</v>
      </c>
      <c r="E1762">
        <v>2908</v>
      </c>
      <c r="F1762">
        <v>224.07</v>
      </c>
      <c r="G1762">
        <v>244.55</v>
      </c>
      <c r="H1762">
        <v>224.07</v>
      </c>
      <c r="I1762">
        <v>3437</v>
      </c>
      <c r="J1762">
        <v>6</v>
      </c>
      <c r="K1762" s="17">
        <f t="shared" si="217"/>
        <v>687.4</v>
      </c>
      <c r="L1762" t="str">
        <f t="shared" si="218"/>
        <v>Sufficuent Stock</v>
      </c>
      <c r="P1762" s="19">
        <f t="shared" si="219"/>
        <v>0</v>
      </c>
      <c r="R1762" s="19">
        <f t="shared" si="216"/>
        <v>0</v>
      </c>
      <c r="T1762" s="19">
        <f t="shared" si="220"/>
        <v>840518.35000000009</v>
      </c>
      <c r="U1762" s="19">
        <f t="shared" si="221"/>
        <v>770128.59</v>
      </c>
      <c r="V1762" s="21">
        <f t="shared" si="222"/>
        <v>-70389.760000000126</v>
      </c>
      <c r="W1762" s="18">
        <f t="shared" si="223"/>
        <v>-8.3745655285217893E-2</v>
      </c>
    </row>
    <row r="1763" spans="1:23" x14ac:dyDescent="0.3">
      <c r="A1763" t="s">
        <v>180</v>
      </c>
      <c r="B1763" t="s">
        <v>1242</v>
      </c>
      <c r="C1763" t="s">
        <v>16</v>
      </c>
      <c r="D1763" t="s">
        <v>17</v>
      </c>
      <c r="E1763">
        <v>2908</v>
      </c>
      <c r="F1763">
        <v>236.61</v>
      </c>
      <c r="G1763">
        <v>244.25</v>
      </c>
      <c r="H1763">
        <v>236.61</v>
      </c>
      <c r="I1763">
        <v>2119</v>
      </c>
      <c r="J1763">
        <v>75</v>
      </c>
      <c r="K1763" s="17">
        <f t="shared" si="217"/>
        <v>5297.5000000000009</v>
      </c>
      <c r="L1763" t="str">
        <f t="shared" si="218"/>
        <v>High Risk</v>
      </c>
      <c r="P1763" s="19">
        <f t="shared" si="219"/>
        <v>2390</v>
      </c>
      <c r="R1763" s="19">
        <f t="shared" si="216"/>
        <v>565497.9</v>
      </c>
      <c r="T1763" s="19">
        <f t="shared" si="220"/>
        <v>517565.75</v>
      </c>
      <c r="U1763" s="19">
        <f t="shared" si="221"/>
        <v>501376.59</v>
      </c>
      <c r="V1763" s="21">
        <f t="shared" si="222"/>
        <v>-16189.159999999974</v>
      </c>
      <c r="W1763" s="18">
        <f t="shared" si="223"/>
        <v>-3.1279426816786034E-2</v>
      </c>
    </row>
    <row r="1764" spans="1:23" x14ac:dyDescent="0.3">
      <c r="A1764" t="s">
        <v>464</v>
      </c>
      <c r="B1764" t="s">
        <v>465</v>
      </c>
      <c r="C1764" t="s">
        <v>23</v>
      </c>
      <c r="D1764" t="s">
        <v>13</v>
      </c>
      <c r="E1764">
        <v>2908</v>
      </c>
      <c r="F1764">
        <v>337.95</v>
      </c>
      <c r="G1764">
        <v>282.7</v>
      </c>
      <c r="H1764">
        <v>337.95</v>
      </c>
      <c r="I1764">
        <v>1144</v>
      </c>
      <c r="J1764">
        <v>35</v>
      </c>
      <c r="K1764" s="17">
        <f t="shared" si="217"/>
        <v>1334.6666666666667</v>
      </c>
      <c r="L1764" t="str">
        <f t="shared" si="218"/>
        <v>Sufficuent Stock</v>
      </c>
      <c r="P1764" s="19">
        <f t="shared" si="219"/>
        <v>0</v>
      </c>
      <c r="R1764" s="19">
        <f t="shared" si="216"/>
        <v>0</v>
      </c>
      <c r="T1764" s="19">
        <f t="shared" si="220"/>
        <v>323408.8</v>
      </c>
      <c r="U1764" s="19">
        <f t="shared" si="221"/>
        <v>386614.8</v>
      </c>
      <c r="V1764" s="21">
        <f t="shared" si="222"/>
        <v>63206</v>
      </c>
      <c r="W1764" s="18">
        <f t="shared" si="223"/>
        <v>0.19543685886098339</v>
      </c>
    </row>
    <row r="1765" spans="1:23" x14ac:dyDescent="0.3">
      <c r="A1765" t="s">
        <v>275</v>
      </c>
      <c r="B1765" t="s">
        <v>2338</v>
      </c>
      <c r="C1765" t="s">
        <v>37</v>
      </c>
      <c r="D1765" t="s">
        <v>20</v>
      </c>
      <c r="E1765">
        <v>2908</v>
      </c>
      <c r="F1765">
        <v>411.08</v>
      </c>
      <c r="G1765">
        <v>445.17</v>
      </c>
      <c r="H1765">
        <v>411.08</v>
      </c>
      <c r="I1765">
        <v>3881</v>
      </c>
      <c r="J1765">
        <v>15</v>
      </c>
      <c r="K1765" s="17">
        <f t="shared" si="217"/>
        <v>1940.5</v>
      </c>
      <c r="L1765" t="str">
        <f t="shared" si="218"/>
        <v>Sufficuent Stock</v>
      </c>
      <c r="P1765" s="19">
        <f t="shared" si="219"/>
        <v>0</v>
      </c>
      <c r="R1765" s="19">
        <f t="shared" si="216"/>
        <v>0</v>
      </c>
      <c r="T1765" s="19">
        <f t="shared" si="220"/>
        <v>1727704.77</v>
      </c>
      <c r="U1765" s="19">
        <f t="shared" si="221"/>
        <v>1595401.48</v>
      </c>
      <c r="V1765" s="21">
        <f t="shared" si="222"/>
        <v>-132303.29000000004</v>
      </c>
      <c r="W1765" s="18">
        <f t="shared" si="223"/>
        <v>-7.6577487252061024E-2</v>
      </c>
    </row>
    <row r="1766" spans="1:23" x14ac:dyDescent="0.3">
      <c r="A1766" t="s">
        <v>286</v>
      </c>
      <c r="B1766" t="s">
        <v>1027</v>
      </c>
      <c r="C1766" t="s">
        <v>23</v>
      </c>
      <c r="D1766" t="s">
        <v>13</v>
      </c>
      <c r="E1766">
        <v>2910</v>
      </c>
      <c r="F1766">
        <v>485.27</v>
      </c>
      <c r="G1766">
        <v>455.64</v>
      </c>
      <c r="H1766">
        <v>485.27</v>
      </c>
      <c r="I1766">
        <v>1201</v>
      </c>
      <c r="J1766">
        <v>53</v>
      </c>
      <c r="K1766" s="17">
        <f t="shared" si="217"/>
        <v>2121.7666666666664</v>
      </c>
      <c r="L1766" t="str">
        <f t="shared" si="218"/>
        <v>Sufficuent Stock</v>
      </c>
      <c r="P1766" s="19">
        <f t="shared" si="219"/>
        <v>0</v>
      </c>
      <c r="R1766" s="19">
        <f t="shared" si="216"/>
        <v>0</v>
      </c>
      <c r="T1766" s="19">
        <f t="shared" si="220"/>
        <v>547223.64</v>
      </c>
      <c r="U1766" s="19">
        <f t="shared" si="221"/>
        <v>582809.27</v>
      </c>
      <c r="V1766" s="21">
        <f t="shared" si="222"/>
        <v>35585.630000000005</v>
      </c>
      <c r="W1766" s="18">
        <f t="shared" si="223"/>
        <v>6.5029409182688097E-2</v>
      </c>
    </row>
    <row r="1767" spans="1:23" x14ac:dyDescent="0.3">
      <c r="A1767" t="s">
        <v>374</v>
      </c>
      <c r="B1767" t="s">
        <v>653</v>
      </c>
      <c r="C1767" t="s">
        <v>23</v>
      </c>
      <c r="D1767" t="s">
        <v>69</v>
      </c>
      <c r="E1767">
        <v>2910</v>
      </c>
      <c r="F1767">
        <v>443.47</v>
      </c>
      <c r="G1767">
        <v>441.52</v>
      </c>
      <c r="H1767">
        <v>443.47</v>
      </c>
      <c r="I1767">
        <v>1247</v>
      </c>
      <c r="J1767">
        <v>28</v>
      </c>
      <c r="K1767" s="17">
        <f t="shared" si="217"/>
        <v>1163.8666666666668</v>
      </c>
      <c r="L1767" t="str">
        <f t="shared" si="218"/>
        <v>Sufficuent Stock</v>
      </c>
      <c r="P1767" s="19">
        <f t="shared" si="219"/>
        <v>0</v>
      </c>
      <c r="R1767" s="19">
        <f t="shared" si="216"/>
        <v>0</v>
      </c>
      <c r="T1767" s="19">
        <f t="shared" si="220"/>
        <v>550575.43999999994</v>
      </c>
      <c r="U1767" s="19">
        <f t="shared" si="221"/>
        <v>553007.09000000008</v>
      </c>
      <c r="V1767" s="21">
        <f t="shared" si="222"/>
        <v>2431.6500000001397</v>
      </c>
      <c r="W1767" s="18">
        <f t="shared" si="223"/>
        <v>4.4165609711906868E-3</v>
      </c>
    </row>
    <row r="1768" spans="1:23" x14ac:dyDescent="0.3">
      <c r="A1768" t="s">
        <v>590</v>
      </c>
      <c r="B1768" t="s">
        <v>2669</v>
      </c>
      <c r="C1768" t="s">
        <v>23</v>
      </c>
      <c r="D1768" t="s">
        <v>69</v>
      </c>
      <c r="E1768">
        <v>2911</v>
      </c>
      <c r="F1768">
        <v>412.7</v>
      </c>
      <c r="G1768">
        <v>420.03</v>
      </c>
      <c r="H1768">
        <v>412.7</v>
      </c>
      <c r="I1768">
        <v>1719</v>
      </c>
      <c r="J1768">
        <v>15</v>
      </c>
      <c r="K1768" s="17">
        <f t="shared" si="217"/>
        <v>859.5</v>
      </c>
      <c r="L1768" t="str">
        <f t="shared" si="218"/>
        <v>Sufficuent Stock</v>
      </c>
      <c r="P1768" s="19">
        <f t="shared" si="219"/>
        <v>0</v>
      </c>
      <c r="R1768" s="19">
        <f t="shared" si="216"/>
        <v>0</v>
      </c>
      <c r="T1768" s="19">
        <f t="shared" si="220"/>
        <v>722031.57</v>
      </c>
      <c r="U1768" s="19">
        <f t="shared" si="221"/>
        <v>709431.29999999993</v>
      </c>
      <c r="V1768" s="21">
        <f t="shared" si="222"/>
        <v>-12600.270000000019</v>
      </c>
      <c r="W1768" s="18">
        <f t="shared" si="223"/>
        <v>-1.7451134442777926E-2</v>
      </c>
    </row>
    <row r="1769" spans="1:23" x14ac:dyDescent="0.3">
      <c r="A1769" t="s">
        <v>199</v>
      </c>
      <c r="B1769" t="s">
        <v>2304</v>
      </c>
      <c r="C1769" t="s">
        <v>16</v>
      </c>
      <c r="D1769" t="s">
        <v>20</v>
      </c>
      <c r="E1769">
        <v>2912</v>
      </c>
      <c r="F1769">
        <v>425.61</v>
      </c>
      <c r="G1769">
        <v>394.46</v>
      </c>
      <c r="H1769">
        <v>425.61</v>
      </c>
      <c r="I1769">
        <v>469</v>
      </c>
      <c r="J1769">
        <v>84</v>
      </c>
      <c r="K1769" s="17">
        <f t="shared" si="217"/>
        <v>1313.2</v>
      </c>
      <c r="L1769" t="str">
        <f t="shared" si="218"/>
        <v>Sufficuent Stock</v>
      </c>
      <c r="P1769" s="19">
        <f t="shared" si="219"/>
        <v>0</v>
      </c>
      <c r="R1769" s="19">
        <f t="shared" si="216"/>
        <v>0</v>
      </c>
      <c r="T1769" s="19">
        <f t="shared" si="220"/>
        <v>185001.74</v>
      </c>
      <c r="U1769" s="19">
        <f t="shared" si="221"/>
        <v>199611.09</v>
      </c>
      <c r="V1769" s="21">
        <f t="shared" si="222"/>
        <v>14609.350000000006</v>
      </c>
      <c r="W1769" s="18">
        <f t="shared" si="223"/>
        <v>7.8968716726664334E-2</v>
      </c>
    </row>
    <row r="1770" spans="1:23" x14ac:dyDescent="0.3">
      <c r="A1770" t="s">
        <v>434</v>
      </c>
      <c r="B1770" t="s">
        <v>2728</v>
      </c>
      <c r="C1770" t="s">
        <v>37</v>
      </c>
      <c r="D1770" t="s">
        <v>13</v>
      </c>
      <c r="E1770">
        <v>2913</v>
      </c>
      <c r="F1770">
        <v>25.91</v>
      </c>
      <c r="G1770">
        <v>25.76</v>
      </c>
      <c r="H1770">
        <v>25.91</v>
      </c>
      <c r="I1770">
        <v>841</v>
      </c>
      <c r="J1770">
        <v>44</v>
      </c>
      <c r="K1770" s="17">
        <f t="shared" si="217"/>
        <v>1233.4666666666667</v>
      </c>
      <c r="L1770" t="str">
        <f t="shared" si="218"/>
        <v>Sufficuent Stock</v>
      </c>
      <c r="P1770" s="19">
        <f t="shared" si="219"/>
        <v>0</v>
      </c>
      <c r="R1770" s="19">
        <f t="shared" si="216"/>
        <v>0</v>
      </c>
      <c r="T1770" s="19">
        <f t="shared" si="220"/>
        <v>21664.16</v>
      </c>
      <c r="U1770" s="19">
        <f t="shared" si="221"/>
        <v>21790.31</v>
      </c>
      <c r="V1770" s="21">
        <f t="shared" si="222"/>
        <v>126.15000000000146</v>
      </c>
      <c r="W1770" s="18">
        <f t="shared" si="223"/>
        <v>5.8229813664596947E-3</v>
      </c>
    </row>
    <row r="1771" spans="1:23" x14ac:dyDescent="0.3">
      <c r="A1771" t="s">
        <v>541</v>
      </c>
      <c r="B1771" t="s">
        <v>1603</v>
      </c>
      <c r="C1771" t="s">
        <v>16</v>
      </c>
      <c r="D1771" t="s">
        <v>17</v>
      </c>
      <c r="E1771">
        <v>2913</v>
      </c>
      <c r="F1771">
        <v>32.229999999999997</v>
      </c>
      <c r="G1771">
        <v>31.85</v>
      </c>
      <c r="H1771">
        <v>32.229999999999997</v>
      </c>
      <c r="I1771">
        <v>1059</v>
      </c>
      <c r="J1771">
        <v>46</v>
      </c>
      <c r="K1771" s="17">
        <f t="shared" si="217"/>
        <v>1623.8</v>
      </c>
      <c r="L1771" t="str">
        <f t="shared" si="218"/>
        <v>Sufficuent Stock</v>
      </c>
      <c r="P1771" s="19">
        <f t="shared" si="219"/>
        <v>0</v>
      </c>
      <c r="R1771" s="19">
        <f t="shared" si="216"/>
        <v>0</v>
      </c>
      <c r="T1771" s="19">
        <f t="shared" si="220"/>
        <v>33729.15</v>
      </c>
      <c r="U1771" s="19">
        <f t="shared" si="221"/>
        <v>34131.57</v>
      </c>
      <c r="V1771" s="21">
        <f t="shared" si="222"/>
        <v>402.41999999999825</v>
      </c>
      <c r="W1771" s="18">
        <f t="shared" si="223"/>
        <v>1.193092621664045E-2</v>
      </c>
    </row>
    <row r="1772" spans="1:23" x14ac:dyDescent="0.3">
      <c r="A1772" t="s">
        <v>360</v>
      </c>
      <c r="B1772" t="s">
        <v>2964</v>
      </c>
      <c r="C1772" t="s">
        <v>16</v>
      </c>
      <c r="D1772" t="s">
        <v>69</v>
      </c>
      <c r="E1772">
        <v>2915</v>
      </c>
      <c r="F1772">
        <v>424.56</v>
      </c>
      <c r="G1772">
        <v>379.84</v>
      </c>
      <c r="H1772">
        <v>424.56</v>
      </c>
      <c r="I1772">
        <v>2043</v>
      </c>
      <c r="J1772">
        <v>74</v>
      </c>
      <c r="K1772" s="17">
        <f t="shared" si="217"/>
        <v>5039.3999999999996</v>
      </c>
      <c r="L1772" t="str">
        <f t="shared" si="218"/>
        <v>High Risk</v>
      </c>
      <c r="P1772" s="19">
        <f t="shared" si="219"/>
        <v>2125</v>
      </c>
      <c r="R1772" s="19">
        <f t="shared" si="216"/>
        <v>902190</v>
      </c>
      <c r="T1772" s="19">
        <f t="shared" si="220"/>
        <v>776013.12</v>
      </c>
      <c r="U1772" s="19">
        <f t="shared" si="221"/>
        <v>867376.08</v>
      </c>
      <c r="V1772" s="21">
        <f t="shared" si="222"/>
        <v>91362.959999999963</v>
      </c>
      <c r="W1772" s="18">
        <f t="shared" si="223"/>
        <v>0.1177337826453243</v>
      </c>
    </row>
    <row r="1773" spans="1:23" x14ac:dyDescent="0.3">
      <c r="A1773" t="s">
        <v>801</v>
      </c>
      <c r="B1773" t="s">
        <v>3084</v>
      </c>
      <c r="C1773" t="s">
        <v>23</v>
      </c>
      <c r="D1773" t="s">
        <v>20</v>
      </c>
      <c r="E1773">
        <v>2915</v>
      </c>
      <c r="F1773">
        <v>549.27</v>
      </c>
      <c r="G1773">
        <v>472.77</v>
      </c>
      <c r="H1773">
        <v>549.27</v>
      </c>
      <c r="I1773">
        <v>2742</v>
      </c>
      <c r="J1773">
        <v>44</v>
      </c>
      <c r="K1773" s="17">
        <f t="shared" si="217"/>
        <v>4021.6000000000004</v>
      </c>
      <c r="L1773" t="str">
        <f t="shared" si="218"/>
        <v>High Risk</v>
      </c>
      <c r="P1773" s="19">
        <f t="shared" si="219"/>
        <v>1107</v>
      </c>
      <c r="R1773" s="19">
        <f t="shared" si="216"/>
        <v>608041.89</v>
      </c>
      <c r="T1773" s="19">
        <f t="shared" si="220"/>
        <v>1296335.3399999999</v>
      </c>
      <c r="U1773" s="19">
        <f t="shared" si="221"/>
        <v>1506098.3399999999</v>
      </c>
      <c r="V1773" s="21">
        <f t="shared" si="222"/>
        <v>209763</v>
      </c>
      <c r="W1773" s="18">
        <f t="shared" si="223"/>
        <v>0.16181229773462785</v>
      </c>
    </row>
    <row r="1774" spans="1:23" x14ac:dyDescent="0.3">
      <c r="A1774" t="s">
        <v>927</v>
      </c>
      <c r="B1774" t="s">
        <v>1585</v>
      </c>
      <c r="C1774" t="s">
        <v>50</v>
      </c>
      <c r="D1774" t="s">
        <v>26</v>
      </c>
      <c r="E1774">
        <v>2917</v>
      </c>
      <c r="F1774">
        <v>117.14</v>
      </c>
      <c r="G1774">
        <v>115.14</v>
      </c>
      <c r="H1774">
        <v>117.14</v>
      </c>
      <c r="I1774">
        <v>3261</v>
      </c>
      <c r="J1774">
        <v>55</v>
      </c>
      <c r="K1774" s="17">
        <f t="shared" si="217"/>
        <v>5978.5</v>
      </c>
      <c r="L1774" t="str">
        <f t="shared" si="218"/>
        <v>High Risk</v>
      </c>
      <c r="P1774" s="19">
        <f t="shared" si="219"/>
        <v>3062</v>
      </c>
      <c r="R1774" s="19">
        <f t="shared" si="216"/>
        <v>358682.68</v>
      </c>
      <c r="T1774" s="19">
        <f t="shared" si="220"/>
        <v>375471.54</v>
      </c>
      <c r="U1774" s="19">
        <f t="shared" si="221"/>
        <v>381993.54</v>
      </c>
      <c r="V1774" s="21">
        <f t="shared" si="222"/>
        <v>6522</v>
      </c>
      <c r="W1774" s="18">
        <f t="shared" si="223"/>
        <v>1.7370158068438425E-2</v>
      </c>
    </row>
    <row r="1775" spans="1:23" x14ac:dyDescent="0.3">
      <c r="A1775" t="s">
        <v>385</v>
      </c>
      <c r="B1775" t="s">
        <v>3041</v>
      </c>
      <c r="C1775" t="s">
        <v>37</v>
      </c>
      <c r="D1775" t="s">
        <v>13</v>
      </c>
      <c r="E1775">
        <v>2921</v>
      </c>
      <c r="F1775">
        <v>529.07000000000005</v>
      </c>
      <c r="G1775">
        <v>492.5</v>
      </c>
      <c r="H1775">
        <v>529.07000000000005</v>
      </c>
      <c r="I1775">
        <v>3854</v>
      </c>
      <c r="J1775">
        <v>28</v>
      </c>
      <c r="K1775" s="17">
        <f t="shared" si="217"/>
        <v>3597.0666666666666</v>
      </c>
      <c r="L1775" t="str">
        <f t="shared" si="218"/>
        <v>High Risk</v>
      </c>
      <c r="P1775" s="19">
        <f t="shared" si="219"/>
        <v>677</v>
      </c>
      <c r="R1775" s="19">
        <f t="shared" si="216"/>
        <v>358180.39</v>
      </c>
      <c r="T1775" s="19">
        <f t="shared" si="220"/>
        <v>1898095</v>
      </c>
      <c r="U1775" s="19">
        <f t="shared" si="221"/>
        <v>2039035.7800000003</v>
      </c>
      <c r="V1775" s="21">
        <f t="shared" si="222"/>
        <v>140940.78000000026</v>
      </c>
      <c r="W1775" s="18">
        <f t="shared" si="223"/>
        <v>7.4253807106599123E-2</v>
      </c>
    </row>
    <row r="1776" spans="1:23" x14ac:dyDescent="0.3">
      <c r="A1776" t="s">
        <v>335</v>
      </c>
      <c r="B1776" t="s">
        <v>2437</v>
      </c>
      <c r="C1776" t="s">
        <v>16</v>
      </c>
      <c r="D1776" t="s">
        <v>17</v>
      </c>
      <c r="E1776">
        <v>2921</v>
      </c>
      <c r="F1776">
        <v>416.38</v>
      </c>
      <c r="G1776">
        <v>380.1</v>
      </c>
      <c r="H1776">
        <v>416.38</v>
      </c>
      <c r="I1776">
        <v>3544</v>
      </c>
      <c r="J1776">
        <v>70</v>
      </c>
      <c r="K1776" s="17">
        <f t="shared" si="217"/>
        <v>8269.3333333333339</v>
      </c>
      <c r="L1776" t="str">
        <f t="shared" si="218"/>
        <v>High Risk</v>
      </c>
      <c r="P1776" s="19">
        <f t="shared" si="219"/>
        <v>5349</v>
      </c>
      <c r="R1776" s="19">
        <f t="shared" si="216"/>
        <v>2227216.62</v>
      </c>
      <c r="T1776" s="19">
        <f t="shared" si="220"/>
        <v>1347074.4000000001</v>
      </c>
      <c r="U1776" s="19">
        <f t="shared" si="221"/>
        <v>1475650.72</v>
      </c>
      <c r="V1776" s="21">
        <f t="shared" si="222"/>
        <v>128576.31999999983</v>
      </c>
      <c r="W1776" s="18">
        <f t="shared" si="223"/>
        <v>9.5448566166798074E-2</v>
      </c>
    </row>
    <row r="1777" spans="1:23" x14ac:dyDescent="0.3">
      <c r="A1777" t="s">
        <v>673</v>
      </c>
      <c r="B1777" t="s">
        <v>1378</v>
      </c>
      <c r="C1777" t="s">
        <v>16</v>
      </c>
      <c r="D1777" t="s">
        <v>17</v>
      </c>
      <c r="E1777">
        <v>2922</v>
      </c>
      <c r="F1777">
        <v>157.46</v>
      </c>
      <c r="G1777">
        <v>159.62</v>
      </c>
      <c r="H1777">
        <v>157.46</v>
      </c>
      <c r="I1777">
        <v>1217</v>
      </c>
      <c r="J1777">
        <v>72</v>
      </c>
      <c r="K1777" s="17">
        <f t="shared" si="217"/>
        <v>2920.8</v>
      </c>
      <c r="L1777" t="str">
        <f t="shared" si="218"/>
        <v>Sufficuent Stock</v>
      </c>
      <c r="P1777" s="19">
        <f t="shared" si="219"/>
        <v>0</v>
      </c>
      <c r="R1777" s="19">
        <f t="shared" si="216"/>
        <v>0</v>
      </c>
      <c r="T1777" s="19">
        <f t="shared" si="220"/>
        <v>194257.54</v>
      </c>
      <c r="U1777" s="19">
        <f t="shared" si="221"/>
        <v>191628.82</v>
      </c>
      <c r="V1777" s="21">
        <f t="shared" si="222"/>
        <v>-2628.7200000000012</v>
      </c>
      <c r="W1777" s="18">
        <f t="shared" si="223"/>
        <v>-1.3532138829720592E-2</v>
      </c>
    </row>
    <row r="1778" spans="1:23" x14ac:dyDescent="0.3">
      <c r="A1778" t="s">
        <v>788</v>
      </c>
      <c r="B1778" t="s">
        <v>2586</v>
      </c>
      <c r="C1778" t="s">
        <v>16</v>
      </c>
      <c r="D1778" t="s">
        <v>26</v>
      </c>
      <c r="E1778">
        <v>2923</v>
      </c>
      <c r="F1778">
        <v>338.74</v>
      </c>
      <c r="G1778">
        <v>366.59</v>
      </c>
      <c r="H1778">
        <v>338.74</v>
      </c>
      <c r="I1778">
        <v>216</v>
      </c>
      <c r="J1778">
        <v>41</v>
      </c>
      <c r="K1778" s="17">
        <f t="shared" si="217"/>
        <v>295.2</v>
      </c>
      <c r="L1778" t="str">
        <f t="shared" si="218"/>
        <v>Sufficuent Stock</v>
      </c>
      <c r="P1778" s="19">
        <f t="shared" si="219"/>
        <v>0</v>
      </c>
      <c r="R1778" s="19">
        <f t="shared" si="216"/>
        <v>0</v>
      </c>
      <c r="T1778" s="19">
        <f t="shared" si="220"/>
        <v>79183.439999999988</v>
      </c>
      <c r="U1778" s="19">
        <f t="shared" si="221"/>
        <v>73167.839999999997</v>
      </c>
      <c r="V1778" s="21">
        <f t="shared" si="222"/>
        <v>-6015.5999999999913</v>
      </c>
      <c r="W1778" s="18">
        <f t="shared" si="223"/>
        <v>-7.5970430180855905E-2</v>
      </c>
    </row>
    <row r="1779" spans="1:23" x14ac:dyDescent="0.3">
      <c r="A1779" t="s">
        <v>199</v>
      </c>
      <c r="B1779" t="s">
        <v>2311</v>
      </c>
      <c r="C1779" t="s">
        <v>23</v>
      </c>
      <c r="D1779" t="s">
        <v>26</v>
      </c>
      <c r="E1779">
        <v>2923</v>
      </c>
      <c r="F1779">
        <v>447.59</v>
      </c>
      <c r="G1779">
        <v>412.36</v>
      </c>
      <c r="H1779">
        <v>447.59</v>
      </c>
      <c r="I1779">
        <v>3507</v>
      </c>
      <c r="J1779">
        <v>6</v>
      </c>
      <c r="K1779" s="17">
        <f t="shared" si="217"/>
        <v>701.40000000000009</v>
      </c>
      <c r="L1779" t="str">
        <f t="shared" si="218"/>
        <v>Sufficuent Stock</v>
      </c>
      <c r="P1779" s="19">
        <f t="shared" si="219"/>
        <v>0</v>
      </c>
      <c r="R1779" s="19">
        <f t="shared" si="216"/>
        <v>0</v>
      </c>
      <c r="T1779" s="19">
        <f t="shared" si="220"/>
        <v>1446146.52</v>
      </c>
      <c r="U1779" s="19">
        <f t="shared" si="221"/>
        <v>1569698.13</v>
      </c>
      <c r="V1779" s="21">
        <f t="shared" si="222"/>
        <v>123551.60999999987</v>
      </c>
      <c r="W1779" s="18">
        <f t="shared" si="223"/>
        <v>8.5435056746532068E-2</v>
      </c>
    </row>
    <row r="1780" spans="1:23" x14ac:dyDescent="0.3">
      <c r="A1780" t="s">
        <v>365</v>
      </c>
      <c r="B1780" t="s">
        <v>2303</v>
      </c>
      <c r="C1780" t="s">
        <v>12</v>
      </c>
      <c r="D1780" t="s">
        <v>20</v>
      </c>
      <c r="E1780">
        <v>2925</v>
      </c>
      <c r="F1780">
        <v>421.73</v>
      </c>
      <c r="G1780">
        <v>390.51</v>
      </c>
      <c r="H1780">
        <v>421.73</v>
      </c>
      <c r="I1780">
        <v>3030</v>
      </c>
      <c r="J1780">
        <v>84</v>
      </c>
      <c r="K1780" s="17">
        <f t="shared" si="217"/>
        <v>8484</v>
      </c>
      <c r="L1780" t="str">
        <f t="shared" si="218"/>
        <v>High Risk</v>
      </c>
      <c r="P1780" s="19">
        <f t="shared" si="219"/>
        <v>5559</v>
      </c>
      <c r="R1780" s="19">
        <f t="shared" si="216"/>
        <v>2344397.0700000003</v>
      </c>
      <c r="T1780" s="19">
        <f t="shared" si="220"/>
        <v>1183245.3</v>
      </c>
      <c r="U1780" s="19">
        <f t="shared" si="221"/>
        <v>1277841.9000000001</v>
      </c>
      <c r="V1780" s="21">
        <f t="shared" si="222"/>
        <v>94596.600000000093</v>
      </c>
      <c r="W1780" s="18">
        <f t="shared" si="223"/>
        <v>7.9946736319172443E-2</v>
      </c>
    </row>
    <row r="1781" spans="1:23" x14ac:dyDescent="0.3">
      <c r="A1781" t="s">
        <v>446</v>
      </c>
      <c r="B1781" t="s">
        <v>2516</v>
      </c>
      <c r="C1781" t="s">
        <v>12</v>
      </c>
      <c r="D1781" t="s">
        <v>69</v>
      </c>
      <c r="E1781">
        <v>2927</v>
      </c>
      <c r="F1781">
        <v>228.6</v>
      </c>
      <c r="G1781">
        <v>206.84</v>
      </c>
      <c r="H1781">
        <v>228.6</v>
      </c>
      <c r="I1781">
        <v>2077</v>
      </c>
      <c r="J1781">
        <v>67</v>
      </c>
      <c r="K1781" s="17">
        <f t="shared" si="217"/>
        <v>4638.6333333333332</v>
      </c>
      <c r="L1781" t="str">
        <f t="shared" si="218"/>
        <v>High Risk</v>
      </c>
      <c r="P1781" s="19">
        <f t="shared" si="219"/>
        <v>1712</v>
      </c>
      <c r="R1781" s="19">
        <f t="shared" si="216"/>
        <v>391363.2</v>
      </c>
      <c r="T1781" s="19">
        <f t="shared" si="220"/>
        <v>429606.68</v>
      </c>
      <c r="U1781" s="19">
        <f t="shared" si="221"/>
        <v>474802.2</v>
      </c>
      <c r="V1781" s="21">
        <f t="shared" si="222"/>
        <v>45195.520000000019</v>
      </c>
      <c r="W1781" s="18">
        <f t="shared" si="223"/>
        <v>0.10520208857087608</v>
      </c>
    </row>
    <row r="1782" spans="1:23" x14ac:dyDescent="0.3">
      <c r="A1782" t="s">
        <v>278</v>
      </c>
      <c r="B1782" t="s">
        <v>279</v>
      </c>
      <c r="C1782" t="s">
        <v>50</v>
      </c>
      <c r="D1782" t="s">
        <v>69</v>
      </c>
      <c r="E1782">
        <v>2928</v>
      </c>
      <c r="F1782">
        <v>472.57</v>
      </c>
      <c r="G1782">
        <v>397.67</v>
      </c>
      <c r="H1782">
        <v>472.57</v>
      </c>
      <c r="I1782">
        <v>3239</v>
      </c>
      <c r="J1782">
        <v>88</v>
      </c>
      <c r="K1782" s="17">
        <f t="shared" si="217"/>
        <v>9501.0666666666675</v>
      </c>
      <c r="L1782" t="str">
        <f t="shared" si="218"/>
        <v>High Risk</v>
      </c>
      <c r="P1782" s="19">
        <f t="shared" si="219"/>
        <v>6574</v>
      </c>
      <c r="R1782" s="19">
        <f t="shared" si="216"/>
        <v>3106675.18</v>
      </c>
      <c r="T1782" s="19">
        <f t="shared" si="220"/>
        <v>1288053.1300000001</v>
      </c>
      <c r="U1782" s="19">
        <f t="shared" si="221"/>
        <v>1530654.23</v>
      </c>
      <c r="V1782" s="21">
        <f t="shared" si="222"/>
        <v>242601.09999999986</v>
      </c>
      <c r="W1782" s="18">
        <f t="shared" si="223"/>
        <v>0.1883471219855658</v>
      </c>
    </row>
    <row r="1783" spans="1:23" x14ac:dyDescent="0.3">
      <c r="A1783" t="s">
        <v>976</v>
      </c>
      <c r="B1783" t="s">
        <v>1084</v>
      </c>
      <c r="C1783" t="s">
        <v>16</v>
      </c>
      <c r="D1783" t="s">
        <v>20</v>
      </c>
      <c r="E1783">
        <v>2928</v>
      </c>
      <c r="F1783">
        <v>33.35</v>
      </c>
      <c r="G1783">
        <v>36.340000000000003</v>
      </c>
      <c r="H1783">
        <v>33.35</v>
      </c>
      <c r="I1783">
        <v>57</v>
      </c>
      <c r="J1783">
        <v>90</v>
      </c>
      <c r="K1783" s="17">
        <f t="shared" si="217"/>
        <v>171</v>
      </c>
      <c r="L1783" t="str">
        <f t="shared" si="218"/>
        <v>Sufficuent Stock</v>
      </c>
      <c r="P1783" s="19">
        <f t="shared" si="219"/>
        <v>0</v>
      </c>
      <c r="R1783" s="19">
        <f t="shared" si="216"/>
        <v>0</v>
      </c>
      <c r="T1783" s="19">
        <f t="shared" si="220"/>
        <v>2071.38</v>
      </c>
      <c r="U1783" s="19">
        <f t="shared" si="221"/>
        <v>1900.95</v>
      </c>
      <c r="V1783" s="21">
        <f t="shared" si="222"/>
        <v>-170.43000000000006</v>
      </c>
      <c r="W1783" s="18">
        <f t="shared" si="223"/>
        <v>-8.227848101265825E-2</v>
      </c>
    </row>
    <row r="1784" spans="1:23" x14ac:dyDescent="0.3">
      <c r="A1784" t="s">
        <v>293</v>
      </c>
      <c r="B1784" t="s">
        <v>294</v>
      </c>
      <c r="C1784" t="s">
        <v>37</v>
      </c>
      <c r="D1784" t="s">
        <v>13</v>
      </c>
      <c r="E1784">
        <v>2929</v>
      </c>
      <c r="F1784">
        <v>76.61</v>
      </c>
      <c r="G1784">
        <v>75</v>
      </c>
      <c r="H1784">
        <v>76.61</v>
      </c>
      <c r="I1784">
        <v>764</v>
      </c>
      <c r="J1784">
        <v>61</v>
      </c>
      <c r="K1784" s="17">
        <f t="shared" si="217"/>
        <v>1553.4666666666665</v>
      </c>
      <c r="L1784" t="str">
        <f t="shared" si="218"/>
        <v>Sufficuent Stock</v>
      </c>
      <c r="P1784" s="19">
        <f t="shared" si="219"/>
        <v>0</v>
      </c>
      <c r="R1784" s="19">
        <f t="shared" si="216"/>
        <v>0</v>
      </c>
      <c r="T1784" s="19">
        <f t="shared" si="220"/>
        <v>57300</v>
      </c>
      <c r="U1784" s="19">
        <f t="shared" si="221"/>
        <v>58530.04</v>
      </c>
      <c r="V1784" s="21">
        <f t="shared" si="222"/>
        <v>1230.0400000000009</v>
      </c>
      <c r="W1784" s="18">
        <f t="shared" si="223"/>
        <v>2.1466666666666682E-2</v>
      </c>
    </row>
    <row r="1785" spans="1:23" x14ac:dyDescent="0.3">
      <c r="A1785" t="s">
        <v>320</v>
      </c>
      <c r="B1785" t="s">
        <v>420</v>
      </c>
      <c r="C1785" t="s">
        <v>16</v>
      </c>
      <c r="D1785" t="s">
        <v>13</v>
      </c>
      <c r="E1785">
        <v>2931</v>
      </c>
      <c r="F1785">
        <v>404.08</v>
      </c>
      <c r="G1785">
        <v>424.22</v>
      </c>
      <c r="H1785">
        <v>404.08</v>
      </c>
      <c r="I1785">
        <v>3984</v>
      </c>
      <c r="J1785">
        <v>59</v>
      </c>
      <c r="K1785" s="17">
        <f t="shared" si="217"/>
        <v>7835.2000000000007</v>
      </c>
      <c r="L1785" t="str">
        <f t="shared" si="218"/>
        <v>High Risk</v>
      </c>
      <c r="P1785" s="19">
        <f t="shared" si="219"/>
        <v>4905</v>
      </c>
      <c r="R1785" s="19">
        <f t="shared" si="216"/>
        <v>1982012.4</v>
      </c>
      <c r="T1785" s="19">
        <f t="shared" si="220"/>
        <v>1690092.4800000002</v>
      </c>
      <c r="U1785" s="19">
        <f t="shared" si="221"/>
        <v>1609854.72</v>
      </c>
      <c r="V1785" s="21">
        <f t="shared" si="222"/>
        <v>-80237.760000000242</v>
      </c>
      <c r="W1785" s="18">
        <f t="shared" si="223"/>
        <v>-4.7475366555089479E-2</v>
      </c>
    </row>
    <row r="1786" spans="1:23" x14ac:dyDescent="0.3">
      <c r="A1786" t="s">
        <v>105</v>
      </c>
      <c r="B1786" t="s">
        <v>2130</v>
      </c>
      <c r="C1786" t="s">
        <v>12</v>
      </c>
      <c r="D1786" t="s">
        <v>26</v>
      </c>
      <c r="E1786">
        <v>2932</v>
      </c>
      <c r="F1786">
        <v>420.25</v>
      </c>
      <c r="G1786">
        <v>372.13</v>
      </c>
      <c r="H1786">
        <v>420.25</v>
      </c>
      <c r="I1786">
        <v>3942</v>
      </c>
      <c r="J1786">
        <v>14</v>
      </c>
      <c r="K1786" s="17">
        <f t="shared" si="217"/>
        <v>1839.6000000000001</v>
      </c>
      <c r="L1786" t="str">
        <f t="shared" si="218"/>
        <v>Sufficuent Stock</v>
      </c>
      <c r="P1786" s="19">
        <f t="shared" si="219"/>
        <v>0</v>
      </c>
      <c r="R1786" s="19">
        <f t="shared" si="216"/>
        <v>0</v>
      </c>
      <c r="T1786" s="19">
        <f t="shared" si="220"/>
        <v>1466936.46</v>
      </c>
      <c r="U1786" s="19">
        <f t="shared" si="221"/>
        <v>1656625.5</v>
      </c>
      <c r="V1786" s="21">
        <f t="shared" si="222"/>
        <v>189689.04000000004</v>
      </c>
      <c r="W1786" s="18">
        <f t="shared" si="223"/>
        <v>0.12930964985354584</v>
      </c>
    </row>
    <row r="1787" spans="1:23" x14ac:dyDescent="0.3">
      <c r="A1787" t="s">
        <v>739</v>
      </c>
      <c r="B1787" t="s">
        <v>2450</v>
      </c>
      <c r="C1787" t="s">
        <v>16</v>
      </c>
      <c r="D1787" t="s">
        <v>17</v>
      </c>
      <c r="E1787">
        <v>2933</v>
      </c>
      <c r="F1787">
        <v>67.569999999999993</v>
      </c>
      <c r="G1787">
        <v>60.79</v>
      </c>
      <c r="H1787">
        <v>67.569999999999993</v>
      </c>
      <c r="I1787">
        <v>595</v>
      </c>
      <c r="J1787">
        <v>38</v>
      </c>
      <c r="K1787" s="17">
        <f t="shared" si="217"/>
        <v>753.66666666666663</v>
      </c>
      <c r="L1787" t="str">
        <f t="shared" si="218"/>
        <v>Sufficuent Stock</v>
      </c>
      <c r="P1787" s="19">
        <f t="shared" si="219"/>
        <v>0</v>
      </c>
      <c r="R1787" s="19">
        <f t="shared" si="216"/>
        <v>0</v>
      </c>
      <c r="T1787" s="19">
        <f t="shared" si="220"/>
        <v>36170.050000000003</v>
      </c>
      <c r="U1787" s="19">
        <f t="shared" si="221"/>
        <v>40204.149999999994</v>
      </c>
      <c r="V1787" s="21">
        <f t="shared" si="222"/>
        <v>4034.0999999999913</v>
      </c>
      <c r="W1787" s="18">
        <f t="shared" si="223"/>
        <v>0.11153150189175826</v>
      </c>
    </row>
    <row r="1788" spans="1:23" x14ac:dyDescent="0.3">
      <c r="A1788" t="s">
        <v>197</v>
      </c>
      <c r="B1788" t="s">
        <v>198</v>
      </c>
      <c r="C1788" t="s">
        <v>37</v>
      </c>
      <c r="D1788" t="s">
        <v>69</v>
      </c>
      <c r="E1788">
        <v>2937</v>
      </c>
      <c r="F1788">
        <v>407.47</v>
      </c>
      <c r="G1788">
        <v>429.82</v>
      </c>
      <c r="H1788">
        <v>407.47</v>
      </c>
      <c r="I1788">
        <v>793</v>
      </c>
      <c r="J1788">
        <v>72</v>
      </c>
      <c r="K1788" s="17">
        <f t="shared" si="217"/>
        <v>1903.2</v>
      </c>
      <c r="L1788" t="str">
        <f t="shared" si="218"/>
        <v>Sufficuent Stock</v>
      </c>
      <c r="P1788" s="19">
        <f t="shared" si="219"/>
        <v>0</v>
      </c>
      <c r="R1788" s="19">
        <f t="shared" si="216"/>
        <v>0</v>
      </c>
      <c r="T1788" s="19">
        <f t="shared" si="220"/>
        <v>340847.26</v>
      </c>
      <c r="U1788" s="19">
        <f t="shared" si="221"/>
        <v>323123.71000000002</v>
      </c>
      <c r="V1788" s="21">
        <f t="shared" si="222"/>
        <v>-17723.549999999988</v>
      </c>
      <c r="W1788" s="18">
        <f t="shared" si="223"/>
        <v>-5.1998511004606542E-2</v>
      </c>
    </row>
    <row r="1789" spans="1:23" x14ac:dyDescent="0.3">
      <c r="A1789" t="s">
        <v>872</v>
      </c>
      <c r="B1789" t="s">
        <v>1286</v>
      </c>
      <c r="C1789" t="s">
        <v>23</v>
      </c>
      <c r="D1789" t="s">
        <v>20</v>
      </c>
      <c r="E1789">
        <v>2939</v>
      </c>
      <c r="F1789">
        <v>408.34</v>
      </c>
      <c r="G1789">
        <v>437.43</v>
      </c>
      <c r="H1789">
        <v>408.34</v>
      </c>
      <c r="I1789">
        <v>2641</v>
      </c>
      <c r="J1789">
        <v>38</v>
      </c>
      <c r="K1789" s="17">
        <f t="shared" si="217"/>
        <v>3345.2666666666664</v>
      </c>
      <c r="L1789" t="str">
        <f t="shared" si="218"/>
        <v>High Risk</v>
      </c>
      <c r="P1789" s="19">
        <f t="shared" si="219"/>
        <v>407</v>
      </c>
      <c r="R1789" s="19">
        <f t="shared" si="216"/>
        <v>166194.37999999998</v>
      </c>
      <c r="T1789" s="19">
        <f t="shared" si="220"/>
        <v>1155252.6300000001</v>
      </c>
      <c r="U1789" s="19">
        <f t="shared" si="221"/>
        <v>1078425.94</v>
      </c>
      <c r="V1789" s="21">
        <f t="shared" si="222"/>
        <v>-76826.690000000177</v>
      </c>
      <c r="W1789" s="18">
        <f t="shared" si="223"/>
        <v>-6.650206890245311E-2</v>
      </c>
    </row>
    <row r="1790" spans="1:23" x14ac:dyDescent="0.3">
      <c r="A1790" t="s">
        <v>714</v>
      </c>
      <c r="B1790" t="s">
        <v>811</v>
      </c>
      <c r="C1790" t="s">
        <v>12</v>
      </c>
      <c r="D1790" t="s">
        <v>69</v>
      </c>
      <c r="E1790">
        <v>2940</v>
      </c>
      <c r="F1790">
        <v>85.98</v>
      </c>
      <c r="G1790">
        <v>78.92</v>
      </c>
      <c r="H1790">
        <v>85.98</v>
      </c>
      <c r="I1790">
        <v>1248</v>
      </c>
      <c r="J1790">
        <v>88</v>
      </c>
      <c r="K1790" s="17">
        <f t="shared" si="217"/>
        <v>3660.8</v>
      </c>
      <c r="L1790" t="str">
        <f t="shared" si="218"/>
        <v>High Risk</v>
      </c>
      <c r="P1790" s="19">
        <f t="shared" si="219"/>
        <v>721</v>
      </c>
      <c r="R1790" s="19">
        <f t="shared" si="216"/>
        <v>61991.58</v>
      </c>
      <c r="T1790" s="19">
        <f t="shared" si="220"/>
        <v>98492.160000000003</v>
      </c>
      <c r="U1790" s="19">
        <f t="shared" si="221"/>
        <v>107303.04000000001</v>
      </c>
      <c r="V1790" s="21">
        <f t="shared" si="222"/>
        <v>8810.8800000000047</v>
      </c>
      <c r="W1790" s="18">
        <f t="shared" si="223"/>
        <v>8.9457678661936185E-2</v>
      </c>
    </row>
    <row r="1791" spans="1:23" x14ac:dyDescent="0.3">
      <c r="A1791" t="s">
        <v>917</v>
      </c>
      <c r="B1791" t="s">
        <v>2918</v>
      </c>
      <c r="C1791" t="s">
        <v>37</v>
      </c>
      <c r="D1791" t="s">
        <v>13</v>
      </c>
      <c r="E1791">
        <v>2941</v>
      </c>
      <c r="F1791">
        <v>287.61</v>
      </c>
      <c r="G1791">
        <v>302.58999999999997</v>
      </c>
      <c r="H1791">
        <v>287.61</v>
      </c>
      <c r="I1791">
        <v>1873</v>
      </c>
      <c r="J1791">
        <v>43</v>
      </c>
      <c r="K1791" s="17">
        <f t="shared" si="217"/>
        <v>2684.6333333333332</v>
      </c>
      <c r="L1791" t="str">
        <f t="shared" si="218"/>
        <v>Sufficuent Stock</v>
      </c>
      <c r="P1791" s="19">
        <f t="shared" si="219"/>
        <v>0</v>
      </c>
      <c r="R1791" s="19">
        <f t="shared" si="216"/>
        <v>0</v>
      </c>
      <c r="T1791" s="19">
        <f t="shared" si="220"/>
        <v>566751.06999999995</v>
      </c>
      <c r="U1791" s="19">
        <f t="shared" si="221"/>
        <v>538693.53</v>
      </c>
      <c r="V1791" s="21">
        <f t="shared" si="222"/>
        <v>-28057.539999999921</v>
      </c>
      <c r="W1791" s="18">
        <f t="shared" si="223"/>
        <v>-4.9505932119369309E-2</v>
      </c>
    </row>
    <row r="1792" spans="1:23" x14ac:dyDescent="0.3">
      <c r="A1792" t="s">
        <v>191</v>
      </c>
      <c r="B1792" t="s">
        <v>192</v>
      </c>
      <c r="C1792" t="s">
        <v>50</v>
      </c>
      <c r="D1792" t="s">
        <v>17</v>
      </c>
      <c r="E1792">
        <v>2942</v>
      </c>
      <c r="F1792">
        <v>283.35000000000002</v>
      </c>
      <c r="G1792">
        <v>291.41000000000003</v>
      </c>
      <c r="H1792">
        <v>283.35000000000002</v>
      </c>
      <c r="I1792">
        <v>2654</v>
      </c>
      <c r="J1792">
        <v>85</v>
      </c>
      <c r="K1792" s="17">
        <f t="shared" si="217"/>
        <v>7519.666666666667</v>
      </c>
      <c r="L1792" t="str">
        <f t="shared" si="218"/>
        <v>High Risk</v>
      </c>
      <c r="P1792" s="19">
        <f t="shared" si="219"/>
        <v>4578</v>
      </c>
      <c r="R1792" s="19">
        <f t="shared" si="216"/>
        <v>1297176.3</v>
      </c>
      <c r="T1792" s="19">
        <f t="shared" si="220"/>
        <v>773402.14</v>
      </c>
      <c r="U1792" s="19">
        <f t="shared" si="221"/>
        <v>752010.9</v>
      </c>
      <c r="V1792" s="21">
        <f t="shared" si="222"/>
        <v>-21391.239999999991</v>
      </c>
      <c r="W1792" s="18">
        <f t="shared" si="223"/>
        <v>-2.7658625304553708E-2</v>
      </c>
    </row>
    <row r="1793" spans="1:23" x14ac:dyDescent="0.3">
      <c r="A1793" t="s">
        <v>1002</v>
      </c>
      <c r="B1793" t="s">
        <v>1807</v>
      </c>
      <c r="C1793" t="s">
        <v>37</v>
      </c>
      <c r="D1793" t="s">
        <v>26</v>
      </c>
      <c r="E1793">
        <v>2942</v>
      </c>
      <c r="F1793">
        <v>264.79000000000002</v>
      </c>
      <c r="G1793">
        <v>275.23</v>
      </c>
      <c r="H1793">
        <v>264.79000000000002</v>
      </c>
      <c r="I1793">
        <v>1616</v>
      </c>
      <c r="J1793">
        <v>14</v>
      </c>
      <c r="K1793" s="17">
        <f t="shared" si="217"/>
        <v>754.13333333333333</v>
      </c>
      <c r="L1793" t="str">
        <f t="shared" si="218"/>
        <v>Sufficuent Stock</v>
      </c>
      <c r="P1793" s="19">
        <f t="shared" si="219"/>
        <v>0</v>
      </c>
      <c r="R1793" s="19">
        <f t="shared" si="216"/>
        <v>0</v>
      </c>
      <c r="T1793" s="19">
        <f t="shared" si="220"/>
        <v>444771.68000000005</v>
      </c>
      <c r="U1793" s="19">
        <f t="shared" si="221"/>
        <v>427900.64</v>
      </c>
      <c r="V1793" s="21">
        <f t="shared" si="222"/>
        <v>-16871.040000000037</v>
      </c>
      <c r="W1793" s="18">
        <f t="shared" si="223"/>
        <v>-3.7931911492206601E-2</v>
      </c>
    </row>
    <row r="1794" spans="1:23" x14ac:dyDescent="0.3">
      <c r="A1794" t="s">
        <v>442</v>
      </c>
      <c r="B1794" t="s">
        <v>2905</v>
      </c>
      <c r="C1794" t="s">
        <v>16</v>
      </c>
      <c r="D1794" t="s">
        <v>17</v>
      </c>
      <c r="E1794">
        <v>2944</v>
      </c>
      <c r="F1794">
        <v>105.21</v>
      </c>
      <c r="G1794">
        <v>116.78</v>
      </c>
      <c r="H1794">
        <v>105.21</v>
      </c>
      <c r="I1794">
        <v>3328</v>
      </c>
      <c r="J1794">
        <v>14</v>
      </c>
      <c r="K1794" s="17">
        <f t="shared" si="217"/>
        <v>1553.0666666666666</v>
      </c>
      <c r="L1794" t="str">
        <f t="shared" si="218"/>
        <v>Sufficuent Stock</v>
      </c>
      <c r="P1794" s="19">
        <f t="shared" si="219"/>
        <v>0</v>
      </c>
      <c r="R1794" s="19">
        <f t="shared" ref="R1794:R1857" si="224">P1794*H1794</f>
        <v>0</v>
      </c>
      <c r="T1794" s="19">
        <f t="shared" si="220"/>
        <v>388643.84000000003</v>
      </c>
      <c r="U1794" s="19">
        <f t="shared" si="221"/>
        <v>350138.88</v>
      </c>
      <c r="V1794" s="21">
        <f t="shared" si="222"/>
        <v>-38504.960000000021</v>
      </c>
      <c r="W1794" s="18">
        <f t="shared" si="223"/>
        <v>-9.9075184106867664E-2</v>
      </c>
    </row>
    <row r="1795" spans="1:23" x14ac:dyDescent="0.3">
      <c r="A1795" t="s">
        <v>395</v>
      </c>
      <c r="B1795" t="s">
        <v>2813</v>
      </c>
      <c r="C1795" t="s">
        <v>12</v>
      </c>
      <c r="D1795" t="s">
        <v>17</v>
      </c>
      <c r="E1795">
        <v>2946</v>
      </c>
      <c r="F1795">
        <v>42.48</v>
      </c>
      <c r="G1795">
        <v>37.21</v>
      </c>
      <c r="H1795">
        <v>42.48</v>
      </c>
      <c r="I1795">
        <v>3497</v>
      </c>
      <c r="J1795">
        <v>11</v>
      </c>
      <c r="K1795" s="17">
        <f t="shared" ref="K1795:K1858" si="225">(I1795/30)*J1795</f>
        <v>1282.2333333333333</v>
      </c>
      <c r="L1795" t="str">
        <f t="shared" ref="L1795:L1858" si="226">IF(E1795&lt;K1795,"High Risk","Sufficuent Stock")</f>
        <v>Sufficuent Stock</v>
      </c>
      <c r="P1795" s="19">
        <f t="shared" ref="P1795:P1858" si="227">ROUNDUP(MAX(0,K1795-E1795),0)</f>
        <v>0</v>
      </c>
      <c r="R1795" s="19">
        <f t="shared" si="224"/>
        <v>0</v>
      </c>
      <c r="T1795" s="19">
        <f t="shared" ref="T1795:T1858" si="228">I1795*G1795</f>
        <v>130123.37000000001</v>
      </c>
      <c r="U1795" s="19">
        <f t="shared" ref="U1795:U1858" si="229">I1795*H1795</f>
        <v>148552.56</v>
      </c>
      <c r="V1795" s="21">
        <f t="shared" ref="V1795:V1858" si="230">U1795-T1795</f>
        <v>18429.189999999988</v>
      </c>
      <c r="W1795" s="18">
        <f t="shared" ref="W1795:W1858" si="231">IFERROR(V1795/T1795,0)</f>
        <v>0.1416285944638537</v>
      </c>
    </row>
    <row r="1796" spans="1:23" x14ac:dyDescent="0.3">
      <c r="A1796" t="s">
        <v>592</v>
      </c>
      <c r="B1796" t="s">
        <v>2345</v>
      </c>
      <c r="C1796" t="s">
        <v>16</v>
      </c>
      <c r="D1796" t="s">
        <v>20</v>
      </c>
      <c r="E1796">
        <v>2946</v>
      </c>
      <c r="F1796">
        <v>178.21</v>
      </c>
      <c r="G1796">
        <v>161.54</v>
      </c>
      <c r="H1796">
        <v>178.21</v>
      </c>
      <c r="I1796">
        <v>1170</v>
      </c>
      <c r="J1796">
        <v>37</v>
      </c>
      <c r="K1796" s="17">
        <f t="shared" si="225"/>
        <v>1443</v>
      </c>
      <c r="L1796" t="str">
        <f t="shared" si="226"/>
        <v>Sufficuent Stock</v>
      </c>
      <c r="P1796" s="19">
        <f t="shared" si="227"/>
        <v>0</v>
      </c>
      <c r="R1796" s="19">
        <f t="shared" si="224"/>
        <v>0</v>
      </c>
      <c r="T1796" s="19">
        <f t="shared" si="228"/>
        <v>189001.8</v>
      </c>
      <c r="U1796" s="19">
        <f t="shared" si="229"/>
        <v>208505.7</v>
      </c>
      <c r="V1796" s="21">
        <f t="shared" si="230"/>
        <v>19503.900000000023</v>
      </c>
      <c r="W1796" s="18">
        <f t="shared" si="231"/>
        <v>0.10319425529280686</v>
      </c>
    </row>
    <row r="1797" spans="1:23" x14ac:dyDescent="0.3">
      <c r="A1797" t="s">
        <v>326</v>
      </c>
      <c r="B1797" t="s">
        <v>2405</v>
      </c>
      <c r="C1797" t="s">
        <v>12</v>
      </c>
      <c r="D1797" t="s">
        <v>13</v>
      </c>
      <c r="E1797">
        <v>2947</v>
      </c>
      <c r="F1797">
        <v>60.89</v>
      </c>
      <c r="G1797">
        <v>61.06</v>
      </c>
      <c r="H1797">
        <v>60.89</v>
      </c>
      <c r="I1797">
        <v>2325</v>
      </c>
      <c r="J1797">
        <v>21</v>
      </c>
      <c r="K1797" s="17">
        <f t="shared" si="225"/>
        <v>1627.5</v>
      </c>
      <c r="L1797" t="str">
        <f t="shared" si="226"/>
        <v>Sufficuent Stock</v>
      </c>
      <c r="P1797" s="19">
        <f t="shared" si="227"/>
        <v>0</v>
      </c>
      <c r="R1797" s="19">
        <f t="shared" si="224"/>
        <v>0</v>
      </c>
      <c r="T1797" s="19">
        <f t="shared" si="228"/>
        <v>141964.5</v>
      </c>
      <c r="U1797" s="19">
        <f t="shared" si="229"/>
        <v>141569.25</v>
      </c>
      <c r="V1797" s="21">
        <f t="shared" si="230"/>
        <v>-395.25</v>
      </c>
      <c r="W1797" s="18">
        <f t="shared" si="231"/>
        <v>-2.7841467409105798E-3</v>
      </c>
    </row>
    <row r="1798" spans="1:23" x14ac:dyDescent="0.3">
      <c r="A1798" t="s">
        <v>1500</v>
      </c>
      <c r="B1798" t="s">
        <v>1501</v>
      </c>
      <c r="C1798" t="s">
        <v>50</v>
      </c>
      <c r="D1798" t="s">
        <v>69</v>
      </c>
      <c r="E1798">
        <v>2947</v>
      </c>
      <c r="F1798">
        <v>171.08</v>
      </c>
      <c r="G1798">
        <v>178.43</v>
      </c>
      <c r="H1798">
        <v>171.08</v>
      </c>
      <c r="I1798">
        <v>2488</v>
      </c>
      <c r="J1798">
        <v>57</v>
      </c>
      <c r="K1798" s="17">
        <f t="shared" si="225"/>
        <v>4727.2</v>
      </c>
      <c r="L1798" t="str">
        <f t="shared" si="226"/>
        <v>High Risk</v>
      </c>
      <c r="P1798" s="19">
        <f t="shared" si="227"/>
        <v>1781</v>
      </c>
      <c r="R1798" s="19">
        <f t="shared" si="224"/>
        <v>304693.48000000004</v>
      </c>
      <c r="T1798" s="19">
        <f t="shared" si="228"/>
        <v>443933.84</v>
      </c>
      <c r="U1798" s="19">
        <f t="shared" si="229"/>
        <v>425647.04000000004</v>
      </c>
      <c r="V1798" s="21">
        <f t="shared" si="230"/>
        <v>-18286.799999999988</v>
      </c>
      <c r="W1798" s="18">
        <f t="shared" si="231"/>
        <v>-4.1192624558650422E-2</v>
      </c>
    </row>
    <row r="1799" spans="1:23" x14ac:dyDescent="0.3">
      <c r="A1799" t="s">
        <v>884</v>
      </c>
      <c r="B1799" t="s">
        <v>1701</v>
      </c>
      <c r="C1799" t="s">
        <v>16</v>
      </c>
      <c r="D1799" t="s">
        <v>26</v>
      </c>
      <c r="E1799">
        <v>2948</v>
      </c>
      <c r="F1799">
        <v>328.77</v>
      </c>
      <c r="G1799">
        <v>282.01</v>
      </c>
      <c r="H1799">
        <v>328.77</v>
      </c>
      <c r="I1799">
        <v>454</v>
      </c>
      <c r="J1799">
        <v>33</v>
      </c>
      <c r="K1799" s="17">
        <f t="shared" si="225"/>
        <v>499.4</v>
      </c>
      <c r="L1799" t="str">
        <f t="shared" si="226"/>
        <v>Sufficuent Stock</v>
      </c>
      <c r="P1799" s="19">
        <f t="shared" si="227"/>
        <v>0</v>
      </c>
      <c r="R1799" s="19">
        <f t="shared" si="224"/>
        <v>0</v>
      </c>
      <c r="T1799" s="19">
        <f t="shared" si="228"/>
        <v>128032.54</v>
      </c>
      <c r="U1799" s="19">
        <f t="shared" si="229"/>
        <v>149261.57999999999</v>
      </c>
      <c r="V1799" s="21">
        <f t="shared" si="230"/>
        <v>21229.039999999994</v>
      </c>
      <c r="W1799" s="18">
        <f t="shared" si="231"/>
        <v>0.16580972305946592</v>
      </c>
    </row>
    <row r="1800" spans="1:23" x14ac:dyDescent="0.3">
      <c r="A1800" t="s">
        <v>59</v>
      </c>
      <c r="B1800" t="s">
        <v>2851</v>
      </c>
      <c r="C1800" t="s">
        <v>50</v>
      </c>
      <c r="D1800" t="s">
        <v>20</v>
      </c>
      <c r="E1800">
        <v>2950</v>
      </c>
      <c r="F1800">
        <v>197.43</v>
      </c>
      <c r="G1800">
        <v>201.93</v>
      </c>
      <c r="H1800">
        <v>197.43</v>
      </c>
      <c r="I1800">
        <v>107</v>
      </c>
      <c r="J1800">
        <v>9</v>
      </c>
      <c r="K1800" s="17">
        <f t="shared" si="225"/>
        <v>32.1</v>
      </c>
      <c r="L1800" t="str">
        <f t="shared" si="226"/>
        <v>Sufficuent Stock</v>
      </c>
      <c r="P1800" s="19">
        <f t="shared" si="227"/>
        <v>0</v>
      </c>
      <c r="R1800" s="19">
        <f t="shared" si="224"/>
        <v>0</v>
      </c>
      <c r="T1800" s="19">
        <f t="shared" si="228"/>
        <v>21606.510000000002</v>
      </c>
      <c r="U1800" s="19">
        <f t="shared" si="229"/>
        <v>21125.010000000002</v>
      </c>
      <c r="V1800" s="21">
        <f t="shared" si="230"/>
        <v>-481.5</v>
      </c>
      <c r="W1800" s="18">
        <f t="shared" si="231"/>
        <v>-2.2284950230277815E-2</v>
      </c>
    </row>
    <row r="1801" spans="1:23" x14ac:dyDescent="0.3">
      <c r="A1801" t="s">
        <v>123</v>
      </c>
      <c r="B1801" t="s">
        <v>2459</v>
      </c>
      <c r="C1801" t="s">
        <v>23</v>
      </c>
      <c r="D1801" t="s">
        <v>69</v>
      </c>
      <c r="E1801">
        <v>2950</v>
      </c>
      <c r="F1801">
        <v>510.69</v>
      </c>
      <c r="G1801">
        <v>436.57</v>
      </c>
      <c r="H1801">
        <v>510.69</v>
      </c>
      <c r="I1801">
        <v>3204</v>
      </c>
      <c r="J1801">
        <v>13</v>
      </c>
      <c r="K1801" s="17">
        <f t="shared" si="225"/>
        <v>1388.3999999999999</v>
      </c>
      <c r="L1801" t="str">
        <f t="shared" si="226"/>
        <v>Sufficuent Stock</v>
      </c>
      <c r="P1801" s="19">
        <f t="shared" si="227"/>
        <v>0</v>
      </c>
      <c r="R1801" s="19">
        <f t="shared" si="224"/>
        <v>0</v>
      </c>
      <c r="T1801" s="19">
        <f t="shared" si="228"/>
        <v>1398770.28</v>
      </c>
      <c r="U1801" s="19">
        <f t="shared" si="229"/>
        <v>1636250.76</v>
      </c>
      <c r="V1801" s="21">
        <f t="shared" si="230"/>
        <v>237480.47999999998</v>
      </c>
      <c r="W1801" s="18">
        <f t="shared" si="231"/>
        <v>0.16977804246741643</v>
      </c>
    </row>
    <row r="1802" spans="1:23" x14ac:dyDescent="0.3">
      <c r="A1802" t="s">
        <v>927</v>
      </c>
      <c r="B1802" t="s">
        <v>3143</v>
      </c>
      <c r="C1802" t="s">
        <v>23</v>
      </c>
      <c r="D1802" t="s">
        <v>20</v>
      </c>
      <c r="E1802">
        <v>2951</v>
      </c>
      <c r="F1802">
        <v>401.53</v>
      </c>
      <c r="G1802">
        <v>404.99</v>
      </c>
      <c r="H1802">
        <v>401.53</v>
      </c>
      <c r="I1802">
        <v>295</v>
      </c>
      <c r="J1802">
        <v>59</v>
      </c>
      <c r="K1802" s="17">
        <f t="shared" si="225"/>
        <v>580.16666666666674</v>
      </c>
      <c r="L1802" t="str">
        <f t="shared" si="226"/>
        <v>Sufficuent Stock</v>
      </c>
      <c r="P1802" s="19">
        <f t="shared" si="227"/>
        <v>0</v>
      </c>
      <c r="R1802" s="19">
        <f t="shared" si="224"/>
        <v>0</v>
      </c>
      <c r="T1802" s="19">
        <f t="shared" si="228"/>
        <v>119472.05</v>
      </c>
      <c r="U1802" s="19">
        <f t="shared" si="229"/>
        <v>118451.34999999999</v>
      </c>
      <c r="V1802" s="21">
        <f t="shared" si="230"/>
        <v>-1020.7000000000116</v>
      </c>
      <c r="W1802" s="18">
        <f t="shared" si="231"/>
        <v>-8.5434208252056585E-3</v>
      </c>
    </row>
    <row r="1803" spans="1:23" x14ac:dyDescent="0.3">
      <c r="A1803" t="s">
        <v>76</v>
      </c>
      <c r="B1803" t="s">
        <v>1609</v>
      </c>
      <c r="C1803" t="s">
        <v>23</v>
      </c>
      <c r="D1803" t="s">
        <v>13</v>
      </c>
      <c r="E1803">
        <v>2952</v>
      </c>
      <c r="F1803">
        <v>161.47</v>
      </c>
      <c r="G1803">
        <v>159.83000000000001</v>
      </c>
      <c r="H1803">
        <v>161.47</v>
      </c>
      <c r="I1803">
        <v>112</v>
      </c>
      <c r="J1803">
        <v>77</v>
      </c>
      <c r="K1803" s="17">
        <f t="shared" si="225"/>
        <v>287.4666666666667</v>
      </c>
      <c r="L1803" t="str">
        <f t="shared" si="226"/>
        <v>Sufficuent Stock</v>
      </c>
      <c r="P1803" s="19">
        <f t="shared" si="227"/>
        <v>0</v>
      </c>
      <c r="R1803" s="19">
        <f t="shared" si="224"/>
        <v>0</v>
      </c>
      <c r="T1803" s="19">
        <f t="shared" si="228"/>
        <v>17900.960000000003</v>
      </c>
      <c r="U1803" s="19">
        <f t="shared" si="229"/>
        <v>18084.64</v>
      </c>
      <c r="V1803" s="21">
        <f t="shared" si="230"/>
        <v>183.67999999999665</v>
      </c>
      <c r="W1803" s="18">
        <f t="shared" si="231"/>
        <v>1.0260902208596445E-2</v>
      </c>
    </row>
    <row r="1804" spans="1:23" x14ac:dyDescent="0.3">
      <c r="A1804" t="s">
        <v>53</v>
      </c>
      <c r="B1804" t="s">
        <v>828</v>
      </c>
      <c r="C1804" t="s">
        <v>12</v>
      </c>
      <c r="D1804" t="s">
        <v>26</v>
      </c>
      <c r="E1804">
        <v>2964</v>
      </c>
      <c r="F1804">
        <v>20.48</v>
      </c>
      <c r="G1804">
        <v>22.09</v>
      </c>
      <c r="H1804">
        <v>20.48</v>
      </c>
      <c r="I1804">
        <v>1428</v>
      </c>
      <c r="J1804">
        <v>81</v>
      </c>
      <c r="K1804" s="17">
        <f t="shared" si="225"/>
        <v>3855.6</v>
      </c>
      <c r="L1804" t="str">
        <f t="shared" si="226"/>
        <v>High Risk</v>
      </c>
      <c r="P1804" s="19">
        <f t="shared" si="227"/>
        <v>892</v>
      </c>
      <c r="R1804" s="19">
        <f t="shared" si="224"/>
        <v>18268.16</v>
      </c>
      <c r="T1804" s="19">
        <f t="shared" si="228"/>
        <v>31544.52</v>
      </c>
      <c r="U1804" s="19">
        <f t="shared" si="229"/>
        <v>29245.440000000002</v>
      </c>
      <c r="V1804" s="21">
        <f t="shared" si="230"/>
        <v>-2299.0799999999981</v>
      </c>
      <c r="W1804" s="18">
        <f t="shared" si="231"/>
        <v>-7.2883657763693918E-2</v>
      </c>
    </row>
    <row r="1805" spans="1:23" x14ac:dyDescent="0.3">
      <c r="A1805" t="s">
        <v>209</v>
      </c>
      <c r="B1805" t="s">
        <v>2362</v>
      </c>
      <c r="C1805" t="s">
        <v>12</v>
      </c>
      <c r="D1805" t="s">
        <v>69</v>
      </c>
      <c r="E1805">
        <v>2964</v>
      </c>
      <c r="F1805">
        <v>488.72</v>
      </c>
      <c r="G1805">
        <v>441.15</v>
      </c>
      <c r="H1805">
        <v>488.72</v>
      </c>
      <c r="I1805">
        <v>843</v>
      </c>
      <c r="J1805">
        <v>77</v>
      </c>
      <c r="K1805" s="17">
        <f t="shared" si="225"/>
        <v>2163.7000000000003</v>
      </c>
      <c r="L1805" t="str">
        <f t="shared" si="226"/>
        <v>Sufficuent Stock</v>
      </c>
      <c r="P1805" s="19">
        <f t="shared" si="227"/>
        <v>0</v>
      </c>
      <c r="R1805" s="19">
        <f t="shared" si="224"/>
        <v>0</v>
      </c>
      <c r="T1805" s="19">
        <f t="shared" si="228"/>
        <v>371889.44999999995</v>
      </c>
      <c r="U1805" s="19">
        <f t="shared" si="229"/>
        <v>411990.96</v>
      </c>
      <c r="V1805" s="21">
        <f t="shared" si="230"/>
        <v>40101.510000000068</v>
      </c>
      <c r="W1805" s="18">
        <f t="shared" si="231"/>
        <v>0.10783180324152802</v>
      </c>
    </row>
    <row r="1806" spans="1:23" x14ac:dyDescent="0.3">
      <c r="A1806" t="s">
        <v>385</v>
      </c>
      <c r="B1806" t="s">
        <v>3142</v>
      </c>
      <c r="C1806" t="s">
        <v>37</v>
      </c>
      <c r="D1806" t="s">
        <v>26</v>
      </c>
      <c r="E1806">
        <v>2966</v>
      </c>
      <c r="F1806">
        <v>420.71</v>
      </c>
      <c r="G1806">
        <v>453.85</v>
      </c>
      <c r="H1806">
        <v>420.71</v>
      </c>
      <c r="I1806">
        <v>1107</v>
      </c>
      <c r="J1806">
        <v>74</v>
      </c>
      <c r="K1806" s="17">
        <f t="shared" si="225"/>
        <v>2730.6</v>
      </c>
      <c r="L1806" t="str">
        <f t="shared" si="226"/>
        <v>Sufficuent Stock</v>
      </c>
      <c r="P1806" s="19">
        <f t="shared" si="227"/>
        <v>0</v>
      </c>
      <c r="R1806" s="19">
        <f t="shared" si="224"/>
        <v>0</v>
      </c>
      <c r="T1806" s="19">
        <f t="shared" si="228"/>
        <v>502411.95</v>
      </c>
      <c r="U1806" s="19">
        <f t="shared" si="229"/>
        <v>465725.97</v>
      </c>
      <c r="V1806" s="21">
        <f t="shared" si="230"/>
        <v>-36685.98000000004</v>
      </c>
      <c r="W1806" s="18">
        <f t="shared" si="231"/>
        <v>-7.3019720171863034E-2</v>
      </c>
    </row>
    <row r="1807" spans="1:23" x14ac:dyDescent="0.3">
      <c r="A1807" t="s">
        <v>917</v>
      </c>
      <c r="B1807" t="s">
        <v>2596</v>
      </c>
      <c r="C1807" t="s">
        <v>12</v>
      </c>
      <c r="D1807" t="s">
        <v>69</v>
      </c>
      <c r="E1807">
        <v>2966</v>
      </c>
      <c r="F1807">
        <v>291.64999999999998</v>
      </c>
      <c r="G1807">
        <v>307.63</v>
      </c>
      <c r="H1807">
        <v>291.64999999999998</v>
      </c>
      <c r="I1807">
        <v>52</v>
      </c>
      <c r="J1807">
        <v>86</v>
      </c>
      <c r="K1807" s="17">
        <f t="shared" si="225"/>
        <v>149.06666666666666</v>
      </c>
      <c r="L1807" t="str">
        <f t="shared" si="226"/>
        <v>Sufficuent Stock</v>
      </c>
      <c r="P1807" s="19">
        <f t="shared" si="227"/>
        <v>0</v>
      </c>
      <c r="R1807" s="19">
        <f t="shared" si="224"/>
        <v>0</v>
      </c>
      <c r="T1807" s="19">
        <f t="shared" si="228"/>
        <v>15996.76</v>
      </c>
      <c r="U1807" s="19">
        <f t="shared" si="229"/>
        <v>15165.8</v>
      </c>
      <c r="V1807" s="21">
        <f t="shared" si="230"/>
        <v>-830.96000000000095</v>
      </c>
      <c r="W1807" s="18">
        <f t="shared" si="231"/>
        <v>-5.1945518967590996E-2</v>
      </c>
    </row>
    <row r="1808" spans="1:23" x14ac:dyDescent="0.3">
      <c r="A1808" t="s">
        <v>543</v>
      </c>
      <c r="B1808" t="s">
        <v>1572</v>
      </c>
      <c r="C1808" t="s">
        <v>37</v>
      </c>
      <c r="D1808" t="s">
        <v>26</v>
      </c>
      <c r="E1808">
        <v>2967</v>
      </c>
      <c r="F1808">
        <v>278.70999999999998</v>
      </c>
      <c r="G1808">
        <v>298.58</v>
      </c>
      <c r="H1808">
        <v>278.70999999999998</v>
      </c>
      <c r="I1808">
        <v>2510</v>
      </c>
      <c r="J1808">
        <v>23</v>
      </c>
      <c r="K1808" s="17">
        <f t="shared" si="225"/>
        <v>1924.3333333333335</v>
      </c>
      <c r="L1808" t="str">
        <f t="shared" si="226"/>
        <v>Sufficuent Stock</v>
      </c>
      <c r="P1808" s="19">
        <f t="shared" si="227"/>
        <v>0</v>
      </c>
      <c r="R1808" s="19">
        <f t="shared" si="224"/>
        <v>0</v>
      </c>
      <c r="T1808" s="19">
        <f t="shared" si="228"/>
        <v>749435.79999999993</v>
      </c>
      <c r="U1808" s="19">
        <f t="shared" si="229"/>
        <v>699562.1</v>
      </c>
      <c r="V1808" s="21">
        <f t="shared" si="230"/>
        <v>-49873.699999999953</v>
      </c>
      <c r="W1808" s="18">
        <f t="shared" si="231"/>
        <v>-6.6548328756112204E-2</v>
      </c>
    </row>
    <row r="1809" spans="1:23" x14ac:dyDescent="0.3">
      <c r="A1809" t="s">
        <v>803</v>
      </c>
      <c r="B1809" t="s">
        <v>804</v>
      </c>
      <c r="C1809" t="s">
        <v>23</v>
      </c>
      <c r="D1809" t="s">
        <v>26</v>
      </c>
      <c r="E1809">
        <v>2969</v>
      </c>
      <c r="F1809">
        <v>323.97000000000003</v>
      </c>
      <c r="G1809">
        <v>356.97</v>
      </c>
      <c r="H1809">
        <v>323.97000000000003</v>
      </c>
      <c r="I1809">
        <v>928</v>
      </c>
      <c r="J1809">
        <v>10</v>
      </c>
      <c r="K1809" s="17">
        <f t="shared" si="225"/>
        <v>309.33333333333331</v>
      </c>
      <c r="L1809" t="str">
        <f t="shared" si="226"/>
        <v>Sufficuent Stock</v>
      </c>
      <c r="P1809" s="19">
        <f t="shared" si="227"/>
        <v>0</v>
      </c>
      <c r="R1809" s="19">
        <f t="shared" si="224"/>
        <v>0</v>
      </c>
      <c r="T1809" s="19">
        <f t="shared" si="228"/>
        <v>331268.16000000003</v>
      </c>
      <c r="U1809" s="19">
        <f t="shared" si="229"/>
        <v>300644.16000000003</v>
      </c>
      <c r="V1809" s="21">
        <f t="shared" si="230"/>
        <v>-30624</v>
      </c>
      <c r="W1809" s="18">
        <f t="shared" si="231"/>
        <v>-9.2444743255735762E-2</v>
      </c>
    </row>
    <row r="1810" spans="1:23" x14ac:dyDescent="0.3">
      <c r="A1810" t="s">
        <v>1146</v>
      </c>
      <c r="B1810" t="s">
        <v>1914</v>
      </c>
      <c r="C1810" t="s">
        <v>23</v>
      </c>
      <c r="D1810" t="s">
        <v>13</v>
      </c>
      <c r="E1810">
        <v>2972</v>
      </c>
      <c r="F1810">
        <v>461.1</v>
      </c>
      <c r="G1810">
        <v>418.62</v>
      </c>
      <c r="H1810">
        <v>461.1</v>
      </c>
      <c r="I1810">
        <v>3318</v>
      </c>
      <c r="J1810">
        <v>30</v>
      </c>
      <c r="K1810" s="17">
        <f t="shared" si="225"/>
        <v>3318</v>
      </c>
      <c r="L1810" t="str">
        <f t="shared" si="226"/>
        <v>High Risk</v>
      </c>
      <c r="P1810" s="19">
        <f t="shared" si="227"/>
        <v>346</v>
      </c>
      <c r="R1810" s="19">
        <f t="shared" si="224"/>
        <v>159540.6</v>
      </c>
      <c r="T1810" s="19">
        <f t="shared" si="228"/>
        <v>1388981.16</v>
      </c>
      <c r="U1810" s="19">
        <f t="shared" si="229"/>
        <v>1529929.8</v>
      </c>
      <c r="V1810" s="21">
        <f t="shared" si="230"/>
        <v>140948.64000000013</v>
      </c>
      <c r="W1810" s="18">
        <f t="shared" si="231"/>
        <v>0.10147627920309599</v>
      </c>
    </row>
    <row r="1811" spans="1:23" x14ac:dyDescent="0.3">
      <c r="A1811" t="s">
        <v>1211</v>
      </c>
      <c r="B1811" t="s">
        <v>3296</v>
      </c>
      <c r="C1811" t="s">
        <v>23</v>
      </c>
      <c r="D1811" t="s">
        <v>17</v>
      </c>
      <c r="E1811">
        <v>2974</v>
      </c>
      <c r="F1811">
        <v>367.03</v>
      </c>
      <c r="G1811">
        <v>341.26</v>
      </c>
      <c r="H1811">
        <v>367.03</v>
      </c>
      <c r="I1811">
        <v>2929</v>
      </c>
      <c r="J1811">
        <v>22</v>
      </c>
      <c r="K1811" s="17">
        <f t="shared" si="225"/>
        <v>2147.9333333333334</v>
      </c>
      <c r="L1811" t="str">
        <f t="shared" si="226"/>
        <v>Sufficuent Stock</v>
      </c>
      <c r="P1811" s="19">
        <f t="shared" si="227"/>
        <v>0</v>
      </c>
      <c r="R1811" s="19">
        <f t="shared" si="224"/>
        <v>0</v>
      </c>
      <c r="T1811" s="19">
        <f t="shared" si="228"/>
        <v>999550.53999999992</v>
      </c>
      <c r="U1811" s="19">
        <f t="shared" si="229"/>
        <v>1075030.8699999999</v>
      </c>
      <c r="V1811" s="21">
        <f t="shared" si="230"/>
        <v>75480.329999999958</v>
      </c>
      <c r="W1811" s="18">
        <f t="shared" si="231"/>
        <v>7.5514270644083656E-2</v>
      </c>
    </row>
    <row r="1812" spans="1:23" x14ac:dyDescent="0.3">
      <c r="A1812" t="s">
        <v>442</v>
      </c>
      <c r="B1812" t="s">
        <v>704</v>
      </c>
      <c r="C1812" t="s">
        <v>37</v>
      </c>
      <c r="D1812" t="s">
        <v>13</v>
      </c>
      <c r="E1812">
        <v>2975</v>
      </c>
      <c r="F1812">
        <v>201.37</v>
      </c>
      <c r="G1812">
        <v>187.77</v>
      </c>
      <c r="H1812">
        <v>201.37</v>
      </c>
      <c r="I1812">
        <v>2275</v>
      </c>
      <c r="J1812">
        <v>8</v>
      </c>
      <c r="K1812" s="17">
        <f t="shared" si="225"/>
        <v>606.66666666666663</v>
      </c>
      <c r="L1812" t="str">
        <f t="shared" si="226"/>
        <v>Sufficuent Stock</v>
      </c>
      <c r="P1812" s="19">
        <f t="shared" si="227"/>
        <v>0</v>
      </c>
      <c r="R1812" s="19">
        <f t="shared" si="224"/>
        <v>0</v>
      </c>
      <c r="T1812" s="19">
        <f t="shared" si="228"/>
        <v>427176.75</v>
      </c>
      <c r="U1812" s="19">
        <f t="shared" si="229"/>
        <v>458116.75</v>
      </c>
      <c r="V1812" s="21">
        <f t="shared" si="230"/>
        <v>30940</v>
      </c>
      <c r="W1812" s="18">
        <f t="shared" si="231"/>
        <v>7.2429035522181398E-2</v>
      </c>
    </row>
    <row r="1813" spans="1:23" x14ac:dyDescent="0.3">
      <c r="A1813" t="s">
        <v>535</v>
      </c>
      <c r="B1813" t="s">
        <v>1833</v>
      </c>
      <c r="C1813" t="s">
        <v>50</v>
      </c>
      <c r="D1813" t="s">
        <v>20</v>
      </c>
      <c r="E1813">
        <v>2976</v>
      </c>
      <c r="F1813">
        <v>152.9</v>
      </c>
      <c r="G1813">
        <v>154.34</v>
      </c>
      <c r="H1813">
        <v>152.9</v>
      </c>
      <c r="I1813">
        <v>2294</v>
      </c>
      <c r="J1813">
        <v>73</v>
      </c>
      <c r="K1813" s="17">
        <f t="shared" si="225"/>
        <v>5582.0666666666666</v>
      </c>
      <c r="L1813" t="str">
        <f t="shared" si="226"/>
        <v>High Risk</v>
      </c>
      <c r="P1813" s="19">
        <f t="shared" si="227"/>
        <v>2607</v>
      </c>
      <c r="R1813" s="19">
        <f t="shared" si="224"/>
        <v>398610.3</v>
      </c>
      <c r="T1813" s="19">
        <f t="shared" si="228"/>
        <v>354055.96</v>
      </c>
      <c r="U1813" s="19">
        <f t="shared" si="229"/>
        <v>350752.60000000003</v>
      </c>
      <c r="V1813" s="21">
        <f t="shared" si="230"/>
        <v>-3303.359999999986</v>
      </c>
      <c r="W1813" s="18">
        <f t="shared" si="231"/>
        <v>-9.330050537773707E-3</v>
      </c>
    </row>
    <row r="1814" spans="1:23" x14ac:dyDescent="0.3">
      <c r="A1814" t="s">
        <v>442</v>
      </c>
      <c r="B1814" t="s">
        <v>1169</v>
      </c>
      <c r="C1814" t="s">
        <v>12</v>
      </c>
      <c r="D1814" t="s">
        <v>17</v>
      </c>
      <c r="E1814">
        <v>2977</v>
      </c>
      <c r="F1814">
        <v>103.17</v>
      </c>
      <c r="G1814">
        <v>98.26</v>
      </c>
      <c r="H1814">
        <v>103.17</v>
      </c>
      <c r="I1814">
        <v>1313</v>
      </c>
      <c r="J1814">
        <v>52</v>
      </c>
      <c r="K1814" s="17">
        <f t="shared" si="225"/>
        <v>2275.8666666666668</v>
      </c>
      <c r="L1814" t="str">
        <f t="shared" si="226"/>
        <v>Sufficuent Stock</v>
      </c>
      <c r="P1814" s="19">
        <f t="shared" si="227"/>
        <v>0</v>
      </c>
      <c r="R1814" s="19">
        <f t="shared" si="224"/>
        <v>0</v>
      </c>
      <c r="T1814" s="19">
        <f t="shared" si="228"/>
        <v>129015.38</v>
      </c>
      <c r="U1814" s="19">
        <f t="shared" si="229"/>
        <v>135462.21</v>
      </c>
      <c r="V1814" s="21">
        <f t="shared" si="230"/>
        <v>6446.8299999999872</v>
      </c>
      <c r="W1814" s="18">
        <f t="shared" si="231"/>
        <v>4.9969468756360574E-2</v>
      </c>
    </row>
    <row r="1815" spans="1:23" x14ac:dyDescent="0.3">
      <c r="A1815" t="s">
        <v>149</v>
      </c>
      <c r="B1815" t="s">
        <v>1491</v>
      </c>
      <c r="C1815" t="s">
        <v>23</v>
      </c>
      <c r="D1815" t="s">
        <v>69</v>
      </c>
      <c r="E1815">
        <v>2977</v>
      </c>
      <c r="F1815">
        <v>228.86</v>
      </c>
      <c r="G1815">
        <v>253.13</v>
      </c>
      <c r="H1815">
        <v>228.86</v>
      </c>
      <c r="I1815">
        <v>2877</v>
      </c>
      <c r="J1815">
        <v>66</v>
      </c>
      <c r="K1815" s="17">
        <f t="shared" si="225"/>
        <v>6329.4000000000005</v>
      </c>
      <c r="L1815" t="str">
        <f t="shared" si="226"/>
        <v>High Risk</v>
      </c>
      <c r="P1815" s="19">
        <f t="shared" si="227"/>
        <v>3353</v>
      </c>
      <c r="R1815" s="19">
        <f t="shared" si="224"/>
        <v>767367.58000000007</v>
      </c>
      <c r="T1815" s="19">
        <f t="shared" si="228"/>
        <v>728255.01</v>
      </c>
      <c r="U1815" s="19">
        <f t="shared" si="229"/>
        <v>658430.22000000009</v>
      </c>
      <c r="V1815" s="21">
        <f t="shared" si="230"/>
        <v>-69824.789999999921</v>
      </c>
      <c r="W1815" s="18">
        <f t="shared" si="231"/>
        <v>-9.5879587563702337E-2</v>
      </c>
    </row>
    <row r="1816" spans="1:23" x14ac:dyDescent="0.3">
      <c r="A1816" t="s">
        <v>147</v>
      </c>
      <c r="B1816" t="s">
        <v>2636</v>
      </c>
      <c r="C1816" t="s">
        <v>16</v>
      </c>
      <c r="D1816" t="s">
        <v>69</v>
      </c>
      <c r="E1816">
        <v>2982</v>
      </c>
      <c r="F1816">
        <v>38.28</v>
      </c>
      <c r="G1816">
        <v>39.06</v>
      </c>
      <c r="H1816">
        <v>38.28</v>
      </c>
      <c r="I1816">
        <v>1416</v>
      </c>
      <c r="J1816">
        <v>18</v>
      </c>
      <c r="K1816" s="17">
        <f t="shared" si="225"/>
        <v>849.6</v>
      </c>
      <c r="L1816" t="str">
        <f t="shared" si="226"/>
        <v>Sufficuent Stock</v>
      </c>
      <c r="P1816" s="19">
        <f t="shared" si="227"/>
        <v>0</v>
      </c>
      <c r="R1816" s="19">
        <f t="shared" si="224"/>
        <v>0</v>
      </c>
      <c r="T1816" s="19">
        <f t="shared" si="228"/>
        <v>55308.960000000006</v>
      </c>
      <c r="U1816" s="19">
        <f t="shared" si="229"/>
        <v>54204.480000000003</v>
      </c>
      <c r="V1816" s="21">
        <f t="shared" si="230"/>
        <v>-1104.4800000000032</v>
      </c>
      <c r="W1816" s="18">
        <f t="shared" si="231"/>
        <v>-1.9969278033794217E-2</v>
      </c>
    </row>
    <row r="1817" spans="1:23" x14ac:dyDescent="0.3">
      <c r="A1817" t="s">
        <v>798</v>
      </c>
      <c r="B1817" t="s">
        <v>1615</v>
      </c>
      <c r="C1817" t="s">
        <v>16</v>
      </c>
      <c r="D1817" t="s">
        <v>20</v>
      </c>
      <c r="E1817">
        <v>2983</v>
      </c>
      <c r="F1817">
        <v>295.24</v>
      </c>
      <c r="G1817">
        <v>302.38</v>
      </c>
      <c r="H1817">
        <v>295.24</v>
      </c>
      <c r="I1817">
        <v>2571</v>
      </c>
      <c r="J1817">
        <v>38</v>
      </c>
      <c r="K1817" s="17">
        <f t="shared" si="225"/>
        <v>3256.6</v>
      </c>
      <c r="L1817" t="str">
        <f t="shared" si="226"/>
        <v>High Risk</v>
      </c>
      <c r="P1817" s="19">
        <f t="shared" si="227"/>
        <v>274</v>
      </c>
      <c r="R1817" s="19">
        <f t="shared" si="224"/>
        <v>80895.760000000009</v>
      </c>
      <c r="T1817" s="19">
        <f t="shared" si="228"/>
        <v>777418.98</v>
      </c>
      <c r="U1817" s="19">
        <f t="shared" si="229"/>
        <v>759062.04</v>
      </c>
      <c r="V1817" s="21">
        <f t="shared" si="230"/>
        <v>-18356.939999999944</v>
      </c>
      <c r="W1817" s="18">
        <f t="shared" si="231"/>
        <v>-2.3612672795819759E-2</v>
      </c>
    </row>
    <row r="1818" spans="1:23" x14ac:dyDescent="0.3">
      <c r="A1818" t="s">
        <v>171</v>
      </c>
      <c r="B1818" t="s">
        <v>2860</v>
      </c>
      <c r="C1818" t="s">
        <v>16</v>
      </c>
      <c r="D1818" t="s">
        <v>26</v>
      </c>
      <c r="E1818">
        <v>2984</v>
      </c>
      <c r="F1818">
        <v>69.55</v>
      </c>
      <c r="G1818">
        <v>58.2</v>
      </c>
      <c r="H1818">
        <v>69.55</v>
      </c>
      <c r="I1818">
        <v>1475</v>
      </c>
      <c r="J1818">
        <v>23</v>
      </c>
      <c r="K1818" s="17">
        <f t="shared" si="225"/>
        <v>1130.8333333333333</v>
      </c>
      <c r="L1818" t="str">
        <f t="shared" si="226"/>
        <v>Sufficuent Stock</v>
      </c>
      <c r="P1818" s="19">
        <f t="shared" si="227"/>
        <v>0</v>
      </c>
      <c r="R1818" s="19">
        <f t="shared" si="224"/>
        <v>0</v>
      </c>
      <c r="T1818" s="19">
        <f t="shared" si="228"/>
        <v>85845</v>
      </c>
      <c r="U1818" s="19">
        <f t="shared" si="229"/>
        <v>102586.25</v>
      </c>
      <c r="V1818" s="21">
        <f t="shared" si="230"/>
        <v>16741.25</v>
      </c>
      <c r="W1818" s="18">
        <f t="shared" si="231"/>
        <v>0.19501718213058419</v>
      </c>
    </row>
    <row r="1819" spans="1:23" x14ac:dyDescent="0.3">
      <c r="A1819" t="s">
        <v>539</v>
      </c>
      <c r="B1819" t="s">
        <v>2184</v>
      </c>
      <c r="C1819" t="s">
        <v>23</v>
      </c>
      <c r="D1819" t="s">
        <v>69</v>
      </c>
      <c r="E1819">
        <v>2990</v>
      </c>
      <c r="F1819">
        <v>310.27</v>
      </c>
      <c r="G1819">
        <v>344.41</v>
      </c>
      <c r="H1819">
        <v>310.27</v>
      </c>
      <c r="I1819">
        <v>251</v>
      </c>
      <c r="J1819">
        <v>23</v>
      </c>
      <c r="K1819" s="17">
        <f t="shared" si="225"/>
        <v>192.43333333333334</v>
      </c>
      <c r="L1819" t="str">
        <f t="shared" si="226"/>
        <v>Sufficuent Stock</v>
      </c>
      <c r="P1819" s="19">
        <f t="shared" si="227"/>
        <v>0</v>
      </c>
      <c r="R1819" s="19">
        <f t="shared" si="224"/>
        <v>0</v>
      </c>
      <c r="T1819" s="19">
        <f t="shared" si="228"/>
        <v>86446.91</v>
      </c>
      <c r="U1819" s="19">
        <f t="shared" si="229"/>
        <v>77877.76999999999</v>
      </c>
      <c r="V1819" s="21">
        <f t="shared" si="230"/>
        <v>-8569.140000000014</v>
      </c>
      <c r="W1819" s="18">
        <f t="shared" si="231"/>
        <v>-9.9126041636421858E-2</v>
      </c>
    </row>
    <row r="1820" spans="1:23" x14ac:dyDescent="0.3">
      <c r="A1820" t="s">
        <v>53</v>
      </c>
      <c r="B1820" t="s">
        <v>1021</v>
      </c>
      <c r="C1820" t="s">
        <v>16</v>
      </c>
      <c r="D1820" t="s">
        <v>20</v>
      </c>
      <c r="E1820">
        <v>2991</v>
      </c>
      <c r="F1820">
        <v>260.79000000000002</v>
      </c>
      <c r="G1820">
        <v>219.58</v>
      </c>
      <c r="H1820">
        <v>260.79000000000002</v>
      </c>
      <c r="I1820">
        <v>1536</v>
      </c>
      <c r="J1820">
        <v>18</v>
      </c>
      <c r="K1820" s="17">
        <f t="shared" si="225"/>
        <v>921.6</v>
      </c>
      <c r="L1820" t="str">
        <f t="shared" si="226"/>
        <v>Sufficuent Stock</v>
      </c>
      <c r="P1820" s="19">
        <f t="shared" si="227"/>
        <v>0</v>
      </c>
      <c r="R1820" s="19">
        <f t="shared" si="224"/>
        <v>0</v>
      </c>
      <c r="T1820" s="19">
        <f t="shared" si="228"/>
        <v>337274.88</v>
      </c>
      <c r="U1820" s="19">
        <f t="shared" si="229"/>
        <v>400573.44000000006</v>
      </c>
      <c r="V1820" s="21">
        <f t="shared" si="230"/>
        <v>63298.560000000056</v>
      </c>
      <c r="W1820" s="18">
        <f t="shared" si="231"/>
        <v>0.18767647326714654</v>
      </c>
    </row>
    <row r="1821" spans="1:23" x14ac:dyDescent="0.3">
      <c r="A1821" t="s">
        <v>618</v>
      </c>
      <c r="B1821" t="s">
        <v>619</v>
      </c>
      <c r="C1821" t="s">
        <v>50</v>
      </c>
      <c r="D1821" t="s">
        <v>20</v>
      </c>
      <c r="E1821">
        <v>2991</v>
      </c>
      <c r="F1821">
        <v>373.34</v>
      </c>
      <c r="G1821">
        <v>317.70999999999998</v>
      </c>
      <c r="H1821">
        <v>373.34</v>
      </c>
      <c r="I1821">
        <v>195</v>
      </c>
      <c r="J1821">
        <v>81</v>
      </c>
      <c r="K1821" s="17">
        <f t="shared" si="225"/>
        <v>526.5</v>
      </c>
      <c r="L1821" t="str">
        <f t="shared" si="226"/>
        <v>Sufficuent Stock</v>
      </c>
      <c r="P1821" s="19">
        <f t="shared" si="227"/>
        <v>0</v>
      </c>
      <c r="R1821" s="19">
        <f t="shared" si="224"/>
        <v>0</v>
      </c>
      <c r="T1821" s="19">
        <f t="shared" si="228"/>
        <v>61953.45</v>
      </c>
      <c r="U1821" s="19">
        <f t="shared" si="229"/>
        <v>72801.299999999988</v>
      </c>
      <c r="V1821" s="21">
        <f t="shared" si="230"/>
        <v>10847.849999999991</v>
      </c>
      <c r="W1821" s="18">
        <f t="shared" si="231"/>
        <v>0.17509678637751394</v>
      </c>
    </row>
    <row r="1822" spans="1:23" x14ac:dyDescent="0.3">
      <c r="A1822" t="s">
        <v>498</v>
      </c>
      <c r="B1822" t="s">
        <v>1510</v>
      </c>
      <c r="C1822" t="s">
        <v>23</v>
      </c>
      <c r="D1822" t="s">
        <v>26</v>
      </c>
      <c r="E1822">
        <v>2995</v>
      </c>
      <c r="F1822">
        <v>119.62</v>
      </c>
      <c r="G1822">
        <v>112.71</v>
      </c>
      <c r="H1822">
        <v>119.62</v>
      </c>
      <c r="I1822">
        <v>3991</v>
      </c>
      <c r="J1822">
        <v>89</v>
      </c>
      <c r="K1822" s="17">
        <f t="shared" si="225"/>
        <v>11839.966666666667</v>
      </c>
      <c r="L1822" t="str">
        <f t="shared" si="226"/>
        <v>High Risk</v>
      </c>
      <c r="P1822" s="19">
        <f t="shared" si="227"/>
        <v>8845</v>
      </c>
      <c r="R1822" s="19">
        <f t="shared" si="224"/>
        <v>1058038.9000000001</v>
      </c>
      <c r="T1822" s="19">
        <f t="shared" si="228"/>
        <v>449825.61</v>
      </c>
      <c r="U1822" s="19">
        <f t="shared" si="229"/>
        <v>477403.42000000004</v>
      </c>
      <c r="V1822" s="21">
        <f t="shared" si="230"/>
        <v>27577.810000000056</v>
      </c>
      <c r="W1822" s="18">
        <f t="shared" si="231"/>
        <v>6.1307781030964549E-2</v>
      </c>
    </row>
    <row r="1823" spans="1:23" x14ac:dyDescent="0.3">
      <c r="A1823" t="s">
        <v>644</v>
      </c>
      <c r="B1823" t="s">
        <v>2374</v>
      </c>
      <c r="C1823" t="s">
        <v>37</v>
      </c>
      <c r="D1823" t="s">
        <v>13</v>
      </c>
      <c r="E1823">
        <v>2996</v>
      </c>
      <c r="F1823">
        <v>459.47</v>
      </c>
      <c r="G1823">
        <v>411.28</v>
      </c>
      <c r="H1823">
        <v>459.47</v>
      </c>
      <c r="I1823">
        <v>2256</v>
      </c>
      <c r="J1823">
        <v>7</v>
      </c>
      <c r="K1823" s="17">
        <f t="shared" si="225"/>
        <v>526.4</v>
      </c>
      <c r="L1823" t="str">
        <f t="shared" si="226"/>
        <v>Sufficuent Stock</v>
      </c>
      <c r="P1823" s="19">
        <f t="shared" si="227"/>
        <v>0</v>
      </c>
      <c r="R1823" s="19">
        <f t="shared" si="224"/>
        <v>0</v>
      </c>
      <c r="T1823" s="19">
        <f t="shared" si="228"/>
        <v>927847.67999999993</v>
      </c>
      <c r="U1823" s="19">
        <f t="shared" si="229"/>
        <v>1036564.3200000001</v>
      </c>
      <c r="V1823" s="21">
        <f t="shared" si="230"/>
        <v>108716.64000000013</v>
      </c>
      <c r="W1823" s="18">
        <f t="shared" si="231"/>
        <v>0.11717078389418416</v>
      </c>
    </row>
    <row r="1824" spans="1:23" x14ac:dyDescent="0.3">
      <c r="A1824" t="s">
        <v>370</v>
      </c>
      <c r="B1824" t="s">
        <v>371</v>
      </c>
      <c r="C1824" t="s">
        <v>23</v>
      </c>
      <c r="D1824" t="s">
        <v>26</v>
      </c>
      <c r="E1824">
        <v>2998</v>
      </c>
      <c r="F1824">
        <v>471.53</v>
      </c>
      <c r="G1824">
        <v>443.11</v>
      </c>
      <c r="H1824">
        <v>471.53</v>
      </c>
      <c r="I1824">
        <v>482</v>
      </c>
      <c r="J1824">
        <v>21</v>
      </c>
      <c r="K1824" s="17">
        <f t="shared" si="225"/>
        <v>337.4</v>
      </c>
      <c r="L1824" t="str">
        <f t="shared" si="226"/>
        <v>Sufficuent Stock</v>
      </c>
      <c r="P1824" s="19">
        <f t="shared" si="227"/>
        <v>0</v>
      </c>
      <c r="R1824" s="19">
        <f t="shared" si="224"/>
        <v>0</v>
      </c>
      <c r="T1824" s="19">
        <f t="shared" si="228"/>
        <v>213579.02000000002</v>
      </c>
      <c r="U1824" s="19">
        <f t="shared" si="229"/>
        <v>227277.46</v>
      </c>
      <c r="V1824" s="21">
        <f t="shared" si="230"/>
        <v>13698.439999999973</v>
      </c>
      <c r="W1824" s="18">
        <f t="shared" si="231"/>
        <v>6.4137573063121886E-2</v>
      </c>
    </row>
    <row r="1825" spans="1:23" x14ac:dyDescent="0.3">
      <c r="A1825" t="s">
        <v>477</v>
      </c>
      <c r="B1825" t="s">
        <v>2339</v>
      </c>
      <c r="C1825" t="s">
        <v>50</v>
      </c>
      <c r="D1825" t="s">
        <v>13</v>
      </c>
      <c r="E1825">
        <v>3002</v>
      </c>
      <c r="F1825">
        <v>280.94</v>
      </c>
      <c r="G1825">
        <v>265.27999999999997</v>
      </c>
      <c r="H1825">
        <v>280.94</v>
      </c>
      <c r="I1825">
        <v>3940</v>
      </c>
      <c r="J1825">
        <v>63</v>
      </c>
      <c r="K1825" s="17">
        <f t="shared" si="225"/>
        <v>8274</v>
      </c>
      <c r="L1825" t="str">
        <f t="shared" si="226"/>
        <v>High Risk</v>
      </c>
      <c r="P1825" s="19">
        <f t="shared" si="227"/>
        <v>5272</v>
      </c>
      <c r="R1825" s="19">
        <f t="shared" si="224"/>
        <v>1481115.68</v>
      </c>
      <c r="T1825" s="19">
        <f t="shared" si="228"/>
        <v>1045203.1999999998</v>
      </c>
      <c r="U1825" s="19">
        <f t="shared" si="229"/>
        <v>1106903.6000000001</v>
      </c>
      <c r="V1825" s="21">
        <f t="shared" si="230"/>
        <v>61700.400000000256</v>
      </c>
      <c r="W1825" s="18">
        <f t="shared" si="231"/>
        <v>5.9031966224366961E-2</v>
      </c>
    </row>
    <row r="1826" spans="1:23" x14ac:dyDescent="0.3">
      <c r="A1826" t="s">
        <v>121</v>
      </c>
      <c r="B1826" t="s">
        <v>1656</v>
      </c>
      <c r="C1826" t="s">
        <v>50</v>
      </c>
      <c r="D1826" t="s">
        <v>17</v>
      </c>
      <c r="E1826">
        <v>3003</v>
      </c>
      <c r="F1826">
        <v>49.22</v>
      </c>
      <c r="G1826">
        <v>48.2</v>
      </c>
      <c r="H1826">
        <v>49.22</v>
      </c>
      <c r="I1826">
        <v>3042</v>
      </c>
      <c r="J1826">
        <v>52</v>
      </c>
      <c r="K1826" s="17">
        <f t="shared" si="225"/>
        <v>5272.8</v>
      </c>
      <c r="L1826" t="str">
        <f t="shared" si="226"/>
        <v>High Risk</v>
      </c>
      <c r="P1826" s="19">
        <f t="shared" si="227"/>
        <v>2270</v>
      </c>
      <c r="R1826" s="19">
        <f t="shared" si="224"/>
        <v>111729.4</v>
      </c>
      <c r="T1826" s="19">
        <f t="shared" si="228"/>
        <v>146624.4</v>
      </c>
      <c r="U1826" s="19">
        <f t="shared" si="229"/>
        <v>149727.24</v>
      </c>
      <c r="V1826" s="21">
        <f t="shared" si="230"/>
        <v>3102.8399999999965</v>
      </c>
      <c r="W1826" s="18">
        <f t="shared" si="231"/>
        <v>2.1161825726141056E-2</v>
      </c>
    </row>
    <row r="1827" spans="1:23" x14ac:dyDescent="0.3">
      <c r="A1827" t="s">
        <v>1829</v>
      </c>
      <c r="B1827" t="s">
        <v>1972</v>
      </c>
      <c r="C1827" t="s">
        <v>16</v>
      </c>
      <c r="D1827" t="s">
        <v>20</v>
      </c>
      <c r="E1827">
        <v>3005</v>
      </c>
      <c r="F1827">
        <v>69.63</v>
      </c>
      <c r="G1827">
        <v>62.64</v>
      </c>
      <c r="H1827">
        <v>69.63</v>
      </c>
      <c r="I1827">
        <v>3354</v>
      </c>
      <c r="J1827">
        <v>75</v>
      </c>
      <c r="K1827" s="17">
        <f t="shared" si="225"/>
        <v>8385</v>
      </c>
      <c r="L1827" t="str">
        <f t="shared" si="226"/>
        <v>High Risk</v>
      </c>
      <c r="P1827" s="19">
        <f t="shared" si="227"/>
        <v>5380</v>
      </c>
      <c r="R1827" s="19">
        <f t="shared" si="224"/>
        <v>374609.39999999997</v>
      </c>
      <c r="T1827" s="19">
        <f t="shared" si="228"/>
        <v>210094.56</v>
      </c>
      <c r="U1827" s="19">
        <f t="shared" si="229"/>
        <v>233539.02</v>
      </c>
      <c r="V1827" s="21">
        <f t="shared" si="230"/>
        <v>23444.459999999992</v>
      </c>
      <c r="W1827" s="18">
        <f t="shared" si="231"/>
        <v>0.1115900383141762</v>
      </c>
    </row>
    <row r="1828" spans="1:23" x14ac:dyDescent="0.3">
      <c r="A1828" t="s">
        <v>949</v>
      </c>
      <c r="B1828" t="s">
        <v>1370</v>
      </c>
      <c r="C1828" t="s">
        <v>12</v>
      </c>
      <c r="D1828" t="s">
        <v>13</v>
      </c>
      <c r="E1828">
        <v>3005</v>
      </c>
      <c r="F1828">
        <v>311.19</v>
      </c>
      <c r="G1828">
        <v>341.24</v>
      </c>
      <c r="H1828">
        <v>311.19</v>
      </c>
      <c r="I1828">
        <v>3056</v>
      </c>
      <c r="J1828">
        <v>38</v>
      </c>
      <c r="K1828" s="17">
        <f t="shared" si="225"/>
        <v>3870.9333333333329</v>
      </c>
      <c r="L1828" t="str">
        <f t="shared" si="226"/>
        <v>High Risk</v>
      </c>
      <c r="P1828" s="19">
        <f t="shared" si="227"/>
        <v>866</v>
      </c>
      <c r="R1828" s="19">
        <f t="shared" si="224"/>
        <v>269490.53999999998</v>
      </c>
      <c r="T1828" s="19">
        <f t="shared" si="228"/>
        <v>1042829.4400000001</v>
      </c>
      <c r="U1828" s="19">
        <f t="shared" si="229"/>
        <v>950996.64</v>
      </c>
      <c r="V1828" s="21">
        <f t="shared" si="230"/>
        <v>-91832.800000000047</v>
      </c>
      <c r="W1828" s="18">
        <f t="shared" si="231"/>
        <v>-8.8061188606259569E-2</v>
      </c>
    </row>
    <row r="1829" spans="1:23" x14ac:dyDescent="0.3">
      <c r="A1829" t="s">
        <v>121</v>
      </c>
      <c r="B1829" t="s">
        <v>912</v>
      </c>
      <c r="C1829" t="s">
        <v>23</v>
      </c>
      <c r="D1829" t="s">
        <v>17</v>
      </c>
      <c r="E1829">
        <v>3005</v>
      </c>
      <c r="F1829">
        <v>94.15</v>
      </c>
      <c r="G1829">
        <v>101.74</v>
      </c>
      <c r="H1829">
        <v>94.15</v>
      </c>
      <c r="I1829">
        <v>3946</v>
      </c>
      <c r="J1829">
        <v>37</v>
      </c>
      <c r="K1829" s="17">
        <f t="shared" si="225"/>
        <v>4866.7333333333336</v>
      </c>
      <c r="L1829" t="str">
        <f t="shared" si="226"/>
        <v>High Risk</v>
      </c>
      <c r="P1829" s="19">
        <f t="shared" si="227"/>
        <v>1862</v>
      </c>
      <c r="R1829" s="19">
        <f t="shared" si="224"/>
        <v>175307.30000000002</v>
      </c>
      <c r="T1829" s="19">
        <f t="shared" si="228"/>
        <v>401466.04</v>
      </c>
      <c r="U1829" s="19">
        <f t="shared" si="229"/>
        <v>371515.9</v>
      </c>
      <c r="V1829" s="21">
        <f t="shared" si="230"/>
        <v>-29950.139999999956</v>
      </c>
      <c r="W1829" s="18">
        <f t="shared" si="231"/>
        <v>-7.4601926479260755E-2</v>
      </c>
    </row>
    <row r="1830" spans="1:23" x14ac:dyDescent="0.3">
      <c r="A1830" t="s">
        <v>340</v>
      </c>
      <c r="B1830" t="s">
        <v>647</v>
      </c>
      <c r="C1830" t="s">
        <v>37</v>
      </c>
      <c r="D1830" t="s">
        <v>69</v>
      </c>
      <c r="E1830">
        <v>3007</v>
      </c>
      <c r="F1830">
        <v>307.68</v>
      </c>
      <c r="G1830">
        <v>295.36</v>
      </c>
      <c r="H1830">
        <v>307.68</v>
      </c>
      <c r="I1830">
        <v>568</v>
      </c>
      <c r="J1830">
        <v>79</v>
      </c>
      <c r="K1830" s="17">
        <f t="shared" si="225"/>
        <v>1495.7333333333333</v>
      </c>
      <c r="L1830" t="str">
        <f t="shared" si="226"/>
        <v>Sufficuent Stock</v>
      </c>
      <c r="P1830" s="19">
        <f t="shared" si="227"/>
        <v>0</v>
      </c>
      <c r="R1830" s="19">
        <f t="shared" si="224"/>
        <v>0</v>
      </c>
      <c r="T1830" s="19">
        <f t="shared" si="228"/>
        <v>167764.48000000001</v>
      </c>
      <c r="U1830" s="19">
        <f t="shared" si="229"/>
        <v>174762.23999999999</v>
      </c>
      <c r="V1830" s="21">
        <f t="shared" si="230"/>
        <v>6997.7599999999802</v>
      </c>
      <c r="W1830" s="18">
        <f t="shared" si="231"/>
        <v>4.1711809317442998E-2</v>
      </c>
    </row>
    <row r="1831" spans="1:23" x14ac:dyDescent="0.3">
      <c r="A1831" t="s">
        <v>626</v>
      </c>
      <c r="B1831" t="s">
        <v>627</v>
      </c>
      <c r="C1831" t="s">
        <v>12</v>
      </c>
      <c r="D1831" t="s">
        <v>20</v>
      </c>
      <c r="E1831">
        <v>3009</v>
      </c>
      <c r="F1831">
        <v>133.51</v>
      </c>
      <c r="G1831">
        <v>120.75</v>
      </c>
      <c r="H1831">
        <v>133.51</v>
      </c>
      <c r="I1831">
        <v>1819</v>
      </c>
      <c r="J1831">
        <v>56</v>
      </c>
      <c r="K1831" s="17">
        <f t="shared" si="225"/>
        <v>3395.4666666666667</v>
      </c>
      <c r="L1831" t="str">
        <f t="shared" si="226"/>
        <v>High Risk</v>
      </c>
      <c r="P1831" s="19">
        <f t="shared" si="227"/>
        <v>387</v>
      </c>
      <c r="R1831" s="19">
        <f t="shared" si="224"/>
        <v>51668.369999999995</v>
      </c>
      <c r="T1831" s="19">
        <f t="shared" si="228"/>
        <v>219644.25</v>
      </c>
      <c r="U1831" s="19">
        <f t="shared" si="229"/>
        <v>242854.68999999997</v>
      </c>
      <c r="V1831" s="21">
        <f t="shared" si="230"/>
        <v>23210.439999999973</v>
      </c>
      <c r="W1831" s="18">
        <f t="shared" si="231"/>
        <v>0.10567287784679077</v>
      </c>
    </row>
    <row r="1832" spans="1:23" x14ac:dyDescent="0.3">
      <c r="A1832" t="s">
        <v>686</v>
      </c>
      <c r="B1832" t="s">
        <v>1599</v>
      </c>
      <c r="C1832" t="s">
        <v>16</v>
      </c>
      <c r="D1832" t="s">
        <v>69</v>
      </c>
      <c r="E1832">
        <v>3013</v>
      </c>
      <c r="F1832">
        <v>297.95999999999998</v>
      </c>
      <c r="G1832">
        <v>286.77999999999997</v>
      </c>
      <c r="H1832">
        <v>297.95999999999998</v>
      </c>
      <c r="I1832">
        <v>1759</v>
      </c>
      <c r="J1832">
        <v>57</v>
      </c>
      <c r="K1832" s="17">
        <f t="shared" si="225"/>
        <v>3342.1</v>
      </c>
      <c r="L1832" t="str">
        <f t="shared" si="226"/>
        <v>High Risk</v>
      </c>
      <c r="P1832" s="19">
        <f t="shared" si="227"/>
        <v>330</v>
      </c>
      <c r="R1832" s="19">
        <f t="shared" si="224"/>
        <v>98326.799999999988</v>
      </c>
      <c r="T1832" s="19">
        <f t="shared" si="228"/>
        <v>504446.01999999996</v>
      </c>
      <c r="U1832" s="19">
        <f t="shared" si="229"/>
        <v>524111.63999999996</v>
      </c>
      <c r="V1832" s="21">
        <f t="shared" si="230"/>
        <v>19665.619999999995</v>
      </c>
      <c r="W1832" s="18">
        <f t="shared" si="231"/>
        <v>3.8984587488667267E-2</v>
      </c>
    </row>
    <row r="1833" spans="1:23" x14ac:dyDescent="0.3">
      <c r="A1833" t="s">
        <v>203</v>
      </c>
      <c r="B1833" t="s">
        <v>337</v>
      </c>
      <c r="C1833" t="s">
        <v>37</v>
      </c>
      <c r="D1833" t="s">
        <v>69</v>
      </c>
      <c r="E1833">
        <v>3014</v>
      </c>
      <c r="F1833">
        <v>198.22</v>
      </c>
      <c r="G1833">
        <v>165.25</v>
      </c>
      <c r="H1833">
        <v>198.22</v>
      </c>
      <c r="I1833">
        <v>2172</v>
      </c>
      <c r="J1833">
        <v>74</v>
      </c>
      <c r="K1833" s="17">
        <f t="shared" si="225"/>
        <v>5357.6</v>
      </c>
      <c r="L1833" t="str">
        <f t="shared" si="226"/>
        <v>High Risk</v>
      </c>
      <c r="P1833" s="19">
        <f t="shared" si="227"/>
        <v>2344</v>
      </c>
      <c r="R1833" s="19">
        <f t="shared" si="224"/>
        <v>464627.68</v>
      </c>
      <c r="T1833" s="19">
        <f t="shared" si="228"/>
        <v>358923</v>
      </c>
      <c r="U1833" s="19">
        <f t="shared" si="229"/>
        <v>430533.84</v>
      </c>
      <c r="V1833" s="21">
        <f t="shared" si="230"/>
        <v>71610.840000000026</v>
      </c>
      <c r="W1833" s="18">
        <f t="shared" si="231"/>
        <v>0.19951588502269296</v>
      </c>
    </row>
    <row r="1834" spans="1:23" x14ac:dyDescent="0.3">
      <c r="A1834" t="s">
        <v>44</v>
      </c>
      <c r="B1834" t="s">
        <v>2147</v>
      </c>
      <c r="C1834" t="s">
        <v>16</v>
      </c>
      <c r="D1834" t="s">
        <v>26</v>
      </c>
      <c r="E1834">
        <v>3014</v>
      </c>
      <c r="F1834">
        <v>309.60000000000002</v>
      </c>
      <c r="G1834">
        <v>331.83</v>
      </c>
      <c r="H1834">
        <v>309.60000000000002</v>
      </c>
      <c r="I1834">
        <v>2299</v>
      </c>
      <c r="J1834">
        <v>15</v>
      </c>
      <c r="K1834" s="17">
        <f t="shared" si="225"/>
        <v>1149.5</v>
      </c>
      <c r="L1834" t="str">
        <f t="shared" si="226"/>
        <v>Sufficuent Stock</v>
      </c>
      <c r="P1834" s="19">
        <f t="shared" si="227"/>
        <v>0</v>
      </c>
      <c r="R1834" s="19">
        <f t="shared" si="224"/>
        <v>0</v>
      </c>
      <c r="T1834" s="19">
        <f t="shared" si="228"/>
        <v>762877.16999999993</v>
      </c>
      <c r="U1834" s="19">
        <f t="shared" si="229"/>
        <v>711770.4</v>
      </c>
      <c r="V1834" s="21">
        <f t="shared" si="230"/>
        <v>-51106.769999999902</v>
      </c>
      <c r="W1834" s="18">
        <f t="shared" si="231"/>
        <v>-6.6992134526715361E-2</v>
      </c>
    </row>
    <row r="1835" spans="1:23" x14ac:dyDescent="0.3">
      <c r="A1835" t="s">
        <v>1253</v>
      </c>
      <c r="B1835" t="s">
        <v>1629</v>
      </c>
      <c r="C1835" t="s">
        <v>16</v>
      </c>
      <c r="D1835" t="s">
        <v>69</v>
      </c>
      <c r="E1835">
        <v>3015</v>
      </c>
      <c r="F1835">
        <v>383.5</v>
      </c>
      <c r="G1835">
        <v>405.54</v>
      </c>
      <c r="H1835">
        <v>383.5</v>
      </c>
      <c r="I1835">
        <v>1944</v>
      </c>
      <c r="J1835">
        <v>87</v>
      </c>
      <c r="K1835" s="17">
        <f t="shared" si="225"/>
        <v>5637.5999999999995</v>
      </c>
      <c r="L1835" t="str">
        <f t="shared" si="226"/>
        <v>High Risk</v>
      </c>
      <c r="P1835" s="19">
        <f t="shared" si="227"/>
        <v>2623</v>
      </c>
      <c r="R1835" s="19">
        <f t="shared" si="224"/>
        <v>1005920.5</v>
      </c>
      <c r="T1835" s="19">
        <f t="shared" si="228"/>
        <v>788369.76</v>
      </c>
      <c r="U1835" s="19">
        <f t="shared" si="229"/>
        <v>745524</v>
      </c>
      <c r="V1835" s="21">
        <f t="shared" si="230"/>
        <v>-42845.760000000009</v>
      </c>
      <c r="W1835" s="18">
        <f t="shared" si="231"/>
        <v>-5.4347290033042374E-2</v>
      </c>
    </row>
    <row r="1836" spans="1:23" x14ac:dyDescent="0.3">
      <c r="A1836" t="s">
        <v>642</v>
      </c>
      <c r="B1836" t="s">
        <v>1210</v>
      </c>
      <c r="C1836" t="s">
        <v>23</v>
      </c>
      <c r="D1836" t="s">
        <v>17</v>
      </c>
      <c r="E1836">
        <v>3017</v>
      </c>
      <c r="F1836">
        <v>429.07</v>
      </c>
      <c r="G1836">
        <v>375.1</v>
      </c>
      <c r="H1836">
        <v>429.07</v>
      </c>
      <c r="I1836">
        <v>521</v>
      </c>
      <c r="J1836">
        <v>44</v>
      </c>
      <c r="K1836" s="17">
        <f t="shared" si="225"/>
        <v>764.13333333333333</v>
      </c>
      <c r="L1836" t="str">
        <f t="shared" si="226"/>
        <v>Sufficuent Stock</v>
      </c>
      <c r="P1836" s="19">
        <f t="shared" si="227"/>
        <v>0</v>
      </c>
      <c r="R1836" s="19">
        <f t="shared" si="224"/>
        <v>0</v>
      </c>
      <c r="T1836" s="19">
        <f t="shared" si="228"/>
        <v>195427.1</v>
      </c>
      <c r="U1836" s="19">
        <f t="shared" si="229"/>
        <v>223545.47</v>
      </c>
      <c r="V1836" s="21">
        <f t="shared" si="230"/>
        <v>28118.369999999995</v>
      </c>
      <c r="W1836" s="18">
        <f t="shared" si="231"/>
        <v>0.14388163156491598</v>
      </c>
    </row>
    <row r="1837" spans="1:23" x14ac:dyDescent="0.3">
      <c r="A1837" t="s">
        <v>53</v>
      </c>
      <c r="B1837" t="s">
        <v>1816</v>
      </c>
      <c r="C1837" t="s">
        <v>12</v>
      </c>
      <c r="D1837" t="s">
        <v>26</v>
      </c>
      <c r="E1837">
        <v>3018</v>
      </c>
      <c r="F1837">
        <v>34.56</v>
      </c>
      <c r="G1837">
        <v>30.24</v>
      </c>
      <c r="H1837">
        <v>34.56</v>
      </c>
      <c r="I1837">
        <v>594</v>
      </c>
      <c r="J1837">
        <v>36</v>
      </c>
      <c r="K1837" s="17">
        <f t="shared" si="225"/>
        <v>712.80000000000007</v>
      </c>
      <c r="L1837" t="str">
        <f t="shared" si="226"/>
        <v>Sufficuent Stock</v>
      </c>
      <c r="P1837" s="19">
        <f t="shared" si="227"/>
        <v>0</v>
      </c>
      <c r="R1837" s="19">
        <f t="shared" si="224"/>
        <v>0</v>
      </c>
      <c r="T1837" s="19">
        <f t="shared" si="228"/>
        <v>17962.559999999998</v>
      </c>
      <c r="U1837" s="19">
        <f t="shared" si="229"/>
        <v>20528.640000000003</v>
      </c>
      <c r="V1837" s="21">
        <f t="shared" si="230"/>
        <v>2566.0800000000054</v>
      </c>
      <c r="W1837" s="18">
        <f t="shared" si="231"/>
        <v>0.14285714285714318</v>
      </c>
    </row>
    <row r="1838" spans="1:23" x14ac:dyDescent="0.3">
      <c r="A1838" t="s">
        <v>98</v>
      </c>
      <c r="B1838" t="s">
        <v>572</v>
      </c>
      <c r="C1838" t="s">
        <v>50</v>
      </c>
      <c r="D1838" t="s">
        <v>20</v>
      </c>
      <c r="E1838">
        <v>3018</v>
      </c>
      <c r="F1838">
        <v>350.46</v>
      </c>
      <c r="G1838">
        <v>365.05</v>
      </c>
      <c r="H1838">
        <v>350.46</v>
      </c>
      <c r="I1838">
        <v>2885</v>
      </c>
      <c r="J1838">
        <v>69</v>
      </c>
      <c r="K1838" s="17">
        <f t="shared" si="225"/>
        <v>6635.5</v>
      </c>
      <c r="L1838" t="str">
        <f t="shared" si="226"/>
        <v>High Risk</v>
      </c>
      <c r="P1838" s="19">
        <f t="shared" si="227"/>
        <v>3618</v>
      </c>
      <c r="R1838" s="19">
        <f t="shared" si="224"/>
        <v>1267964.28</v>
      </c>
      <c r="T1838" s="19">
        <f t="shared" si="228"/>
        <v>1053169.25</v>
      </c>
      <c r="U1838" s="19">
        <f t="shared" si="229"/>
        <v>1011077.1</v>
      </c>
      <c r="V1838" s="21">
        <f t="shared" si="230"/>
        <v>-42092.150000000023</v>
      </c>
      <c r="W1838" s="18">
        <f t="shared" si="231"/>
        <v>-3.9967127790713625E-2</v>
      </c>
    </row>
    <row r="1839" spans="1:23" x14ac:dyDescent="0.3">
      <c r="A1839" t="s">
        <v>21</v>
      </c>
      <c r="B1839" t="s">
        <v>1017</v>
      </c>
      <c r="C1839" t="s">
        <v>12</v>
      </c>
      <c r="D1839" t="s">
        <v>69</v>
      </c>
      <c r="E1839">
        <v>3023</v>
      </c>
      <c r="F1839">
        <v>468.51</v>
      </c>
      <c r="G1839">
        <v>442.33</v>
      </c>
      <c r="H1839">
        <v>468.51</v>
      </c>
      <c r="I1839">
        <v>2618</v>
      </c>
      <c r="J1839">
        <v>82</v>
      </c>
      <c r="K1839" s="17">
        <f t="shared" si="225"/>
        <v>7155.8666666666668</v>
      </c>
      <c r="L1839" t="str">
        <f t="shared" si="226"/>
        <v>High Risk</v>
      </c>
      <c r="P1839" s="19">
        <f t="shared" si="227"/>
        <v>4133</v>
      </c>
      <c r="R1839" s="19">
        <f t="shared" si="224"/>
        <v>1936351.83</v>
      </c>
      <c r="T1839" s="19">
        <f t="shared" si="228"/>
        <v>1158019.94</v>
      </c>
      <c r="U1839" s="19">
        <f t="shared" si="229"/>
        <v>1226559.18</v>
      </c>
      <c r="V1839" s="21">
        <f t="shared" si="230"/>
        <v>68539.239999999991</v>
      </c>
      <c r="W1839" s="18">
        <f t="shared" si="231"/>
        <v>5.9186580155087827E-2</v>
      </c>
    </row>
    <row r="1840" spans="1:23" x14ac:dyDescent="0.3">
      <c r="A1840" t="s">
        <v>90</v>
      </c>
      <c r="B1840" t="s">
        <v>457</v>
      </c>
      <c r="C1840" t="s">
        <v>50</v>
      </c>
      <c r="D1840" t="s">
        <v>26</v>
      </c>
      <c r="E1840">
        <v>3026</v>
      </c>
      <c r="F1840">
        <v>382.1</v>
      </c>
      <c r="G1840">
        <v>342.8</v>
      </c>
      <c r="H1840">
        <v>382.1</v>
      </c>
      <c r="I1840">
        <v>158</v>
      </c>
      <c r="J1840">
        <v>74</v>
      </c>
      <c r="K1840" s="17">
        <f t="shared" si="225"/>
        <v>389.73333333333335</v>
      </c>
      <c r="L1840" t="str">
        <f t="shared" si="226"/>
        <v>Sufficuent Stock</v>
      </c>
      <c r="P1840" s="19">
        <f t="shared" si="227"/>
        <v>0</v>
      </c>
      <c r="R1840" s="19">
        <f t="shared" si="224"/>
        <v>0</v>
      </c>
      <c r="T1840" s="19">
        <f t="shared" si="228"/>
        <v>54162.400000000001</v>
      </c>
      <c r="U1840" s="19">
        <f t="shared" si="229"/>
        <v>60371.8</v>
      </c>
      <c r="V1840" s="21">
        <f t="shared" si="230"/>
        <v>6209.4000000000015</v>
      </c>
      <c r="W1840" s="18">
        <f t="shared" si="231"/>
        <v>0.11464410735122522</v>
      </c>
    </row>
    <row r="1841" spans="1:23" x14ac:dyDescent="0.3">
      <c r="A1841" t="s">
        <v>838</v>
      </c>
      <c r="B1841" t="s">
        <v>2467</v>
      </c>
      <c r="C1841" t="s">
        <v>16</v>
      </c>
      <c r="D1841" t="s">
        <v>20</v>
      </c>
      <c r="E1841">
        <v>3027</v>
      </c>
      <c r="F1841">
        <v>314.58999999999997</v>
      </c>
      <c r="G1841">
        <v>288.04000000000002</v>
      </c>
      <c r="H1841">
        <v>314.58999999999997</v>
      </c>
      <c r="I1841">
        <v>1374</v>
      </c>
      <c r="J1841">
        <v>51</v>
      </c>
      <c r="K1841" s="17">
        <f t="shared" si="225"/>
        <v>2335.7999999999997</v>
      </c>
      <c r="L1841" t="str">
        <f t="shared" si="226"/>
        <v>Sufficuent Stock</v>
      </c>
      <c r="P1841" s="19">
        <f t="shared" si="227"/>
        <v>0</v>
      </c>
      <c r="R1841" s="19">
        <f t="shared" si="224"/>
        <v>0</v>
      </c>
      <c r="T1841" s="19">
        <f t="shared" si="228"/>
        <v>395766.96</v>
      </c>
      <c r="U1841" s="19">
        <f t="shared" si="229"/>
        <v>432246.66</v>
      </c>
      <c r="V1841" s="21">
        <f t="shared" si="230"/>
        <v>36479.699999999953</v>
      </c>
      <c r="W1841" s="18">
        <f t="shared" si="231"/>
        <v>9.2174697958616741E-2</v>
      </c>
    </row>
    <row r="1842" spans="1:23" x14ac:dyDescent="0.3">
      <c r="A1842" t="s">
        <v>1170</v>
      </c>
      <c r="B1842" t="s">
        <v>3212</v>
      </c>
      <c r="C1842" t="s">
        <v>12</v>
      </c>
      <c r="D1842" t="s">
        <v>26</v>
      </c>
      <c r="E1842">
        <v>3027</v>
      </c>
      <c r="F1842">
        <v>173.6</v>
      </c>
      <c r="G1842">
        <v>187.2</v>
      </c>
      <c r="H1842">
        <v>173.6</v>
      </c>
      <c r="I1842">
        <v>3240</v>
      </c>
      <c r="J1842">
        <v>13</v>
      </c>
      <c r="K1842" s="17">
        <f t="shared" si="225"/>
        <v>1404</v>
      </c>
      <c r="L1842" t="str">
        <f t="shared" si="226"/>
        <v>Sufficuent Stock</v>
      </c>
      <c r="P1842" s="19">
        <f t="shared" si="227"/>
        <v>0</v>
      </c>
      <c r="R1842" s="19">
        <f t="shared" si="224"/>
        <v>0</v>
      </c>
      <c r="T1842" s="19">
        <f t="shared" si="228"/>
        <v>606528</v>
      </c>
      <c r="U1842" s="19">
        <f t="shared" si="229"/>
        <v>562464</v>
      </c>
      <c r="V1842" s="21">
        <f t="shared" si="230"/>
        <v>-44064</v>
      </c>
      <c r="W1842" s="18">
        <f t="shared" si="231"/>
        <v>-7.2649572649572655E-2</v>
      </c>
    </row>
    <row r="1843" spans="1:23" x14ac:dyDescent="0.3">
      <c r="A1843" t="s">
        <v>1445</v>
      </c>
      <c r="B1843" t="s">
        <v>1813</v>
      </c>
      <c r="C1843" t="s">
        <v>16</v>
      </c>
      <c r="D1843" t="s">
        <v>13</v>
      </c>
      <c r="E1843">
        <v>3028</v>
      </c>
      <c r="F1843">
        <v>25.72</v>
      </c>
      <c r="G1843">
        <v>27.92</v>
      </c>
      <c r="H1843">
        <v>25.72</v>
      </c>
      <c r="I1843">
        <v>3613</v>
      </c>
      <c r="J1843">
        <v>15</v>
      </c>
      <c r="K1843" s="17">
        <f t="shared" si="225"/>
        <v>1806.5</v>
      </c>
      <c r="L1843" t="str">
        <f t="shared" si="226"/>
        <v>Sufficuent Stock</v>
      </c>
      <c r="P1843" s="19">
        <f t="shared" si="227"/>
        <v>0</v>
      </c>
      <c r="R1843" s="19">
        <f t="shared" si="224"/>
        <v>0</v>
      </c>
      <c r="T1843" s="19">
        <f t="shared" si="228"/>
        <v>100874.96</v>
      </c>
      <c r="U1843" s="19">
        <f t="shared" si="229"/>
        <v>92926.36</v>
      </c>
      <c r="V1843" s="21">
        <f t="shared" si="230"/>
        <v>-7948.6000000000058</v>
      </c>
      <c r="W1843" s="18">
        <f t="shared" si="231"/>
        <v>-7.8796561604584578E-2</v>
      </c>
    </row>
    <row r="1844" spans="1:23" x14ac:dyDescent="0.3">
      <c r="A1844" t="s">
        <v>562</v>
      </c>
      <c r="B1844" t="s">
        <v>2136</v>
      </c>
      <c r="C1844" t="s">
        <v>12</v>
      </c>
      <c r="D1844" t="s">
        <v>69</v>
      </c>
      <c r="E1844">
        <v>3028</v>
      </c>
      <c r="F1844">
        <v>388.15</v>
      </c>
      <c r="G1844">
        <v>402.13</v>
      </c>
      <c r="H1844">
        <v>388.15</v>
      </c>
      <c r="I1844">
        <v>220</v>
      </c>
      <c r="J1844">
        <v>27</v>
      </c>
      <c r="K1844" s="17">
        <f t="shared" si="225"/>
        <v>198</v>
      </c>
      <c r="L1844" t="str">
        <f t="shared" si="226"/>
        <v>Sufficuent Stock</v>
      </c>
      <c r="P1844" s="19">
        <f t="shared" si="227"/>
        <v>0</v>
      </c>
      <c r="R1844" s="19">
        <f t="shared" si="224"/>
        <v>0</v>
      </c>
      <c r="T1844" s="19">
        <f t="shared" si="228"/>
        <v>88468.6</v>
      </c>
      <c r="U1844" s="19">
        <f t="shared" si="229"/>
        <v>85393</v>
      </c>
      <c r="V1844" s="21">
        <f t="shared" si="230"/>
        <v>-3075.6000000000058</v>
      </c>
      <c r="W1844" s="18">
        <f t="shared" si="231"/>
        <v>-3.4764877029816295E-2</v>
      </c>
    </row>
    <row r="1845" spans="1:23" x14ac:dyDescent="0.3">
      <c r="A1845" t="s">
        <v>798</v>
      </c>
      <c r="B1845" t="s">
        <v>2193</v>
      </c>
      <c r="C1845" t="s">
        <v>23</v>
      </c>
      <c r="D1845" t="s">
        <v>69</v>
      </c>
      <c r="E1845">
        <v>3029</v>
      </c>
      <c r="F1845">
        <v>386.54</v>
      </c>
      <c r="G1845">
        <v>341.72</v>
      </c>
      <c r="H1845">
        <v>386.54</v>
      </c>
      <c r="I1845">
        <v>871</v>
      </c>
      <c r="J1845">
        <v>76</v>
      </c>
      <c r="K1845" s="17">
        <f t="shared" si="225"/>
        <v>2206.5333333333333</v>
      </c>
      <c r="L1845" t="str">
        <f t="shared" si="226"/>
        <v>Sufficuent Stock</v>
      </c>
      <c r="P1845" s="19">
        <f t="shared" si="227"/>
        <v>0</v>
      </c>
      <c r="R1845" s="19">
        <f t="shared" si="224"/>
        <v>0</v>
      </c>
      <c r="T1845" s="19">
        <f t="shared" si="228"/>
        <v>297638.12</v>
      </c>
      <c r="U1845" s="19">
        <f t="shared" si="229"/>
        <v>336676.34</v>
      </c>
      <c r="V1845" s="21">
        <f t="shared" si="230"/>
        <v>39038.22000000003</v>
      </c>
      <c r="W1845" s="18">
        <f t="shared" si="231"/>
        <v>0.13116001404658795</v>
      </c>
    </row>
    <row r="1846" spans="1:23" x14ac:dyDescent="0.3">
      <c r="A1846" t="s">
        <v>688</v>
      </c>
      <c r="B1846" t="s">
        <v>689</v>
      </c>
      <c r="C1846" t="s">
        <v>23</v>
      </c>
      <c r="D1846" t="s">
        <v>69</v>
      </c>
      <c r="E1846">
        <v>3030</v>
      </c>
      <c r="F1846">
        <v>404.89</v>
      </c>
      <c r="G1846">
        <v>349.18</v>
      </c>
      <c r="H1846">
        <v>404.89</v>
      </c>
      <c r="I1846">
        <v>2515</v>
      </c>
      <c r="J1846">
        <v>40</v>
      </c>
      <c r="K1846" s="17">
        <f t="shared" si="225"/>
        <v>3353.333333333333</v>
      </c>
      <c r="L1846" t="str">
        <f t="shared" si="226"/>
        <v>High Risk</v>
      </c>
      <c r="P1846" s="19">
        <f t="shared" si="227"/>
        <v>324</v>
      </c>
      <c r="R1846" s="19">
        <f t="shared" si="224"/>
        <v>131184.35999999999</v>
      </c>
      <c r="T1846" s="19">
        <f t="shared" si="228"/>
        <v>878187.70000000007</v>
      </c>
      <c r="U1846" s="19">
        <f t="shared" si="229"/>
        <v>1018298.35</v>
      </c>
      <c r="V1846" s="21">
        <f t="shared" si="230"/>
        <v>140110.64999999991</v>
      </c>
      <c r="W1846" s="18">
        <f t="shared" si="231"/>
        <v>0.15954522023025361</v>
      </c>
    </row>
    <row r="1847" spans="1:23" x14ac:dyDescent="0.3">
      <c r="A1847" t="s">
        <v>78</v>
      </c>
      <c r="B1847" t="s">
        <v>1921</v>
      </c>
      <c r="C1847" t="s">
        <v>23</v>
      </c>
      <c r="D1847" t="s">
        <v>69</v>
      </c>
      <c r="E1847">
        <v>3032</v>
      </c>
      <c r="F1847">
        <v>55.43</v>
      </c>
      <c r="G1847">
        <v>56.41</v>
      </c>
      <c r="H1847">
        <v>55.43</v>
      </c>
      <c r="I1847">
        <v>1612</v>
      </c>
      <c r="J1847">
        <v>81</v>
      </c>
      <c r="K1847" s="17">
        <f t="shared" si="225"/>
        <v>4352.3999999999996</v>
      </c>
      <c r="L1847" t="str">
        <f t="shared" si="226"/>
        <v>High Risk</v>
      </c>
      <c r="P1847" s="19">
        <f t="shared" si="227"/>
        <v>1321</v>
      </c>
      <c r="R1847" s="19">
        <f t="shared" si="224"/>
        <v>73223.03</v>
      </c>
      <c r="T1847" s="19">
        <f t="shared" si="228"/>
        <v>90932.92</v>
      </c>
      <c r="U1847" s="19">
        <f t="shared" si="229"/>
        <v>89353.16</v>
      </c>
      <c r="V1847" s="21">
        <f t="shared" si="230"/>
        <v>-1579.7599999999948</v>
      </c>
      <c r="W1847" s="18">
        <f t="shared" si="231"/>
        <v>-1.7372806240028307E-2</v>
      </c>
    </row>
    <row r="1848" spans="1:23" x14ac:dyDescent="0.3">
      <c r="A1848" t="s">
        <v>404</v>
      </c>
      <c r="B1848" t="s">
        <v>1260</v>
      </c>
      <c r="C1848" t="s">
        <v>50</v>
      </c>
      <c r="D1848" t="s">
        <v>13</v>
      </c>
      <c r="E1848">
        <v>3032</v>
      </c>
      <c r="F1848">
        <v>539.53</v>
      </c>
      <c r="G1848">
        <v>485.56</v>
      </c>
      <c r="H1848">
        <v>539.53</v>
      </c>
      <c r="I1848">
        <v>2690</v>
      </c>
      <c r="J1848">
        <v>14</v>
      </c>
      <c r="K1848" s="17">
        <f t="shared" si="225"/>
        <v>1255.3333333333335</v>
      </c>
      <c r="L1848" t="str">
        <f t="shared" si="226"/>
        <v>Sufficuent Stock</v>
      </c>
      <c r="P1848" s="19">
        <f t="shared" si="227"/>
        <v>0</v>
      </c>
      <c r="R1848" s="19">
        <f t="shared" si="224"/>
        <v>0</v>
      </c>
      <c r="T1848" s="19">
        <f t="shared" si="228"/>
        <v>1306156.3999999999</v>
      </c>
      <c r="U1848" s="19">
        <f t="shared" si="229"/>
        <v>1451335.7</v>
      </c>
      <c r="V1848" s="21">
        <f t="shared" si="230"/>
        <v>145179.30000000005</v>
      </c>
      <c r="W1848" s="18">
        <f t="shared" si="231"/>
        <v>0.11115001235686635</v>
      </c>
    </row>
    <row r="1849" spans="1:23" x14ac:dyDescent="0.3">
      <c r="A1849" t="s">
        <v>838</v>
      </c>
      <c r="B1849" t="s">
        <v>839</v>
      </c>
      <c r="C1849" t="s">
        <v>12</v>
      </c>
      <c r="D1849" t="s">
        <v>26</v>
      </c>
      <c r="E1849">
        <v>3036</v>
      </c>
      <c r="F1849">
        <v>405.7</v>
      </c>
      <c r="G1849">
        <v>345.77</v>
      </c>
      <c r="H1849">
        <v>405.7</v>
      </c>
      <c r="I1849">
        <v>3368</v>
      </c>
      <c r="J1849">
        <v>30</v>
      </c>
      <c r="K1849" s="17">
        <f t="shared" si="225"/>
        <v>3368</v>
      </c>
      <c r="L1849" t="str">
        <f t="shared" si="226"/>
        <v>High Risk</v>
      </c>
      <c r="P1849" s="19">
        <f t="shared" si="227"/>
        <v>332</v>
      </c>
      <c r="R1849" s="19">
        <f t="shared" si="224"/>
        <v>134692.4</v>
      </c>
      <c r="T1849" s="19">
        <f t="shared" si="228"/>
        <v>1164553.3599999999</v>
      </c>
      <c r="U1849" s="19">
        <f t="shared" si="229"/>
        <v>1366397.5999999999</v>
      </c>
      <c r="V1849" s="21">
        <f t="shared" si="230"/>
        <v>201844.24</v>
      </c>
      <c r="W1849" s="18">
        <f t="shared" si="231"/>
        <v>0.17332330740087343</v>
      </c>
    </row>
    <row r="1850" spans="1:23" x14ac:dyDescent="0.3">
      <c r="A1850" t="s">
        <v>115</v>
      </c>
      <c r="B1850" t="s">
        <v>116</v>
      </c>
      <c r="C1850" t="s">
        <v>37</v>
      </c>
      <c r="D1850" t="s">
        <v>20</v>
      </c>
      <c r="E1850">
        <v>3037</v>
      </c>
      <c r="F1850">
        <v>188.57</v>
      </c>
      <c r="G1850">
        <v>164.05</v>
      </c>
      <c r="H1850">
        <v>188.57</v>
      </c>
      <c r="I1850">
        <v>1828</v>
      </c>
      <c r="J1850">
        <v>23</v>
      </c>
      <c r="K1850" s="17">
        <f t="shared" si="225"/>
        <v>1401.4666666666667</v>
      </c>
      <c r="L1850" t="str">
        <f t="shared" si="226"/>
        <v>Sufficuent Stock</v>
      </c>
      <c r="P1850" s="19">
        <f t="shared" si="227"/>
        <v>0</v>
      </c>
      <c r="R1850" s="19">
        <f t="shared" si="224"/>
        <v>0</v>
      </c>
      <c r="T1850" s="19">
        <f t="shared" si="228"/>
        <v>299883.40000000002</v>
      </c>
      <c r="U1850" s="19">
        <f t="shared" si="229"/>
        <v>344705.95999999996</v>
      </c>
      <c r="V1850" s="21">
        <f t="shared" si="230"/>
        <v>44822.559999999939</v>
      </c>
      <c r="W1850" s="18">
        <f t="shared" si="231"/>
        <v>0.1494666260286496</v>
      </c>
    </row>
    <row r="1851" spans="1:23" x14ac:dyDescent="0.3">
      <c r="A1851" t="s">
        <v>727</v>
      </c>
      <c r="B1851" t="s">
        <v>2461</v>
      </c>
      <c r="C1851" t="s">
        <v>37</v>
      </c>
      <c r="D1851" t="s">
        <v>69</v>
      </c>
      <c r="E1851">
        <v>3040</v>
      </c>
      <c r="F1851">
        <v>320.56</v>
      </c>
      <c r="G1851">
        <v>316.62</v>
      </c>
      <c r="H1851">
        <v>320.56</v>
      </c>
      <c r="I1851">
        <v>3574</v>
      </c>
      <c r="J1851">
        <v>32</v>
      </c>
      <c r="K1851" s="17">
        <f t="shared" si="225"/>
        <v>3812.2666666666669</v>
      </c>
      <c r="L1851" t="str">
        <f t="shared" si="226"/>
        <v>High Risk</v>
      </c>
      <c r="P1851" s="19">
        <f t="shared" si="227"/>
        <v>773</v>
      </c>
      <c r="R1851" s="19">
        <f t="shared" si="224"/>
        <v>247792.88</v>
      </c>
      <c r="T1851" s="19">
        <f t="shared" si="228"/>
        <v>1131599.8800000001</v>
      </c>
      <c r="U1851" s="19">
        <f t="shared" si="229"/>
        <v>1145681.44</v>
      </c>
      <c r="V1851" s="21">
        <f t="shared" si="230"/>
        <v>14081.559999999823</v>
      </c>
      <c r="W1851" s="18">
        <f t="shared" si="231"/>
        <v>1.2443939106815584E-2</v>
      </c>
    </row>
    <row r="1852" spans="1:23" x14ac:dyDescent="0.3">
      <c r="A1852" t="s">
        <v>1243</v>
      </c>
      <c r="B1852" t="s">
        <v>1781</v>
      </c>
      <c r="C1852" t="s">
        <v>23</v>
      </c>
      <c r="D1852" t="s">
        <v>13</v>
      </c>
      <c r="E1852">
        <v>3042</v>
      </c>
      <c r="F1852">
        <v>318.14</v>
      </c>
      <c r="G1852">
        <v>267.86</v>
      </c>
      <c r="H1852">
        <v>318.14</v>
      </c>
      <c r="I1852">
        <v>1788</v>
      </c>
      <c r="J1852">
        <v>71</v>
      </c>
      <c r="K1852" s="17">
        <f t="shared" si="225"/>
        <v>4231.6000000000004</v>
      </c>
      <c r="L1852" t="str">
        <f t="shared" si="226"/>
        <v>High Risk</v>
      </c>
      <c r="P1852" s="19">
        <f t="shared" si="227"/>
        <v>1190</v>
      </c>
      <c r="R1852" s="19">
        <f t="shared" si="224"/>
        <v>378586.6</v>
      </c>
      <c r="T1852" s="19">
        <f t="shared" si="228"/>
        <v>478933.68000000005</v>
      </c>
      <c r="U1852" s="19">
        <f t="shared" si="229"/>
        <v>568834.31999999995</v>
      </c>
      <c r="V1852" s="21">
        <f t="shared" si="230"/>
        <v>89900.639999999898</v>
      </c>
      <c r="W1852" s="18">
        <f t="shared" si="231"/>
        <v>0.18770999776002367</v>
      </c>
    </row>
    <row r="1853" spans="1:23" x14ac:dyDescent="0.3">
      <c r="A1853" t="s">
        <v>952</v>
      </c>
      <c r="B1853" t="s">
        <v>2644</v>
      </c>
      <c r="C1853" t="s">
        <v>16</v>
      </c>
      <c r="D1853" t="s">
        <v>17</v>
      </c>
      <c r="E1853">
        <v>3048</v>
      </c>
      <c r="F1853">
        <v>227.26</v>
      </c>
      <c r="G1853">
        <v>245.47</v>
      </c>
      <c r="H1853">
        <v>227.26</v>
      </c>
      <c r="I1853">
        <v>2057</v>
      </c>
      <c r="J1853">
        <v>74</v>
      </c>
      <c r="K1853" s="17">
        <f t="shared" si="225"/>
        <v>5073.9333333333334</v>
      </c>
      <c r="L1853" t="str">
        <f t="shared" si="226"/>
        <v>High Risk</v>
      </c>
      <c r="P1853" s="19">
        <f t="shared" si="227"/>
        <v>2026</v>
      </c>
      <c r="R1853" s="19">
        <f t="shared" si="224"/>
        <v>460428.76</v>
      </c>
      <c r="T1853" s="19">
        <f t="shared" si="228"/>
        <v>504931.79</v>
      </c>
      <c r="U1853" s="19">
        <f t="shared" si="229"/>
        <v>467473.82</v>
      </c>
      <c r="V1853" s="21">
        <f t="shared" si="230"/>
        <v>-37457.969999999972</v>
      </c>
      <c r="W1853" s="18">
        <f t="shared" si="231"/>
        <v>-7.4184218030716537E-2</v>
      </c>
    </row>
    <row r="1854" spans="1:23" x14ac:dyDescent="0.3">
      <c r="A1854" t="s">
        <v>418</v>
      </c>
      <c r="B1854" t="s">
        <v>1685</v>
      </c>
      <c r="C1854" t="s">
        <v>37</v>
      </c>
      <c r="D1854" t="s">
        <v>17</v>
      </c>
      <c r="E1854">
        <v>3049</v>
      </c>
      <c r="F1854">
        <v>411.73</v>
      </c>
      <c r="G1854">
        <v>361.94</v>
      </c>
      <c r="H1854">
        <v>411.73</v>
      </c>
      <c r="I1854">
        <v>658</v>
      </c>
      <c r="J1854">
        <v>7</v>
      </c>
      <c r="K1854" s="17">
        <f t="shared" si="225"/>
        <v>153.53333333333333</v>
      </c>
      <c r="L1854" t="str">
        <f t="shared" si="226"/>
        <v>Sufficuent Stock</v>
      </c>
      <c r="P1854" s="19">
        <f t="shared" si="227"/>
        <v>0</v>
      </c>
      <c r="R1854" s="19">
        <f t="shared" si="224"/>
        <v>0</v>
      </c>
      <c r="T1854" s="19">
        <f t="shared" si="228"/>
        <v>238156.52</v>
      </c>
      <c r="U1854" s="19">
        <f t="shared" si="229"/>
        <v>270918.34000000003</v>
      </c>
      <c r="V1854" s="21">
        <f t="shared" si="230"/>
        <v>32761.820000000036</v>
      </c>
      <c r="W1854" s="18">
        <f t="shared" si="231"/>
        <v>0.13756423716638133</v>
      </c>
    </row>
    <row r="1855" spans="1:23" x14ac:dyDescent="0.3">
      <c r="A1855" t="s">
        <v>125</v>
      </c>
      <c r="B1855" t="s">
        <v>2146</v>
      </c>
      <c r="C1855" t="s">
        <v>23</v>
      </c>
      <c r="D1855" t="s">
        <v>13</v>
      </c>
      <c r="E1855">
        <v>3049</v>
      </c>
      <c r="F1855">
        <v>402.28</v>
      </c>
      <c r="G1855">
        <v>425.75</v>
      </c>
      <c r="H1855">
        <v>402.28</v>
      </c>
      <c r="I1855">
        <v>1744</v>
      </c>
      <c r="J1855">
        <v>77</v>
      </c>
      <c r="K1855" s="17">
        <f t="shared" si="225"/>
        <v>4476.2666666666664</v>
      </c>
      <c r="L1855" t="str">
        <f t="shared" si="226"/>
        <v>High Risk</v>
      </c>
      <c r="P1855" s="19">
        <f t="shared" si="227"/>
        <v>1428</v>
      </c>
      <c r="R1855" s="19">
        <f t="shared" si="224"/>
        <v>574455.84</v>
      </c>
      <c r="T1855" s="19">
        <f t="shared" si="228"/>
        <v>742508</v>
      </c>
      <c r="U1855" s="19">
        <f t="shared" si="229"/>
        <v>701576.32</v>
      </c>
      <c r="V1855" s="21">
        <f t="shared" si="230"/>
        <v>-40931.680000000051</v>
      </c>
      <c r="W1855" s="18">
        <f t="shared" si="231"/>
        <v>-5.512624779800359E-2</v>
      </c>
    </row>
    <row r="1856" spans="1:23" x14ac:dyDescent="0.3">
      <c r="A1856" t="s">
        <v>109</v>
      </c>
      <c r="B1856" t="s">
        <v>110</v>
      </c>
      <c r="C1856" t="s">
        <v>37</v>
      </c>
      <c r="D1856" t="s">
        <v>20</v>
      </c>
      <c r="E1856">
        <v>3050</v>
      </c>
      <c r="F1856">
        <v>398.73</v>
      </c>
      <c r="G1856">
        <v>432.46</v>
      </c>
      <c r="H1856">
        <v>398.73</v>
      </c>
      <c r="I1856">
        <v>781</v>
      </c>
      <c r="J1856">
        <v>47</v>
      </c>
      <c r="K1856" s="17">
        <f t="shared" si="225"/>
        <v>1223.5666666666668</v>
      </c>
      <c r="L1856" t="str">
        <f t="shared" si="226"/>
        <v>Sufficuent Stock</v>
      </c>
      <c r="P1856" s="19">
        <f t="shared" si="227"/>
        <v>0</v>
      </c>
      <c r="R1856" s="19">
        <f t="shared" si="224"/>
        <v>0</v>
      </c>
      <c r="T1856" s="19">
        <f t="shared" si="228"/>
        <v>337751.26</v>
      </c>
      <c r="U1856" s="19">
        <f t="shared" si="229"/>
        <v>311408.13</v>
      </c>
      <c r="V1856" s="21">
        <f t="shared" si="230"/>
        <v>-26343.130000000005</v>
      </c>
      <c r="W1856" s="18">
        <f t="shared" si="231"/>
        <v>-7.7995652777135466E-2</v>
      </c>
    </row>
    <row r="1857" spans="1:23" x14ac:dyDescent="0.3">
      <c r="A1857" t="s">
        <v>328</v>
      </c>
      <c r="B1857" t="s">
        <v>2962</v>
      </c>
      <c r="C1857" t="s">
        <v>12</v>
      </c>
      <c r="D1857" t="s">
        <v>13</v>
      </c>
      <c r="E1857">
        <v>3051</v>
      </c>
      <c r="F1857">
        <v>186.39</v>
      </c>
      <c r="G1857">
        <v>164.03</v>
      </c>
      <c r="H1857">
        <v>186.39</v>
      </c>
      <c r="I1857">
        <v>217</v>
      </c>
      <c r="J1857">
        <v>75</v>
      </c>
      <c r="K1857" s="17">
        <f t="shared" si="225"/>
        <v>542.5</v>
      </c>
      <c r="L1857" t="str">
        <f t="shared" si="226"/>
        <v>Sufficuent Stock</v>
      </c>
      <c r="P1857" s="19">
        <f t="shared" si="227"/>
        <v>0</v>
      </c>
      <c r="R1857" s="19">
        <f t="shared" si="224"/>
        <v>0</v>
      </c>
      <c r="T1857" s="19">
        <f t="shared" si="228"/>
        <v>35594.51</v>
      </c>
      <c r="U1857" s="19">
        <f t="shared" si="229"/>
        <v>40446.629999999997</v>
      </c>
      <c r="V1857" s="21">
        <f t="shared" si="230"/>
        <v>4852.1199999999953</v>
      </c>
      <c r="W1857" s="18">
        <f t="shared" si="231"/>
        <v>0.13631652746448805</v>
      </c>
    </row>
    <row r="1858" spans="1:23" x14ac:dyDescent="0.3">
      <c r="A1858" t="s">
        <v>117</v>
      </c>
      <c r="B1858" t="s">
        <v>1127</v>
      </c>
      <c r="C1858" t="s">
        <v>37</v>
      </c>
      <c r="D1858" t="s">
        <v>20</v>
      </c>
      <c r="E1858">
        <v>3051</v>
      </c>
      <c r="F1858">
        <v>357.74</v>
      </c>
      <c r="G1858">
        <v>384.67</v>
      </c>
      <c r="H1858">
        <v>357.74</v>
      </c>
      <c r="I1858">
        <v>1400</v>
      </c>
      <c r="J1858">
        <v>60</v>
      </c>
      <c r="K1858" s="17">
        <f t="shared" si="225"/>
        <v>2800</v>
      </c>
      <c r="L1858" t="str">
        <f t="shared" si="226"/>
        <v>Sufficuent Stock</v>
      </c>
      <c r="P1858" s="19">
        <f t="shared" si="227"/>
        <v>0</v>
      </c>
      <c r="R1858" s="19">
        <f t="shared" ref="R1858:R1921" si="232">P1858*H1858</f>
        <v>0</v>
      </c>
      <c r="T1858" s="19">
        <f t="shared" si="228"/>
        <v>538538</v>
      </c>
      <c r="U1858" s="19">
        <f t="shared" si="229"/>
        <v>500836</v>
      </c>
      <c r="V1858" s="21">
        <f t="shared" si="230"/>
        <v>-37702</v>
      </c>
      <c r="W1858" s="18">
        <f t="shared" si="231"/>
        <v>-7.0008058855642499E-2</v>
      </c>
    </row>
    <row r="1859" spans="1:23" x14ac:dyDescent="0.3">
      <c r="A1859" t="s">
        <v>103</v>
      </c>
      <c r="B1859" t="s">
        <v>2469</v>
      </c>
      <c r="C1859" t="s">
        <v>12</v>
      </c>
      <c r="D1859" t="s">
        <v>17</v>
      </c>
      <c r="E1859">
        <v>3053</v>
      </c>
      <c r="F1859">
        <v>107.94</v>
      </c>
      <c r="G1859">
        <v>104.36</v>
      </c>
      <c r="H1859">
        <v>107.94</v>
      </c>
      <c r="I1859">
        <v>1372</v>
      </c>
      <c r="J1859">
        <v>63</v>
      </c>
      <c r="K1859" s="17">
        <f t="shared" ref="K1859:K1922" si="233">(I1859/30)*J1859</f>
        <v>2881.2000000000003</v>
      </c>
      <c r="L1859" t="str">
        <f t="shared" ref="L1859:L1922" si="234">IF(E1859&lt;K1859,"High Risk","Sufficuent Stock")</f>
        <v>Sufficuent Stock</v>
      </c>
      <c r="P1859" s="19">
        <f t="shared" ref="P1859:P1922" si="235">ROUNDUP(MAX(0,K1859-E1859),0)</f>
        <v>0</v>
      </c>
      <c r="R1859" s="19">
        <f t="shared" si="232"/>
        <v>0</v>
      </c>
      <c r="T1859" s="19">
        <f t="shared" ref="T1859:T1922" si="236">I1859*G1859</f>
        <v>143181.92000000001</v>
      </c>
      <c r="U1859" s="19">
        <f t="shared" ref="U1859:U1922" si="237">I1859*H1859</f>
        <v>148093.68</v>
      </c>
      <c r="V1859" s="21">
        <f t="shared" ref="V1859:V1922" si="238">U1859-T1859</f>
        <v>4911.7599999999802</v>
      </c>
      <c r="W1859" s="18">
        <f t="shared" ref="W1859:W1922" si="239">IFERROR(V1859/T1859,0)</f>
        <v>3.4304331161364367E-2</v>
      </c>
    </row>
    <row r="1860" spans="1:23" x14ac:dyDescent="0.3">
      <c r="A1860" t="s">
        <v>180</v>
      </c>
      <c r="B1860" t="s">
        <v>1842</v>
      </c>
      <c r="C1860" t="s">
        <v>16</v>
      </c>
      <c r="D1860" t="s">
        <v>26</v>
      </c>
      <c r="E1860">
        <v>3056</v>
      </c>
      <c r="F1860">
        <v>29.89</v>
      </c>
      <c r="G1860">
        <v>31.06</v>
      </c>
      <c r="H1860">
        <v>29.89</v>
      </c>
      <c r="I1860">
        <v>2393</v>
      </c>
      <c r="J1860">
        <v>54</v>
      </c>
      <c r="K1860" s="17">
        <f t="shared" si="233"/>
        <v>4307.3999999999996</v>
      </c>
      <c r="L1860" t="str">
        <f t="shared" si="234"/>
        <v>High Risk</v>
      </c>
      <c r="P1860" s="19">
        <f t="shared" si="235"/>
        <v>1252</v>
      </c>
      <c r="R1860" s="19">
        <f t="shared" si="232"/>
        <v>37422.28</v>
      </c>
      <c r="T1860" s="19">
        <f t="shared" si="236"/>
        <v>74326.58</v>
      </c>
      <c r="U1860" s="19">
        <f t="shared" si="237"/>
        <v>71526.77</v>
      </c>
      <c r="V1860" s="21">
        <f t="shared" si="238"/>
        <v>-2799.8099999999977</v>
      </c>
      <c r="W1860" s="18">
        <f t="shared" si="239"/>
        <v>-3.7669027688345104E-2</v>
      </c>
    </row>
    <row r="1861" spans="1:23" x14ac:dyDescent="0.3">
      <c r="A1861" t="s">
        <v>65</v>
      </c>
      <c r="B1861" t="s">
        <v>1777</v>
      </c>
      <c r="C1861" t="s">
        <v>23</v>
      </c>
      <c r="D1861" t="s">
        <v>17</v>
      </c>
      <c r="E1861">
        <v>3056</v>
      </c>
      <c r="F1861">
        <v>275.02</v>
      </c>
      <c r="G1861">
        <v>305.27999999999997</v>
      </c>
      <c r="H1861">
        <v>275.02</v>
      </c>
      <c r="I1861">
        <v>1272</v>
      </c>
      <c r="J1861">
        <v>56</v>
      </c>
      <c r="K1861" s="17">
        <f t="shared" si="233"/>
        <v>2374.4</v>
      </c>
      <c r="L1861" t="str">
        <f t="shared" si="234"/>
        <v>Sufficuent Stock</v>
      </c>
      <c r="P1861" s="19">
        <f t="shared" si="235"/>
        <v>0</v>
      </c>
      <c r="R1861" s="19">
        <f t="shared" si="232"/>
        <v>0</v>
      </c>
      <c r="T1861" s="19">
        <f t="shared" si="236"/>
        <v>388316.15999999997</v>
      </c>
      <c r="U1861" s="19">
        <f t="shared" si="237"/>
        <v>349825.44</v>
      </c>
      <c r="V1861" s="21">
        <f t="shared" si="238"/>
        <v>-38490.719999999972</v>
      </c>
      <c r="W1861" s="18">
        <f t="shared" si="239"/>
        <v>-9.9122117400419221E-2</v>
      </c>
    </row>
    <row r="1862" spans="1:23" x14ac:dyDescent="0.3">
      <c r="A1862" t="s">
        <v>24</v>
      </c>
      <c r="B1862" t="s">
        <v>2213</v>
      </c>
      <c r="C1862" t="s">
        <v>12</v>
      </c>
      <c r="D1862" t="s">
        <v>69</v>
      </c>
      <c r="E1862">
        <v>3056</v>
      </c>
      <c r="F1862">
        <v>389.91</v>
      </c>
      <c r="G1862">
        <v>340.39</v>
      </c>
      <c r="H1862">
        <v>389.91</v>
      </c>
      <c r="I1862">
        <v>3404</v>
      </c>
      <c r="J1862">
        <v>34</v>
      </c>
      <c r="K1862" s="17">
        <f t="shared" si="233"/>
        <v>3857.8666666666668</v>
      </c>
      <c r="L1862" t="str">
        <f t="shared" si="234"/>
        <v>High Risk</v>
      </c>
      <c r="P1862" s="19">
        <f t="shared" si="235"/>
        <v>802</v>
      </c>
      <c r="R1862" s="19">
        <f t="shared" si="232"/>
        <v>312707.82</v>
      </c>
      <c r="T1862" s="19">
        <f t="shared" si="236"/>
        <v>1158687.56</v>
      </c>
      <c r="U1862" s="19">
        <f t="shared" si="237"/>
        <v>1327253.6400000001</v>
      </c>
      <c r="V1862" s="21">
        <f t="shared" si="238"/>
        <v>168566.08000000007</v>
      </c>
      <c r="W1862" s="18">
        <f t="shared" si="239"/>
        <v>0.14548018449425665</v>
      </c>
    </row>
    <row r="1863" spans="1:23" x14ac:dyDescent="0.3">
      <c r="A1863" t="s">
        <v>651</v>
      </c>
      <c r="B1863" t="s">
        <v>1606</v>
      </c>
      <c r="C1863" t="s">
        <v>23</v>
      </c>
      <c r="D1863" t="s">
        <v>69</v>
      </c>
      <c r="E1863">
        <v>3059</v>
      </c>
      <c r="F1863">
        <v>142.9</v>
      </c>
      <c r="G1863">
        <v>142.52000000000001</v>
      </c>
      <c r="H1863">
        <v>142.9</v>
      </c>
      <c r="I1863">
        <v>2947</v>
      </c>
      <c r="J1863">
        <v>50</v>
      </c>
      <c r="K1863" s="17">
        <f t="shared" si="233"/>
        <v>4911.666666666667</v>
      </c>
      <c r="L1863" t="str">
        <f t="shared" si="234"/>
        <v>High Risk</v>
      </c>
      <c r="P1863" s="19">
        <f t="shared" si="235"/>
        <v>1853</v>
      </c>
      <c r="R1863" s="19">
        <f t="shared" si="232"/>
        <v>264793.7</v>
      </c>
      <c r="T1863" s="19">
        <f t="shared" si="236"/>
        <v>420006.44</v>
      </c>
      <c r="U1863" s="19">
        <f t="shared" si="237"/>
        <v>421126.3</v>
      </c>
      <c r="V1863" s="21">
        <f t="shared" si="238"/>
        <v>1119.859999999986</v>
      </c>
      <c r="W1863" s="18">
        <f t="shared" si="239"/>
        <v>2.6662924501823972E-3</v>
      </c>
    </row>
    <row r="1864" spans="1:23" x14ac:dyDescent="0.3">
      <c r="A1864" t="s">
        <v>487</v>
      </c>
      <c r="B1864" t="s">
        <v>735</v>
      </c>
      <c r="C1864" t="s">
        <v>12</v>
      </c>
      <c r="D1864" t="s">
        <v>69</v>
      </c>
      <c r="E1864">
        <v>3059</v>
      </c>
      <c r="F1864">
        <v>167.71</v>
      </c>
      <c r="G1864">
        <v>169.33</v>
      </c>
      <c r="H1864">
        <v>167.71</v>
      </c>
      <c r="I1864">
        <v>3340</v>
      </c>
      <c r="J1864">
        <v>34</v>
      </c>
      <c r="K1864" s="17">
        <f t="shared" si="233"/>
        <v>3785.333333333333</v>
      </c>
      <c r="L1864" t="str">
        <f t="shared" si="234"/>
        <v>High Risk</v>
      </c>
      <c r="P1864" s="19">
        <f t="shared" si="235"/>
        <v>727</v>
      </c>
      <c r="R1864" s="19">
        <f t="shared" si="232"/>
        <v>121925.17000000001</v>
      </c>
      <c r="T1864" s="19">
        <f t="shared" si="236"/>
        <v>565562.20000000007</v>
      </c>
      <c r="U1864" s="19">
        <f t="shared" si="237"/>
        <v>560151.4</v>
      </c>
      <c r="V1864" s="21">
        <f t="shared" si="238"/>
        <v>-5410.8000000000466</v>
      </c>
      <c r="W1864" s="18">
        <f t="shared" si="239"/>
        <v>-9.5671174629422644E-3</v>
      </c>
    </row>
    <row r="1865" spans="1:23" x14ac:dyDescent="0.3">
      <c r="A1865" t="s">
        <v>451</v>
      </c>
      <c r="B1865" t="s">
        <v>1740</v>
      </c>
      <c r="C1865" t="s">
        <v>23</v>
      </c>
      <c r="D1865" t="s">
        <v>69</v>
      </c>
      <c r="E1865">
        <v>3059</v>
      </c>
      <c r="F1865">
        <v>298.92</v>
      </c>
      <c r="G1865">
        <v>307.8</v>
      </c>
      <c r="H1865">
        <v>298.92</v>
      </c>
      <c r="I1865">
        <v>2251</v>
      </c>
      <c r="J1865">
        <v>46</v>
      </c>
      <c r="K1865" s="17">
        <f t="shared" si="233"/>
        <v>3451.5333333333333</v>
      </c>
      <c r="L1865" t="str">
        <f t="shared" si="234"/>
        <v>High Risk</v>
      </c>
      <c r="P1865" s="19">
        <f t="shared" si="235"/>
        <v>393</v>
      </c>
      <c r="R1865" s="19">
        <f t="shared" si="232"/>
        <v>117475.56000000001</v>
      </c>
      <c r="T1865" s="19">
        <f t="shared" si="236"/>
        <v>692857.8</v>
      </c>
      <c r="U1865" s="19">
        <f t="shared" si="237"/>
        <v>672868.92</v>
      </c>
      <c r="V1865" s="21">
        <f t="shared" si="238"/>
        <v>-19988.880000000005</v>
      </c>
      <c r="W1865" s="18">
        <f t="shared" si="239"/>
        <v>-2.8849902534113066E-2</v>
      </c>
    </row>
    <row r="1866" spans="1:23" x14ac:dyDescent="0.3">
      <c r="A1866" t="s">
        <v>474</v>
      </c>
      <c r="B1866" t="s">
        <v>3112</v>
      </c>
      <c r="C1866" t="s">
        <v>50</v>
      </c>
      <c r="D1866" t="s">
        <v>13</v>
      </c>
      <c r="E1866">
        <v>3060</v>
      </c>
      <c r="F1866">
        <v>177.4</v>
      </c>
      <c r="G1866">
        <v>172.18</v>
      </c>
      <c r="H1866">
        <v>177.4</v>
      </c>
      <c r="I1866">
        <v>162</v>
      </c>
      <c r="J1866">
        <v>21</v>
      </c>
      <c r="K1866" s="17">
        <f t="shared" si="233"/>
        <v>113.4</v>
      </c>
      <c r="L1866" t="str">
        <f t="shared" si="234"/>
        <v>Sufficuent Stock</v>
      </c>
      <c r="P1866" s="19">
        <f t="shared" si="235"/>
        <v>0</v>
      </c>
      <c r="R1866" s="19">
        <f t="shared" si="232"/>
        <v>0</v>
      </c>
      <c r="T1866" s="19">
        <f t="shared" si="236"/>
        <v>27893.16</v>
      </c>
      <c r="U1866" s="19">
        <f t="shared" si="237"/>
        <v>28738.799999999999</v>
      </c>
      <c r="V1866" s="21">
        <f t="shared" si="238"/>
        <v>845.63999999999942</v>
      </c>
      <c r="W1866" s="18">
        <f t="shared" si="239"/>
        <v>3.0317110001161555E-2</v>
      </c>
    </row>
    <row r="1867" spans="1:23" x14ac:dyDescent="0.3">
      <c r="A1867" t="s">
        <v>96</v>
      </c>
      <c r="B1867" t="s">
        <v>2990</v>
      </c>
      <c r="C1867" t="s">
        <v>12</v>
      </c>
      <c r="D1867" t="s">
        <v>20</v>
      </c>
      <c r="E1867">
        <v>3060</v>
      </c>
      <c r="F1867">
        <v>262.13</v>
      </c>
      <c r="G1867">
        <v>249.56</v>
      </c>
      <c r="H1867">
        <v>262.13</v>
      </c>
      <c r="I1867">
        <v>1094</v>
      </c>
      <c r="J1867">
        <v>61</v>
      </c>
      <c r="K1867" s="17">
        <f t="shared" si="233"/>
        <v>2224.4666666666667</v>
      </c>
      <c r="L1867" t="str">
        <f t="shared" si="234"/>
        <v>Sufficuent Stock</v>
      </c>
      <c r="P1867" s="19">
        <f t="shared" si="235"/>
        <v>0</v>
      </c>
      <c r="R1867" s="19">
        <f t="shared" si="232"/>
        <v>0</v>
      </c>
      <c r="T1867" s="19">
        <f t="shared" si="236"/>
        <v>273018.64</v>
      </c>
      <c r="U1867" s="19">
        <f t="shared" si="237"/>
        <v>286770.21999999997</v>
      </c>
      <c r="V1867" s="21">
        <f t="shared" si="238"/>
        <v>13751.579999999958</v>
      </c>
      <c r="W1867" s="18">
        <f t="shared" si="239"/>
        <v>5.0368648821926432E-2</v>
      </c>
    </row>
    <row r="1868" spans="1:23" x14ac:dyDescent="0.3">
      <c r="A1868" t="s">
        <v>376</v>
      </c>
      <c r="B1868" t="s">
        <v>1330</v>
      </c>
      <c r="C1868" t="s">
        <v>23</v>
      </c>
      <c r="D1868" t="s">
        <v>13</v>
      </c>
      <c r="E1868">
        <v>3063</v>
      </c>
      <c r="F1868">
        <v>42.13</v>
      </c>
      <c r="G1868">
        <v>45.25</v>
      </c>
      <c r="H1868">
        <v>42.13</v>
      </c>
      <c r="I1868">
        <v>2715</v>
      </c>
      <c r="J1868">
        <v>88</v>
      </c>
      <c r="K1868" s="17">
        <f t="shared" si="233"/>
        <v>7964</v>
      </c>
      <c r="L1868" t="str">
        <f t="shared" si="234"/>
        <v>High Risk</v>
      </c>
      <c r="P1868" s="19">
        <f t="shared" si="235"/>
        <v>4901</v>
      </c>
      <c r="R1868" s="19">
        <f t="shared" si="232"/>
        <v>206479.13</v>
      </c>
      <c r="T1868" s="19">
        <f t="shared" si="236"/>
        <v>122853.75</v>
      </c>
      <c r="U1868" s="19">
        <f t="shared" si="237"/>
        <v>114382.95000000001</v>
      </c>
      <c r="V1868" s="21">
        <f t="shared" si="238"/>
        <v>-8470.7999999999884</v>
      </c>
      <c r="W1868" s="18">
        <f t="shared" si="239"/>
        <v>-6.8950276243093828E-2</v>
      </c>
    </row>
    <row r="1869" spans="1:23" x14ac:dyDescent="0.3">
      <c r="A1869" t="s">
        <v>607</v>
      </c>
      <c r="B1869" t="s">
        <v>1338</v>
      </c>
      <c r="C1869" t="s">
        <v>12</v>
      </c>
      <c r="D1869" t="s">
        <v>17</v>
      </c>
      <c r="E1869">
        <v>3067</v>
      </c>
      <c r="F1869">
        <v>401.07</v>
      </c>
      <c r="G1869">
        <v>355.14</v>
      </c>
      <c r="H1869">
        <v>401.07</v>
      </c>
      <c r="I1869">
        <v>1558</v>
      </c>
      <c r="J1869">
        <v>25</v>
      </c>
      <c r="K1869" s="17">
        <f t="shared" si="233"/>
        <v>1298.3333333333333</v>
      </c>
      <c r="L1869" t="str">
        <f t="shared" si="234"/>
        <v>Sufficuent Stock</v>
      </c>
      <c r="P1869" s="19">
        <f t="shared" si="235"/>
        <v>0</v>
      </c>
      <c r="R1869" s="19">
        <f t="shared" si="232"/>
        <v>0</v>
      </c>
      <c r="T1869" s="19">
        <f t="shared" si="236"/>
        <v>553308.12</v>
      </c>
      <c r="U1869" s="19">
        <f t="shared" si="237"/>
        <v>624867.05999999994</v>
      </c>
      <c r="V1869" s="21">
        <f t="shared" si="238"/>
        <v>71558.939999999944</v>
      </c>
      <c r="W1869" s="18">
        <f t="shared" si="239"/>
        <v>0.12932927859435706</v>
      </c>
    </row>
    <row r="1870" spans="1:23" x14ac:dyDescent="0.3">
      <c r="A1870" t="s">
        <v>218</v>
      </c>
      <c r="B1870" t="s">
        <v>1613</v>
      </c>
      <c r="C1870" t="s">
        <v>50</v>
      </c>
      <c r="D1870" t="s">
        <v>17</v>
      </c>
      <c r="E1870">
        <v>3069</v>
      </c>
      <c r="F1870">
        <v>491.14</v>
      </c>
      <c r="G1870">
        <v>496.99</v>
      </c>
      <c r="H1870">
        <v>491.14</v>
      </c>
      <c r="I1870">
        <v>3673</v>
      </c>
      <c r="J1870">
        <v>23</v>
      </c>
      <c r="K1870" s="17">
        <f t="shared" si="233"/>
        <v>2815.9666666666667</v>
      </c>
      <c r="L1870" t="str">
        <f t="shared" si="234"/>
        <v>Sufficuent Stock</v>
      </c>
      <c r="P1870" s="19">
        <f t="shared" si="235"/>
        <v>0</v>
      </c>
      <c r="R1870" s="19">
        <f t="shared" si="232"/>
        <v>0</v>
      </c>
      <c r="T1870" s="19">
        <f t="shared" si="236"/>
        <v>1825444.27</v>
      </c>
      <c r="U1870" s="19">
        <f t="shared" si="237"/>
        <v>1803957.22</v>
      </c>
      <c r="V1870" s="21">
        <f t="shared" si="238"/>
        <v>-21487.050000000047</v>
      </c>
      <c r="W1870" s="18">
        <f t="shared" si="239"/>
        <v>-1.1770860580695814E-2</v>
      </c>
    </row>
    <row r="1871" spans="1:23" x14ac:dyDescent="0.3">
      <c r="A1871" t="s">
        <v>1866</v>
      </c>
      <c r="B1871" t="s">
        <v>3022</v>
      </c>
      <c r="C1871" t="s">
        <v>23</v>
      </c>
      <c r="D1871" t="s">
        <v>26</v>
      </c>
      <c r="E1871">
        <v>3070</v>
      </c>
      <c r="F1871">
        <v>272.08999999999997</v>
      </c>
      <c r="G1871">
        <v>228.67</v>
      </c>
      <c r="H1871">
        <v>272.08999999999997</v>
      </c>
      <c r="I1871">
        <v>3550</v>
      </c>
      <c r="J1871">
        <v>44</v>
      </c>
      <c r="K1871" s="17">
        <f t="shared" si="233"/>
        <v>5206.6666666666661</v>
      </c>
      <c r="L1871" t="str">
        <f t="shared" si="234"/>
        <v>High Risk</v>
      </c>
      <c r="P1871" s="19">
        <f t="shared" si="235"/>
        <v>2137</v>
      </c>
      <c r="R1871" s="19">
        <f t="shared" si="232"/>
        <v>581456.32999999996</v>
      </c>
      <c r="T1871" s="19">
        <f t="shared" si="236"/>
        <v>811778.5</v>
      </c>
      <c r="U1871" s="19">
        <f t="shared" si="237"/>
        <v>965919.49999999988</v>
      </c>
      <c r="V1871" s="21">
        <f t="shared" si="238"/>
        <v>154140.99999999988</v>
      </c>
      <c r="W1871" s="18">
        <f t="shared" si="239"/>
        <v>0.18988061398521874</v>
      </c>
    </row>
    <row r="1872" spans="1:23" x14ac:dyDescent="0.3">
      <c r="A1872" t="s">
        <v>286</v>
      </c>
      <c r="B1872" t="s">
        <v>1576</v>
      </c>
      <c r="C1872" t="s">
        <v>23</v>
      </c>
      <c r="D1872" t="s">
        <v>13</v>
      </c>
      <c r="E1872">
        <v>3071</v>
      </c>
      <c r="F1872">
        <v>296.58999999999997</v>
      </c>
      <c r="G1872">
        <v>324.72000000000003</v>
      </c>
      <c r="H1872">
        <v>296.58999999999997</v>
      </c>
      <c r="I1872">
        <v>670</v>
      </c>
      <c r="J1872">
        <v>68</v>
      </c>
      <c r="K1872" s="17">
        <f t="shared" si="233"/>
        <v>1518.6666666666665</v>
      </c>
      <c r="L1872" t="str">
        <f t="shared" si="234"/>
        <v>Sufficuent Stock</v>
      </c>
      <c r="P1872" s="19">
        <f t="shared" si="235"/>
        <v>0</v>
      </c>
      <c r="R1872" s="19">
        <f t="shared" si="232"/>
        <v>0</v>
      </c>
      <c r="T1872" s="19">
        <f t="shared" si="236"/>
        <v>217562.40000000002</v>
      </c>
      <c r="U1872" s="19">
        <f t="shared" si="237"/>
        <v>198715.3</v>
      </c>
      <c r="V1872" s="21">
        <f t="shared" si="238"/>
        <v>-18847.100000000035</v>
      </c>
      <c r="W1872" s="18">
        <f t="shared" si="239"/>
        <v>-8.6628479921163001E-2</v>
      </c>
    </row>
    <row r="1873" spans="1:23" x14ac:dyDescent="0.3">
      <c r="A1873" t="s">
        <v>546</v>
      </c>
      <c r="B1873" t="s">
        <v>3197</v>
      </c>
      <c r="C1873" t="s">
        <v>12</v>
      </c>
      <c r="D1873" t="s">
        <v>26</v>
      </c>
      <c r="E1873">
        <v>3071</v>
      </c>
      <c r="F1873">
        <v>312.3</v>
      </c>
      <c r="G1873">
        <v>345.16</v>
      </c>
      <c r="H1873">
        <v>312.3</v>
      </c>
      <c r="I1873">
        <v>3569</v>
      </c>
      <c r="J1873">
        <v>42</v>
      </c>
      <c r="K1873" s="17">
        <f t="shared" si="233"/>
        <v>4996.6000000000004</v>
      </c>
      <c r="L1873" t="str">
        <f t="shared" si="234"/>
        <v>High Risk</v>
      </c>
      <c r="P1873" s="19">
        <f t="shared" si="235"/>
        <v>1926</v>
      </c>
      <c r="R1873" s="19">
        <f t="shared" si="232"/>
        <v>601489.80000000005</v>
      </c>
      <c r="T1873" s="19">
        <f t="shared" si="236"/>
        <v>1231876.04</v>
      </c>
      <c r="U1873" s="19">
        <f t="shared" si="237"/>
        <v>1114598.7</v>
      </c>
      <c r="V1873" s="21">
        <f t="shared" si="238"/>
        <v>-117277.34000000008</v>
      </c>
      <c r="W1873" s="18">
        <f t="shared" si="239"/>
        <v>-9.5202225055046996E-2</v>
      </c>
    </row>
    <row r="1874" spans="1:23" x14ac:dyDescent="0.3">
      <c r="A1874" t="s">
        <v>70</v>
      </c>
      <c r="B1874" t="s">
        <v>71</v>
      </c>
      <c r="C1874" t="s">
        <v>50</v>
      </c>
      <c r="D1874" t="s">
        <v>20</v>
      </c>
      <c r="E1874">
        <v>3071</v>
      </c>
      <c r="F1874">
        <v>315.10000000000002</v>
      </c>
      <c r="G1874">
        <v>316.17</v>
      </c>
      <c r="H1874">
        <v>315.10000000000002</v>
      </c>
      <c r="I1874">
        <v>1386</v>
      </c>
      <c r="J1874">
        <v>13</v>
      </c>
      <c r="K1874" s="17">
        <f t="shared" si="233"/>
        <v>600.6</v>
      </c>
      <c r="L1874" t="str">
        <f t="shared" si="234"/>
        <v>Sufficuent Stock</v>
      </c>
      <c r="P1874" s="19">
        <f t="shared" si="235"/>
        <v>0</v>
      </c>
      <c r="R1874" s="19">
        <f t="shared" si="232"/>
        <v>0</v>
      </c>
      <c r="T1874" s="19">
        <f t="shared" si="236"/>
        <v>438211.62</v>
      </c>
      <c r="U1874" s="19">
        <f t="shared" si="237"/>
        <v>436728.60000000003</v>
      </c>
      <c r="V1874" s="21">
        <f t="shared" si="238"/>
        <v>-1483.0199999999604</v>
      </c>
      <c r="W1874" s="18">
        <f t="shared" si="239"/>
        <v>-3.3842553056898867E-3</v>
      </c>
    </row>
    <row r="1875" spans="1:23" x14ac:dyDescent="0.3">
      <c r="A1875" t="s">
        <v>335</v>
      </c>
      <c r="B1875" t="s">
        <v>2777</v>
      </c>
      <c r="C1875" t="s">
        <v>16</v>
      </c>
      <c r="D1875" t="s">
        <v>17</v>
      </c>
      <c r="E1875">
        <v>3071</v>
      </c>
      <c r="F1875">
        <v>302.91000000000003</v>
      </c>
      <c r="G1875">
        <v>269.67</v>
      </c>
      <c r="H1875">
        <v>302.91000000000003</v>
      </c>
      <c r="I1875">
        <v>3436</v>
      </c>
      <c r="J1875">
        <v>43</v>
      </c>
      <c r="K1875" s="17">
        <f t="shared" si="233"/>
        <v>4924.9333333333334</v>
      </c>
      <c r="L1875" t="str">
        <f t="shared" si="234"/>
        <v>High Risk</v>
      </c>
      <c r="P1875" s="19">
        <f t="shared" si="235"/>
        <v>1854</v>
      </c>
      <c r="R1875" s="19">
        <f t="shared" si="232"/>
        <v>561595.14</v>
      </c>
      <c r="T1875" s="19">
        <f t="shared" si="236"/>
        <v>926586.12000000011</v>
      </c>
      <c r="U1875" s="19">
        <f t="shared" si="237"/>
        <v>1040798.7600000001</v>
      </c>
      <c r="V1875" s="21">
        <f t="shared" si="238"/>
        <v>114212.64000000001</v>
      </c>
      <c r="W1875" s="18">
        <f t="shared" si="239"/>
        <v>0.12326176437868507</v>
      </c>
    </row>
    <row r="1876" spans="1:23" x14ac:dyDescent="0.3">
      <c r="A1876" t="s">
        <v>168</v>
      </c>
      <c r="B1876" t="s">
        <v>1399</v>
      </c>
      <c r="C1876" t="s">
        <v>12</v>
      </c>
      <c r="D1876" t="s">
        <v>69</v>
      </c>
      <c r="E1876">
        <v>3071</v>
      </c>
      <c r="F1876">
        <v>140.97</v>
      </c>
      <c r="G1876">
        <v>137.72999999999999</v>
      </c>
      <c r="H1876">
        <v>140.97</v>
      </c>
      <c r="I1876">
        <v>2905</v>
      </c>
      <c r="J1876">
        <v>41</v>
      </c>
      <c r="K1876" s="17">
        <f t="shared" si="233"/>
        <v>3970.1666666666665</v>
      </c>
      <c r="L1876" t="str">
        <f t="shared" si="234"/>
        <v>High Risk</v>
      </c>
      <c r="P1876" s="19">
        <f t="shared" si="235"/>
        <v>900</v>
      </c>
      <c r="R1876" s="19">
        <f t="shared" si="232"/>
        <v>126873</v>
      </c>
      <c r="T1876" s="19">
        <f t="shared" si="236"/>
        <v>400105.64999999997</v>
      </c>
      <c r="U1876" s="19">
        <f t="shared" si="237"/>
        <v>409517.85</v>
      </c>
      <c r="V1876" s="21">
        <f t="shared" si="238"/>
        <v>9412.2000000000116</v>
      </c>
      <c r="W1876" s="18">
        <f t="shared" si="239"/>
        <v>2.3524286647789185E-2</v>
      </c>
    </row>
    <row r="1877" spans="1:23" x14ac:dyDescent="0.3">
      <c r="A1877" t="s">
        <v>201</v>
      </c>
      <c r="B1877" t="s">
        <v>202</v>
      </c>
      <c r="C1877" t="s">
        <v>23</v>
      </c>
      <c r="D1877" t="s">
        <v>17</v>
      </c>
      <c r="E1877">
        <v>3072</v>
      </c>
      <c r="F1877">
        <v>400.89</v>
      </c>
      <c r="G1877">
        <v>430.8</v>
      </c>
      <c r="H1877">
        <v>400.89</v>
      </c>
      <c r="I1877">
        <v>2184</v>
      </c>
      <c r="J1877">
        <v>66</v>
      </c>
      <c r="K1877" s="17">
        <f t="shared" si="233"/>
        <v>4804.8</v>
      </c>
      <c r="L1877" t="str">
        <f t="shared" si="234"/>
        <v>High Risk</v>
      </c>
      <c r="P1877" s="19">
        <f t="shared" si="235"/>
        <v>1733</v>
      </c>
      <c r="R1877" s="19">
        <f t="shared" si="232"/>
        <v>694742.37</v>
      </c>
      <c r="T1877" s="19">
        <f t="shared" si="236"/>
        <v>940867.20000000007</v>
      </c>
      <c r="U1877" s="19">
        <f t="shared" si="237"/>
        <v>875543.76</v>
      </c>
      <c r="V1877" s="21">
        <f t="shared" si="238"/>
        <v>-65323.440000000061</v>
      </c>
      <c r="W1877" s="18">
        <f t="shared" si="239"/>
        <v>-6.942896935933153E-2</v>
      </c>
    </row>
    <row r="1878" spans="1:23" x14ac:dyDescent="0.3">
      <c r="A1878" t="s">
        <v>129</v>
      </c>
      <c r="B1878" t="s">
        <v>3011</v>
      </c>
      <c r="C1878" t="s">
        <v>37</v>
      </c>
      <c r="D1878" t="s">
        <v>20</v>
      </c>
      <c r="E1878">
        <v>3074</v>
      </c>
      <c r="F1878">
        <v>82.48</v>
      </c>
      <c r="G1878">
        <v>83.56</v>
      </c>
      <c r="H1878">
        <v>82.48</v>
      </c>
      <c r="I1878">
        <v>3488</v>
      </c>
      <c r="J1878">
        <v>62</v>
      </c>
      <c r="K1878" s="17">
        <f t="shared" si="233"/>
        <v>7208.5333333333328</v>
      </c>
      <c r="L1878" t="str">
        <f t="shared" si="234"/>
        <v>High Risk</v>
      </c>
      <c r="P1878" s="19">
        <f t="shared" si="235"/>
        <v>4135</v>
      </c>
      <c r="R1878" s="19">
        <f t="shared" si="232"/>
        <v>341054.8</v>
      </c>
      <c r="T1878" s="19">
        <f t="shared" si="236"/>
        <v>291457.28000000003</v>
      </c>
      <c r="U1878" s="19">
        <f t="shared" si="237"/>
        <v>287690.23999999999</v>
      </c>
      <c r="V1878" s="21">
        <f t="shared" si="238"/>
        <v>-3767.0400000000373</v>
      </c>
      <c r="W1878" s="18">
        <f t="shared" si="239"/>
        <v>-1.2924844423169107E-2</v>
      </c>
    </row>
    <row r="1879" spans="1:23" x14ac:dyDescent="0.3">
      <c r="A1879" t="s">
        <v>65</v>
      </c>
      <c r="B1879" t="s">
        <v>1567</v>
      </c>
      <c r="C1879" t="s">
        <v>50</v>
      </c>
      <c r="D1879" t="s">
        <v>69</v>
      </c>
      <c r="E1879">
        <v>3075</v>
      </c>
      <c r="F1879">
        <v>136.81</v>
      </c>
      <c r="G1879">
        <v>132.21</v>
      </c>
      <c r="H1879">
        <v>136.81</v>
      </c>
      <c r="I1879">
        <v>2773</v>
      </c>
      <c r="J1879">
        <v>66</v>
      </c>
      <c r="K1879" s="17">
        <f t="shared" si="233"/>
        <v>6100.6</v>
      </c>
      <c r="L1879" t="str">
        <f t="shared" si="234"/>
        <v>High Risk</v>
      </c>
      <c r="P1879" s="19">
        <f t="shared" si="235"/>
        <v>3026</v>
      </c>
      <c r="R1879" s="19">
        <f t="shared" si="232"/>
        <v>413987.06</v>
      </c>
      <c r="T1879" s="19">
        <f t="shared" si="236"/>
        <v>366618.33</v>
      </c>
      <c r="U1879" s="19">
        <f t="shared" si="237"/>
        <v>379374.13</v>
      </c>
      <c r="V1879" s="21">
        <f t="shared" si="238"/>
        <v>12755.799999999988</v>
      </c>
      <c r="W1879" s="18">
        <f t="shared" si="239"/>
        <v>3.4793132138264848E-2</v>
      </c>
    </row>
    <row r="1880" spans="1:23" x14ac:dyDescent="0.3">
      <c r="A1880" t="s">
        <v>430</v>
      </c>
      <c r="B1880" t="s">
        <v>2290</v>
      </c>
      <c r="C1880" t="s">
        <v>23</v>
      </c>
      <c r="D1880" t="s">
        <v>17</v>
      </c>
      <c r="E1880">
        <v>3084</v>
      </c>
      <c r="F1880">
        <v>40.119999999999997</v>
      </c>
      <c r="G1880">
        <v>36.11</v>
      </c>
      <c r="H1880">
        <v>40.119999999999997</v>
      </c>
      <c r="I1880">
        <v>2444</v>
      </c>
      <c r="J1880">
        <v>60</v>
      </c>
      <c r="K1880" s="17">
        <f t="shared" si="233"/>
        <v>4888</v>
      </c>
      <c r="L1880" t="str">
        <f t="shared" si="234"/>
        <v>High Risk</v>
      </c>
      <c r="P1880" s="19">
        <f t="shared" si="235"/>
        <v>1804</v>
      </c>
      <c r="R1880" s="19">
        <f t="shared" si="232"/>
        <v>72376.479999999996</v>
      </c>
      <c r="T1880" s="19">
        <f t="shared" si="236"/>
        <v>88252.84</v>
      </c>
      <c r="U1880" s="19">
        <f t="shared" si="237"/>
        <v>98053.28</v>
      </c>
      <c r="V1880" s="21">
        <f t="shared" si="238"/>
        <v>9800.4400000000023</v>
      </c>
      <c r="W1880" s="18">
        <f t="shared" si="239"/>
        <v>0.1110495707560233</v>
      </c>
    </row>
    <row r="1881" spans="1:23" x14ac:dyDescent="0.3">
      <c r="A1881" t="s">
        <v>642</v>
      </c>
      <c r="B1881" t="s">
        <v>643</v>
      </c>
      <c r="C1881" t="s">
        <v>16</v>
      </c>
      <c r="D1881" t="s">
        <v>20</v>
      </c>
      <c r="E1881">
        <v>3086</v>
      </c>
      <c r="F1881">
        <v>198.6</v>
      </c>
      <c r="G1881">
        <v>182.16</v>
      </c>
      <c r="H1881">
        <v>198.6</v>
      </c>
      <c r="I1881">
        <v>237</v>
      </c>
      <c r="J1881">
        <v>77</v>
      </c>
      <c r="K1881" s="17">
        <f t="shared" si="233"/>
        <v>608.30000000000007</v>
      </c>
      <c r="L1881" t="str">
        <f t="shared" si="234"/>
        <v>Sufficuent Stock</v>
      </c>
      <c r="P1881" s="19">
        <f t="shared" si="235"/>
        <v>0</v>
      </c>
      <c r="R1881" s="19">
        <f t="shared" si="232"/>
        <v>0</v>
      </c>
      <c r="T1881" s="19">
        <f t="shared" si="236"/>
        <v>43171.92</v>
      </c>
      <c r="U1881" s="19">
        <f t="shared" si="237"/>
        <v>47068.2</v>
      </c>
      <c r="V1881" s="21">
        <f t="shared" si="238"/>
        <v>3896.2799999999988</v>
      </c>
      <c r="W1881" s="18">
        <f t="shared" si="239"/>
        <v>9.0250329380764147E-2</v>
      </c>
    </row>
    <row r="1882" spans="1:23" x14ac:dyDescent="0.3">
      <c r="A1882" t="s">
        <v>552</v>
      </c>
      <c r="B1882" t="s">
        <v>553</v>
      </c>
      <c r="C1882" t="s">
        <v>12</v>
      </c>
      <c r="D1882" t="s">
        <v>13</v>
      </c>
      <c r="E1882">
        <v>3090</v>
      </c>
      <c r="F1882">
        <v>47.12</v>
      </c>
      <c r="G1882">
        <v>47.69</v>
      </c>
      <c r="H1882">
        <v>47.12</v>
      </c>
      <c r="I1882">
        <v>1523</v>
      </c>
      <c r="J1882">
        <v>84</v>
      </c>
      <c r="K1882" s="17">
        <f t="shared" si="233"/>
        <v>4264.3999999999996</v>
      </c>
      <c r="L1882" t="str">
        <f t="shared" si="234"/>
        <v>High Risk</v>
      </c>
      <c r="P1882" s="19">
        <f t="shared" si="235"/>
        <v>1175</v>
      </c>
      <c r="R1882" s="19">
        <f t="shared" si="232"/>
        <v>55366</v>
      </c>
      <c r="T1882" s="19">
        <f t="shared" si="236"/>
        <v>72631.87</v>
      </c>
      <c r="U1882" s="19">
        <f t="shared" si="237"/>
        <v>71763.759999999995</v>
      </c>
      <c r="V1882" s="21">
        <f t="shared" si="238"/>
        <v>-868.11000000000058</v>
      </c>
      <c r="W1882" s="18">
        <f t="shared" si="239"/>
        <v>-1.1952191235059769E-2</v>
      </c>
    </row>
    <row r="1883" spans="1:23" x14ac:dyDescent="0.3">
      <c r="A1883" t="s">
        <v>331</v>
      </c>
      <c r="B1883" t="s">
        <v>3301</v>
      </c>
      <c r="C1883" t="s">
        <v>50</v>
      </c>
      <c r="D1883" t="s">
        <v>26</v>
      </c>
      <c r="E1883">
        <v>3092</v>
      </c>
      <c r="F1883">
        <v>224.25</v>
      </c>
      <c r="G1883">
        <v>226.68</v>
      </c>
      <c r="H1883">
        <v>224.25</v>
      </c>
      <c r="I1883">
        <v>3709</v>
      </c>
      <c r="J1883">
        <v>31</v>
      </c>
      <c r="K1883" s="17">
        <f t="shared" si="233"/>
        <v>3832.6333333333337</v>
      </c>
      <c r="L1883" t="str">
        <f t="shared" si="234"/>
        <v>High Risk</v>
      </c>
      <c r="P1883" s="19">
        <f t="shared" si="235"/>
        <v>741</v>
      </c>
      <c r="R1883" s="19">
        <f t="shared" si="232"/>
        <v>166169.25</v>
      </c>
      <c r="T1883" s="19">
        <f t="shared" si="236"/>
        <v>840756.12</v>
      </c>
      <c r="U1883" s="19">
        <f t="shared" si="237"/>
        <v>831743.25</v>
      </c>
      <c r="V1883" s="21">
        <f t="shared" si="238"/>
        <v>-9012.8699999999953</v>
      </c>
      <c r="W1883" s="18">
        <f t="shared" si="239"/>
        <v>-1.0719957649550022E-2</v>
      </c>
    </row>
    <row r="1884" spans="1:23" x14ac:dyDescent="0.3">
      <c r="A1884" t="s">
        <v>727</v>
      </c>
      <c r="B1884" t="s">
        <v>3280</v>
      </c>
      <c r="C1884" t="s">
        <v>37</v>
      </c>
      <c r="D1884" t="s">
        <v>26</v>
      </c>
      <c r="E1884">
        <v>3092</v>
      </c>
      <c r="F1884">
        <v>367.78</v>
      </c>
      <c r="G1884">
        <v>322.75</v>
      </c>
      <c r="H1884">
        <v>367.78</v>
      </c>
      <c r="I1884">
        <v>2361</v>
      </c>
      <c r="J1884">
        <v>57</v>
      </c>
      <c r="K1884" s="17">
        <f t="shared" si="233"/>
        <v>4485.9000000000005</v>
      </c>
      <c r="L1884" t="str">
        <f t="shared" si="234"/>
        <v>High Risk</v>
      </c>
      <c r="P1884" s="19">
        <f t="shared" si="235"/>
        <v>1394</v>
      </c>
      <c r="R1884" s="19">
        <f t="shared" si="232"/>
        <v>512685.31999999995</v>
      </c>
      <c r="T1884" s="19">
        <f t="shared" si="236"/>
        <v>762012.75</v>
      </c>
      <c r="U1884" s="19">
        <f t="shared" si="237"/>
        <v>868328.58</v>
      </c>
      <c r="V1884" s="21">
        <f t="shared" si="238"/>
        <v>106315.82999999996</v>
      </c>
      <c r="W1884" s="18">
        <f t="shared" si="239"/>
        <v>0.13951975213013162</v>
      </c>
    </row>
    <row r="1885" spans="1:23" x14ac:dyDescent="0.3">
      <c r="A1885" t="s">
        <v>55</v>
      </c>
      <c r="B1885" t="s">
        <v>56</v>
      </c>
      <c r="C1885" t="s">
        <v>23</v>
      </c>
      <c r="D1885" t="s">
        <v>26</v>
      </c>
      <c r="E1885">
        <v>3092</v>
      </c>
      <c r="F1885">
        <v>185.79</v>
      </c>
      <c r="G1885">
        <v>176.03</v>
      </c>
      <c r="H1885">
        <v>185.79</v>
      </c>
      <c r="I1885">
        <v>2677</v>
      </c>
      <c r="J1885">
        <v>34</v>
      </c>
      <c r="K1885" s="17">
        <f t="shared" si="233"/>
        <v>3033.9333333333334</v>
      </c>
      <c r="L1885" t="str">
        <f t="shared" si="234"/>
        <v>Sufficuent Stock</v>
      </c>
      <c r="P1885" s="19">
        <f t="shared" si="235"/>
        <v>0</v>
      </c>
      <c r="R1885" s="19">
        <f t="shared" si="232"/>
        <v>0</v>
      </c>
      <c r="T1885" s="19">
        <f t="shared" si="236"/>
        <v>471232.31</v>
      </c>
      <c r="U1885" s="19">
        <f t="shared" si="237"/>
        <v>497359.82999999996</v>
      </c>
      <c r="V1885" s="21">
        <f t="shared" si="238"/>
        <v>26127.51999999996</v>
      </c>
      <c r="W1885" s="18">
        <f t="shared" si="239"/>
        <v>5.5445094586150004E-2</v>
      </c>
    </row>
    <row r="1886" spans="1:23" x14ac:dyDescent="0.3">
      <c r="A1886" t="s">
        <v>163</v>
      </c>
      <c r="B1886" t="s">
        <v>1056</v>
      </c>
      <c r="C1886" t="s">
        <v>50</v>
      </c>
      <c r="D1886" t="s">
        <v>17</v>
      </c>
      <c r="E1886">
        <v>3094</v>
      </c>
      <c r="F1886">
        <v>457.07</v>
      </c>
      <c r="G1886">
        <v>452.7</v>
      </c>
      <c r="H1886">
        <v>457.07</v>
      </c>
      <c r="I1886">
        <v>3830</v>
      </c>
      <c r="J1886">
        <v>79</v>
      </c>
      <c r="K1886" s="17">
        <f t="shared" si="233"/>
        <v>10085.666666666668</v>
      </c>
      <c r="L1886" t="str">
        <f t="shared" si="234"/>
        <v>High Risk</v>
      </c>
      <c r="P1886" s="19">
        <f t="shared" si="235"/>
        <v>6992</v>
      </c>
      <c r="R1886" s="19">
        <f t="shared" si="232"/>
        <v>3195833.44</v>
      </c>
      <c r="T1886" s="19">
        <f t="shared" si="236"/>
        <v>1733841</v>
      </c>
      <c r="U1886" s="19">
        <f t="shared" si="237"/>
        <v>1750578.0999999999</v>
      </c>
      <c r="V1886" s="21">
        <f t="shared" si="238"/>
        <v>16737.09999999986</v>
      </c>
      <c r="W1886" s="18">
        <f t="shared" si="239"/>
        <v>9.6531919593549013E-3</v>
      </c>
    </row>
    <row r="1887" spans="1:23" x14ac:dyDescent="0.3">
      <c r="A1887" t="s">
        <v>451</v>
      </c>
      <c r="B1887" t="s">
        <v>2272</v>
      </c>
      <c r="C1887" t="s">
        <v>37</v>
      </c>
      <c r="D1887" t="s">
        <v>13</v>
      </c>
      <c r="E1887">
        <v>3095</v>
      </c>
      <c r="F1887">
        <v>329.64</v>
      </c>
      <c r="G1887">
        <v>347.57</v>
      </c>
      <c r="H1887">
        <v>329.64</v>
      </c>
      <c r="I1887">
        <v>1945</v>
      </c>
      <c r="J1887">
        <v>25</v>
      </c>
      <c r="K1887" s="17">
        <f t="shared" si="233"/>
        <v>1620.8333333333333</v>
      </c>
      <c r="L1887" t="str">
        <f t="shared" si="234"/>
        <v>Sufficuent Stock</v>
      </c>
      <c r="P1887" s="19">
        <f t="shared" si="235"/>
        <v>0</v>
      </c>
      <c r="R1887" s="19">
        <f t="shared" si="232"/>
        <v>0</v>
      </c>
      <c r="T1887" s="19">
        <f t="shared" si="236"/>
        <v>676023.65</v>
      </c>
      <c r="U1887" s="19">
        <f t="shared" si="237"/>
        <v>641149.79999999993</v>
      </c>
      <c r="V1887" s="21">
        <f t="shared" si="238"/>
        <v>-34873.850000000093</v>
      </c>
      <c r="W1887" s="18">
        <f t="shared" si="239"/>
        <v>-5.158673073050047E-2</v>
      </c>
    </row>
    <row r="1888" spans="1:23" x14ac:dyDescent="0.3">
      <c r="A1888" t="s">
        <v>449</v>
      </c>
      <c r="B1888" t="s">
        <v>505</v>
      </c>
      <c r="C1888" t="s">
        <v>50</v>
      </c>
      <c r="D1888" t="s">
        <v>13</v>
      </c>
      <c r="E1888">
        <v>3101</v>
      </c>
      <c r="F1888">
        <v>253.7</v>
      </c>
      <c r="G1888">
        <v>266.16000000000003</v>
      </c>
      <c r="H1888">
        <v>253.7</v>
      </c>
      <c r="I1888">
        <v>3751</v>
      </c>
      <c r="J1888">
        <v>22</v>
      </c>
      <c r="K1888" s="17">
        <f t="shared" si="233"/>
        <v>2750.7333333333331</v>
      </c>
      <c r="L1888" t="str">
        <f t="shared" si="234"/>
        <v>Sufficuent Stock</v>
      </c>
      <c r="P1888" s="19">
        <f t="shared" si="235"/>
        <v>0</v>
      </c>
      <c r="R1888" s="19">
        <f t="shared" si="232"/>
        <v>0</v>
      </c>
      <c r="T1888" s="19">
        <f t="shared" si="236"/>
        <v>998366.16000000015</v>
      </c>
      <c r="U1888" s="19">
        <f t="shared" si="237"/>
        <v>951628.7</v>
      </c>
      <c r="V1888" s="21">
        <f t="shared" si="238"/>
        <v>-46737.460000000196</v>
      </c>
      <c r="W1888" s="18">
        <f t="shared" si="239"/>
        <v>-4.6813946498347046E-2</v>
      </c>
    </row>
    <row r="1889" spans="1:23" x14ac:dyDescent="0.3">
      <c r="A1889" t="s">
        <v>29</v>
      </c>
      <c r="B1889" t="s">
        <v>30</v>
      </c>
      <c r="C1889" t="s">
        <v>12</v>
      </c>
      <c r="D1889" t="s">
        <v>13</v>
      </c>
      <c r="E1889">
        <v>3108</v>
      </c>
      <c r="F1889">
        <v>171.58</v>
      </c>
      <c r="G1889">
        <v>179.45</v>
      </c>
      <c r="H1889">
        <v>171.58</v>
      </c>
      <c r="I1889">
        <v>1267</v>
      </c>
      <c r="J1889">
        <v>57</v>
      </c>
      <c r="K1889" s="17">
        <f t="shared" si="233"/>
        <v>2407.3000000000002</v>
      </c>
      <c r="L1889" t="str">
        <f t="shared" si="234"/>
        <v>Sufficuent Stock</v>
      </c>
      <c r="P1889" s="19">
        <f t="shared" si="235"/>
        <v>0</v>
      </c>
      <c r="R1889" s="19">
        <f t="shared" si="232"/>
        <v>0</v>
      </c>
      <c r="T1889" s="19">
        <f t="shared" si="236"/>
        <v>227363.15</v>
      </c>
      <c r="U1889" s="19">
        <f t="shared" si="237"/>
        <v>217391.86000000002</v>
      </c>
      <c r="V1889" s="21">
        <f t="shared" si="238"/>
        <v>-9971.289999999979</v>
      </c>
      <c r="W1889" s="18">
        <f t="shared" si="239"/>
        <v>-4.3856227361381908E-2</v>
      </c>
    </row>
    <row r="1890" spans="1:23" x14ac:dyDescent="0.3">
      <c r="A1890" t="s">
        <v>44</v>
      </c>
      <c r="B1890" t="s">
        <v>45</v>
      </c>
      <c r="C1890" t="s">
        <v>12</v>
      </c>
      <c r="D1890" t="s">
        <v>17</v>
      </c>
      <c r="E1890">
        <v>3111</v>
      </c>
      <c r="F1890">
        <v>139.13999999999999</v>
      </c>
      <c r="G1890">
        <v>147.77000000000001</v>
      </c>
      <c r="H1890">
        <v>139.13999999999999</v>
      </c>
      <c r="I1890">
        <v>1342</v>
      </c>
      <c r="J1890">
        <v>29</v>
      </c>
      <c r="K1890" s="17">
        <f t="shared" si="233"/>
        <v>1297.2666666666667</v>
      </c>
      <c r="L1890" t="str">
        <f t="shared" si="234"/>
        <v>Sufficuent Stock</v>
      </c>
      <c r="P1890" s="19">
        <f t="shared" si="235"/>
        <v>0</v>
      </c>
      <c r="R1890" s="19">
        <f t="shared" si="232"/>
        <v>0</v>
      </c>
      <c r="T1890" s="19">
        <f t="shared" si="236"/>
        <v>198307.34000000003</v>
      </c>
      <c r="U1890" s="19">
        <f t="shared" si="237"/>
        <v>186725.87999999998</v>
      </c>
      <c r="V1890" s="21">
        <f t="shared" si="238"/>
        <v>-11581.46000000005</v>
      </c>
      <c r="W1890" s="18">
        <f t="shared" si="239"/>
        <v>-5.8401570007444246E-2</v>
      </c>
    </row>
    <row r="1891" spans="1:23" x14ac:dyDescent="0.3">
      <c r="A1891" t="s">
        <v>1542</v>
      </c>
      <c r="B1891" t="s">
        <v>2299</v>
      </c>
      <c r="C1891" t="s">
        <v>50</v>
      </c>
      <c r="D1891" t="s">
        <v>17</v>
      </c>
      <c r="E1891">
        <v>3112</v>
      </c>
      <c r="F1891">
        <v>454.89</v>
      </c>
      <c r="G1891">
        <v>484.12</v>
      </c>
      <c r="H1891">
        <v>454.89</v>
      </c>
      <c r="I1891">
        <v>877</v>
      </c>
      <c r="J1891">
        <v>30</v>
      </c>
      <c r="K1891" s="17">
        <f t="shared" si="233"/>
        <v>877</v>
      </c>
      <c r="L1891" t="str">
        <f t="shared" si="234"/>
        <v>Sufficuent Stock</v>
      </c>
      <c r="P1891" s="19">
        <f t="shared" si="235"/>
        <v>0</v>
      </c>
      <c r="R1891" s="19">
        <f t="shared" si="232"/>
        <v>0</v>
      </c>
      <c r="T1891" s="19">
        <f t="shared" si="236"/>
        <v>424573.24</v>
      </c>
      <c r="U1891" s="19">
        <f t="shared" si="237"/>
        <v>398938.52999999997</v>
      </c>
      <c r="V1891" s="21">
        <f t="shared" si="238"/>
        <v>-25634.710000000021</v>
      </c>
      <c r="W1891" s="18">
        <f t="shared" si="239"/>
        <v>-6.03775923324796E-2</v>
      </c>
    </row>
    <row r="1892" spans="1:23" x14ac:dyDescent="0.3">
      <c r="A1892" t="s">
        <v>820</v>
      </c>
      <c r="B1892" t="s">
        <v>1975</v>
      </c>
      <c r="C1892" t="s">
        <v>23</v>
      </c>
      <c r="D1892" t="s">
        <v>13</v>
      </c>
      <c r="E1892">
        <v>3114</v>
      </c>
      <c r="F1892">
        <v>172.1</v>
      </c>
      <c r="G1892">
        <v>166.4</v>
      </c>
      <c r="H1892">
        <v>172.1</v>
      </c>
      <c r="I1892">
        <v>953</v>
      </c>
      <c r="J1892">
        <v>5</v>
      </c>
      <c r="K1892" s="17">
        <f t="shared" si="233"/>
        <v>158.83333333333331</v>
      </c>
      <c r="L1892" t="str">
        <f t="shared" si="234"/>
        <v>Sufficuent Stock</v>
      </c>
      <c r="P1892" s="19">
        <f t="shared" si="235"/>
        <v>0</v>
      </c>
      <c r="R1892" s="19">
        <f t="shared" si="232"/>
        <v>0</v>
      </c>
      <c r="T1892" s="19">
        <f t="shared" si="236"/>
        <v>158579.20000000001</v>
      </c>
      <c r="U1892" s="19">
        <f t="shared" si="237"/>
        <v>164011.29999999999</v>
      </c>
      <c r="V1892" s="21">
        <f t="shared" si="238"/>
        <v>5432.0999999999767</v>
      </c>
      <c r="W1892" s="18">
        <f t="shared" si="239"/>
        <v>3.4254807692307543E-2</v>
      </c>
    </row>
    <row r="1893" spans="1:23" x14ac:dyDescent="0.3">
      <c r="A1893" t="s">
        <v>134</v>
      </c>
      <c r="B1893" t="s">
        <v>2001</v>
      </c>
      <c r="C1893" t="s">
        <v>16</v>
      </c>
      <c r="D1893" t="s">
        <v>20</v>
      </c>
      <c r="E1893">
        <v>3114</v>
      </c>
      <c r="F1893">
        <v>486.49</v>
      </c>
      <c r="G1893">
        <v>476.84</v>
      </c>
      <c r="H1893">
        <v>486.49</v>
      </c>
      <c r="I1893">
        <v>3922</v>
      </c>
      <c r="J1893">
        <v>69</v>
      </c>
      <c r="K1893" s="17">
        <f t="shared" si="233"/>
        <v>9020.5999999999985</v>
      </c>
      <c r="L1893" t="str">
        <f t="shared" si="234"/>
        <v>High Risk</v>
      </c>
      <c r="P1893" s="19">
        <f t="shared" si="235"/>
        <v>5907</v>
      </c>
      <c r="R1893" s="19">
        <f t="shared" si="232"/>
        <v>2873696.43</v>
      </c>
      <c r="T1893" s="19">
        <f t="shared" si="236"/>
        <v>1870166.48</v>
      </c>
      <c r="U1893" s="19">
        <f t="shared" si="237"/>
        <v>1908013.78</v>
      </c>
      <c r="V1893" s="21">
        <f t="shared" si="238"/>
        <v>37847.300000000047</v>
      </c>
      <c r="W1893" s="18">
        <f t="shared" si="239"/>
        <v>2.0237396191594689E-2</v>
      </c>
    </row>
    <row r="1894" spans="1:23" x14ac:dyDescent="0.3">
      <c r="A1894" t="s">
        <v>732</v>
      </c>
      <c r="B1894" t="s">
        <v>1157</v>
      </c>
      <c r="C1894" t="s">
        <v>50</v>
      </c>
      <c r="D1894" t="s">
        <v>26</v>
      </c>
      <c r="E1894">
        <v>3119</v>
      </c>
      <c r="F1894">
        <v>475.71</v>
      </c>
      <c r="G1894">
        <v>452.24</v>
      </c>
      <c r="H1894">
        <v>475.71</v>
      </c>
      <c r="I1894">
        <v>3185</v>
      </c>
      <c r="J1894">
        <v>49</v>
      </c>
      <c r="K1894" s="17">
        <f t="shared" si="233"/>
        <v>5202.166666666667</v>
      </c>
      <c r="L1894" t="str">
        <f t="shared" si="234"/>
        <v>High Risk</v>
      </c>
      <c r="P1894" s="19">
        <f t="shared" si="235"/>
        <v>2084</v>
      </c>
      <c r="R1894" s="19">
        <f t="shared" si="232"/>
        <v>991379.64</v>
      </c>
      <c r="T1894" s="19">
        <f t="shared" si="236"/>
        <v>1440384.4000000001</v>
      </c>
      <c r="U1894" s="19">
        <f t="shared" si="237"/>
        <v>1515136.3499999999</v>
      </c>
      <c r="V1894" s="21">
        <f t="shared" si="238"/>
        <v>74751.949999999721</v>
      </c>
      <c r="W1894" s="18">
        <f t="shared" si="239"/>
        <v>5.1897222713603197E-2</v>
      </c>
    </row>
    <row r="1895" spans="1:23" x14ac:dyDescent="0.3">
      <c r="A1895" t="s">
        <v>253</v>
      </c>
      <c r="B1895" t="s">
        <v>254</v>
      </c>
      <c r="C1895" t="s">
        <v>12</v>
      </c>
      <c r="D1895" t="s">
        <v>20</v>
      </c>
      <c r="E1895">
        <v>3119</v>
      </c>
      <c r="F1895">
        <v>101.52</v>
      </c>
      <c r="G1895">
        <v>97.2</v>
      </c>
      <c r="H1895">
        <v>101.52</v>
      </c>
      <c r="I1895">
        <v>3307</v>
      </c>
      <c r="J1895">
        <v>35</v>
      </c>
      <c r="K1895" s="17">
        <f t="shared" si="233"/>
        <v>3858.1666666666665</v>
      </c>
      <c r="L1895" t="str">
        <f t="shared" si="234"/>
        <v>High Risk</v>
      </c>
      <c r="P1895" s="19">
        <f t="shared" si="235"/>
        <v>740</v>
      </c>
      <c r="R1895" s="19">
        <f t="shared" si="232"/>
        <v>75124.800000000003</v>
      </c>
      <c r="T1895" s="19">
        <f t="shared" si="236"/>
        <v>321440.40000000002</v>
      </c>
      <c r="U1895" s="19">
        <f t="shared" si="237"/>
        <v>335726.64</v>
      </c>
      <c r="V1895" s="21">
        <f t="shared" si="238"/>
        <v>14286.239999999991</v>
      </c>
      <c r="W1895" s="18">
        <f t="shared" si="239"/>
        <v>4.4444444444444411E-2</v>
      </c>
    </row>
    <row r="1896" spans="1:23" x14ac:dyDescent="0.3">
      <c r="A1896" t="s">
        <v>480</v>
      </c>
      <c r="B1896" t="s">
        <v>2222</v>
      </c>
      <c r="C1896" t="s">
        <v>37</v>
      </c>
      <c r="D1896" t="s">
        <v>13</v>
      </c>
      <c r="E1896">
        <v>3122</v>
      </c>
      <c r="F1896">
        <v>271.04000000000002</v>
      </c>
      <c r="G1896">
        <v>259.33999999999997</v>
      </c>
      <c r="H1896">
        <v>271.04000000000002</v>
      </c>
      <c r="I1896">
        <v>810</v>
      </c>
      <c r="J1896">
        <v>33</v>
      </c>
      <c r="K1896" s="17">
        <f t="shared" si="233"/>
        <v>891</v>
      </c>
      <c r="L1896" t="str">
        <f t="shared" si="234"/>
        <v>Sufficuent Stock</v>
      </c>
      <c r="P1896" s="19">
        <f t="shared" si="235"/>
        <v>0</v>
      </c>
      <c r="R1896" s="19">
        <f t="shared" si="232"/>
        <v>0</v>
      </c>
      <c r="T1896" s="19">
        <f t="shared" si="236"/>
        <v>210065.4</v>
      </c>
      <c r="U1896" s="19">
        <f t="shared" si="237"/>
        <v>219542.40000000002</v>
      </c>
      <c r="V1896" s="21">
        <f t="shared" si="238"/>
        <v>9477.0000000000291</v>
      </c>
      <c r="W1896" s="18">
        <f t="shared" si="239"/>
        <v>4.5114521477597119E-2</v>
      </c>
    </row>
    <row r="1897" spans="1:23" x14ac:dyDescent="0.3">
      <c r="A1897" t="s">
        <v>365</v>
      </c>
      <c r="B1897" t="s">
        <v>2088</v>
      </c>
      <c r="C1897" t="s">
        <v>37</v>
      </c>
      <c r="D1897" t="s">
        <v>17</v>
      </c>
      <c r="E1897">
        <v>3122</v>
      </c>
      <c r="F1897">
        <v>388.12</v>
      </c>
      <c r="G1897">
        <v>419.51</v>
      </c>
      <c r="H1897">
        <v>388.12</v>
      </c>
      <c r="I1897">
        <v>3772</v>
      </c>
      <c r="J1897">
        <v>83</v>
      </c>
      <c r="K1897" s="17">
        <f t="shared" si="233"/>
        <v>10435.866666666667</v>
      </c>
      <c r="L1897" t="str">
        <f t="shared" si="234"/>
        <v>High Risk</v>
      </c>
      <c r="P1897" s="19">
        <f t="shared" si="235"/>
        <v>7314</v>
      </c>
      <c r="R1897" s="19">
        <f t="shared" si="232"/>
        <v>2838709.68</v>
      </c>
      <c r="T1897" s="19">
        <f t="shared" si="236"/>
        <v>1582391.72</v>
      </c>
      <c r="U1897" s="19">
        <f t="shared" si="237"/>
        <v>1463988.6400000001</v>
      </c>
      <c r="V1897" s="21">
        <f t="shared" si="238"/>
        <v>-118403.07999999984</v>
      </c>
      <c r="W1897" s="18">
        <f t="shared" si="239"/>
        <v>-7.4825391528211382E-2</v>
      </c>
    </row>
    <row r="1898" spans="1:23" x14ac:dyDescent="0.3">
      <c r="A1898" t="s">
        <v>310</v>
      </c>
      <c r="B1898" t="s">
        <v>3306</v>
      </c>
      <c r="C1898" t="s">
        <v>50</v>
      </c>
      <c r="D1898" t="s">
        <v>17</v>
      </c>
      <c r="E1898">
        <v>3128</v>
      </c>
      <c r="F1898">
        <v>86.82</v>
      </c>
      <c r="G1898">
        <v>92.59</v>
      </c>
      <c r="H1898">
        <v>86.82</v>
      </c>
      <c r="I1898">
        <v>268</v>
      </c>
      <c r="J1898">
        <v>44</v>
      </c>
      <c r="K1898" s="17">
        <f t="shared" si="233"/>
        <v>393.06666666666666</v>
      </c>
      <c r="L1898" t="str">
        <f t="shared" si="234"/>
        <v>Sufficuent Stock</v>
      </c>
      <c r="P1898" s="19">
        <f t="shared" si="235"/>
        <v>0</v>
      </c>
      <c r="R1898" s="19">
        <f t="shared" si="232"/>
        <v>0</v>
      </c>
      <c r="T1898" s="19">
        <f t="shared" si="236"/>
        <v>24814.120000000003</v>
      </c>
      <c r="U1898" s="19">
        <f t="shared" si="237"/>
        <v>23267.759999999998</v>
      </c>
      <c r="V1898" s="21">
        <f t="shared" si="238"/>
        <v>-1546.3600000000042</v>
      </c>
      <c r="W1898" s="18">
        <f t="shared" si="239"/>
        <v>-6.2317744896857277E-2</v>
      </c>
    </row>
    <row r="1899" spans="1:23" x14ac:dyDescent="0.3">
      <c r="A1899" t="s">
        <v>44</v>
      </c>
      <c r="B1899" t="s">
        <v>1073</v>
      </c>
      <c r="C1899" t="s">
        <v>23</v>
      </c>
      <c r="D1899" t="s">
        <v>17</v>
      </c>
      <c r="E1899">
        <v>3129</v>
      </c>
      <c r="F1899">
        <v>427.83</v>
      </c>
      <c r="G1899">
        <v>369.37</v>
      </c>
      <c r="H1899">
        <v>427.83</v>
      </c>
      <c r="I1899">
        <v>1508</v>
      </c>
      <c r="J1899">
        <v>61</v>
      </c>
      <c r="K1899" s="17">
        <f t="shared" si="233"/>
        <v>3066.2666666666664</v>
      </c>
      <c r="L1899" t="str">
        <f t="shared" si="234"/>
        <v>Sufficuent Stock</v>
      </c>
      <c r="P1899" s="19">
        <f t="shared" si="235"/>
        <v>0</v>
      </c>
      <c r="R1899" s="19">
        <f t="shared" si="232"/>
        <v>0</v>
      </c>
      <c r="T1899" s="19">
        <f t="shared" si="236"/>
        <v>557009.96</v>
      </c>
      <c r="U1899" s="19">
        <f t="shared" si="237"/>
        <v>645167.64</v>
      </c>
      <c r="V1899" s="21">
        <f t="shared" si="238"/>
        <v>88157.680000000051</v>
      </c>
      <c r="W1899" s="18">
        <f t="shared" si="239"/>
        <v>0.15826948588136566</v>
      </c>
    </row>
    <row r="1900" spans="1:23" x14ac:dyDescent="0.3">
      <c r="A1900" t="s">
        <v>543</v>
      </c>
      <c r="B1900" t="s">
        <v>1346</v>
      </c>
      <c r="C1900" t="s">
        <v>12</v>
      </c>
      <c r="D1900" t="s">
        <v>26</v>
      </c>
      <c r="E1900">
        <v>3132</v>
      </c>
      <c r="F1900">
        <v>44.63</v>
      </c>
      <c r="G1900">
        <v>43.32</v>
      </c>
      <c r="H1900">
        <v>44.63</v>
      </c>
      <c r="I1900">
        <v>205</v>
      </c>
      <c r="J1900">
        <v>73</v>
      </c>
      <c r="K1900" s="17">
        <f t="shared" si="233"/>
        <v>498.83333333333331</v>
      </c>
      <c r="L1900" t="str">
        <f t="shared" si="234"/>
        <v>Sufficuent Stock</v>
      </c>
      <c r="P1900" s="19">
        <f t="shared" si="235"/>
        <v>0</v>
      </c>
      <c r="R1900" s="19">
        <f t="shared" si="232"/>
        <v>0</v>
      </c>
      <c r="T1900" s="19">
        <f t="shared" si="236"/>
        <v>8880.6</v>
      </c>
      <c r="U1900" s="19">
        <f t="shared" si="237"/>
        <v>9149.15</v>
      </c>
      <c r="V1900" s="21">
        <f t="shared" si="238"/>
        <v>268.54999999999927</v>
      </c>
      <c r="W1900" s="18">
        <f t="shared" si="239"/>
        <v>3.0240073868882649E-2</v>
      </c>
    </row>
    <row r="1901" spans="1:23" x14ac:dyDescent="0.3">
      <c r="A1901" t="s">
        <v>188</v>
      </c>
      <c r="B1901" t="s">
        <v>3036</v>
      </c>
      <c r="C1901" t="s">
        <v>16</v>
      </c>
      <c r="D1901" t="s">
        <v>69</v>
      </c>
      <c r="E1901">
        <v>3133</v>
      </c>
      <c r="F1901">
        <v>433.97</v>
      </c>
      <c r="G1901">
        <v>376.74</v>
      </c>
      <c r="H1901">
        <v>433.97</v>
      </c>
      <c r="I1901">
        <v>1912</v>
      </c>
      <c r="J1901">
        <v>37</v>
      </c>
      <c r="K1901" s="17">
        <f t="shared" si="233"/>
        <v>2358.1333333333332</v>
      </c>
      <c r="L1901" t="str">
        <f t="shared" si="234"/>
        <v>Sufficuent Stock</v>
      </c>
      <c r="P1901" s="19">
        <f t="shared" si="235"/>
        <v>0</v>
      </c>
      <c r="R1901" s="19">
        <f t="shared" si="232"/>
        <v>0</v>
      </c>
      <c r="T1901" s="19">
        <f t="shared" si="236"/>
        <v>720326.88</v>
      </c>
      <c r="U1901" s="19">
        <f t="shared" si="237"/>
        <v>829750.64</v>
      </c>
      <c r="V1901" s="21">
        <f t="shared" si="238"/>
        <v>109423.76000000001</v>
      </c>
      <c r="W1901" s="18">
        <f t="shared" si="239"/>
        <v>0.15190847799543453</v>
      </c>
    </row>
    <row r="1902" spans="1:23" x14ac:dyDescent="0.3">
      <c r="A1902" t="s">
        <v>40</v>
      </c>
      <c r="B1902" t="s">
        <v>1083</v>
      </c>
      <c r="C1902" t="s">
        <v>50</v>
      </c>
      <c r="D1902" t="s">
        <v>17</v>
      </c>
      <c r="E1902">
        <v>3134</v>
      </c>
      <c r="F1902">
        <v>485.83</v>
      </c>
      <c r="G1902">
        <v>486.94</v>
      </c>
      <c r="H1902">
        <v>485.83</v>
      </c>
      <c r="I1902">
        <v>1957</v>
      </c>
      <c r="J1902">
        <v>17</v>
      </c>
      <c r="K1902" s="17">
        <f t="shared" si="233"/>
        <v>1108.9666666666667</v>
      </c>
      <c r="L1902" t="str">
        <f t="shared" si="234"/>
        <v>Sufficuent Stock</v>
      </c>
      <c r="P1902" s="19">
        <f t="shared" si="235"/>
        <v>0</v>
      </c>
      <c r="R1902" s="19">
        <f t="shared" si="232"/>
        <v>0</v>
      </c>
      <c r="T1902" s="19">
        <f t="shared" si="236"/>
        <v>952941.58</v>
      </c>
      <c r="U1902" s="19">
        <f t="shared" si="237"/>
        <v>950769.30999999994</v>
      </c>
      <c r="V1902" s="21">
        <f t="shared" si="238"/>
        <v>-2172.2700000000186</v>
      </c>
      <c r="W1902" s="18">
        <f t="shared" si="239"/>
        <v>-2.2795416273052316E-3</v>
      </c>
    </row>
    <row r="1903" spans="1:23" x14ac:dyDescent="0.3">
      <c r="A1903" t="s">
        <v>1379</v>
      </c>
      <c r="B1903" t="s">
        <v>2702</v>
      </c>
      <c r="C1903" t="s">
        <v>16</v>
      </c>
      <c r="D1903" t="s">
        <v>26</v>
      </c>
      <c r="E1903">
        <v>3134</v>
      </c>
      <c r="F1903">
        <v>228.8</v>
      </c>
      <c r="G1903">
        <v>252.56</v>
      </c>
      <c r="H1903">
        <v>228.8</v>
      </c>
      <c r="I1903">
        <v>1185</v>
      </c>
      <c r="J1903">
        <v>24</v>
      </c>
      <c r="K1903" s="17">
        <f t="shared" si="233"/>
        <v>948</v>
      </c>
      <c r="L1903" t="str">
        <f t="shared" si="234"/>
        <v>Sufficuent Stock</v>
      </c>
      <c r="P1903" s="19">
        <f t="shared" si="235"/>
        <v>0</v>
      </c>
      <c r="R1903" s="19">
        <f t="shared" si="232"/>
        <v>0</v>
      </c>
      <c r="T1903" s="19">
        <f t="shared" si="236"/>
        <v>299283.59999999998</v>
      </c>
      <c r="U1903" s="19">
        <f t="shared" si="237"/>
        <v>271128</v>
      </c>
      <c r="V1903" s="21">
        <f t="shared" si="238"/>
        <v>-28155.599999999977</v>
      </c>
      <c r="W1903" s="18">
        <f t="shared" si="239"/>
        <v>-9.4076655052264743E-2</v>
      </c>
    </row>
    <row r="1904" spans="1:23" x14ac:dyDescent="0.3">
      <c r="A1904" t="s">
        <v>833</v>
      </c>
      <c r="B1904" t="s">
        <v>2395</v>
      </c>
      <c r="C1904" t="s">
        <v>12</v>
      </c>
      <c r="D1904" t="s">
        <v>69</v>
      </c>
      <c r="E1904">
        <v>3139</v>
      </c>
      <c r="F1904">
        <v>192.71</v>
      </c>
      <c r="G1904">
        <v>177.66</v>
      </c>
      <c r="H1904">
        <v>192.71</v>
      </c>
      <c r="I1904">
        <v>2455</v>
      </c>
      <c r="J1904">
        <v>8</v>
      </c>
      <c r="K1904" s="17">
        <f t="shared" si="233"/>
        <v>654.66666666666663</v>
      </c>
      <c r="L1904" t="str">
        <f t="shared" si="234"/>
        <v>Sufficuent Stock</v>
      </c>
      <c r="P1904" s="19">
        <f t="shared" si="235"/>
        <v>0</v>
      </c>
      <c r="R1904" s="19">
        <f t="shared" si="232"/>
        <v>0</v>
      </c>
      <c r="T1904" s="19">
        <f t="shared" si="236"/>
        <v>436155.3</v>
      </c>
      <c r="U1904" s="19">
        <f t="shared" si="237"/>
        <v>473103.05000000005</v>
      </c>
      <c r="V1904" s="21">
        <f t="shared" si="238"/>
        <v>36947.750000000058</v>
      </c>
      <c r="W1904" s="18">
        <f t="shared" si="239"/>
        <v>8.4712371946414636E-2</v>
      </c>
    </row>
    <row r="1905" spans="1:23" x14ac:dyDescent="0.3">
      <c r="A1905" t="s">
        <v>308</v>
      </c>
      <c r="B1905" t="s">
        <v>309</v>
      </c>
      <c r="C1905" t="s">
        <v>12</v>
      </c>
      <c r="D1905" t="s">
        <v>26</v>
      </c>
      <c r="E1905">
        <v>3141</v>
      </c>
      <c r="F1905">
        <v>369.17</v>
      </c>
      <c r="G1905">
        <v>330.39</v>
      </c>
      <c r="H1905">
        <v>369.17</v>
      </c>
      <c r="I1905">
        <v>3435</v>
      </c>
      <c r="J1905">
        <v>84</v>
      </c>
      <c r="K1905" s="17">
        <f t="shared" si="233"/>
        <v>9618</v>
      </c>
      <c r="L1905" t="str">
        <f t="shared" si="234"/>
        <v>High Risk</v>
      </c>
      <c r="P1905" s="19">
        <f t="shared" si="235"/>
        <v>6477</v>
      </c>
      <c r="R1905" s="19">
        <f t="shared" si="232"/>
        <v>2391114.0900000003</v>
      </c>
      <c r="T1905" s="19">
        <f t="shared" si="236"/>
        <v>1134889.6499999999</v>
      </c>
      <c r="U1905" s="19">
        <f t="shared" si="237"/>
        <v>1268098.95</v>
      </c>
      <c r="V1905" s="21">
        <f t="shared" si="238"/>
        <v>133209.30000000005</v>
      </c>
      <c r="W1905" s="18">
        <f t="shared" si="239"/>
        <v>0.11737643391143805</v>
      </c>
    </row>
    <row r="1906" spans="1:23" x14ac:dyDescent="0.3">
      <c r="A1906" t="s">
        <v>76</v>
      </c>
      <c r="B1906" t="s">
        <v>183</v>
      </c>
      <c r="C1906" t="s">
        <v>12</v>
      </c>
      <c r="D1906" t="s">
        <v>17</v>
      </c>
      <c r="E1906">
        <v>3142</v>
      </c>
      <c r="F1906">
        <v>132.38</v>
      </c>
      <c r="G1906">
        <v>113.07</v>
      </c>
      <c r="H1906">
        <v>132.38</v>
      </c>
      <c r="I1906">
        <v>3918</v>
      </c>
      <c r="J1906">
        <v>67</v>
      </c>
      <c r="K1906" s="17">
        <f t="shared" si="233"/>
        <v>8750.1999999999989</v>
      </c>
      <c r="L1906" t="str">
        <f t="shared" si="234"/>
        <v>High Risk</v>
      </c>
      <c r="P1906" s="19">
        <f t="shared" si="235"/>
        <v>5609</v>
      </c>
      <c r="R1906" s="19">
        <f t="shared" si="232"/>
        <v>742519.41999999993</v>
      </c>
      <c r="T1906" s="19">
        <f t="shared" si="236"/>
        <v>443008.25999999995</v>
      </c>
      <c r="U1906" s="19">
        <f t="shared" si="237"/>
        <v>518664.83999999997</v>
      </c>
      <c r="V1906" s="21">
        <f t="shared" si="238"/>
        <v>75656.580000000016</v>
      </c>
      <c r="W1906" s="18">
        <f t="shared" si="239"/>
        <v>0.17077916335013713</v>
      </c>
    </row>
    <row r="1907" spans="1:23" x14ac:dyDescent="0.3">
      <c r="A1907" t="s">
        <v>459</v>
      </c>
      <c r="B1907" t="s">
        <v>1349</v>
      </c>
      <c r="C1907" t="s">
        <v>23</v>
      </c>
      <c r="D1907" t="s">
        <v>69</v>
      </c>
      <c r="E1907">
        <v>3142</v>
      </c>
      <c r="F1907">
        <v>133.28</v>
      </c>
      <c r="G1907">
        <v>127.16</v>
      </c>
      <c r="H1907">
        <v>133.28</v>
      </c>
      <c r="I1907">
        <v>2843</v>
      </c>
      <c r="J1907">
        <v>19</v>
      </c>
      <c r="K1907" s="17">
        <f t="shared" si="233"/>
        <v>1800.5666666666666</v>
      </c>
      <c r="L1907" t="str">
        <f t="shared" si="234"/>
        <v>Sufficuent Stock</v>
      </c>
      <c r="P1907" s="19">
        <f t="shared" si="235"/>
        <v>0</v>
      </c>
      <c r="R1907" s="19">
        <f t="shared" si="232"/>
        <v>0</v>
      </c>
      <c r="T1907" s="19">
        <f t="shared" si="236"/>
        <v>361515.88</v>
      </c>
      <c r="U1907" s="19">
        <f t="shared" si="237"/>
        <v>378915.04</v>
      </c>
      <c r="V1907" s="21">
        <f t="shared" si="238"/>
        <v>17399.159999999974</v>
      </c>
      <c r="W1907" s="18">
        <f t="shared" si="239"/>
        <v>4.8128342245989233E-2</v>
      </c>
    </row>
    <row r="1908" spans="1:23" x14ac:dyDescent="0.3">
      <c r="A1908" t="s">
        <v>592</v>
      </c>
      <c r="B1908" t="s">
        <v>998</v>
      </c>
      <c r="C1908" t="s">
        <v>16</v>
      </c>
      <c r="D1908" t="s">
        <v>69</v>
      </c>
      <c r="E1908">
        <v>3142</v>
      </c>
      <c r="F1908">
        <v>454.95</v>
      </c>
      <c r="G1908">
        <v>482.78</v>
      </c>
      <c r="H1908">
        <v>454.95</v>
      </c>
      <c r="I1908">
        <v>353</v>
      </c>
      <c r="J1908">
        <v>63</v>
      </c>
      <c r="K1908" s="17">
        <f t="shared" si="233"/>
        <v>741.30000000000007</v>
      </c>
      <c r="L1908" t="str">
        <f t="shared" si="234"/>
        <v>Sufficuent Stock</v>
      </c>
      <c r="P1908" s="19">
        <f t="shared" si="235"/>
        <v>0</v>
      </c>
      <c r="R1908" s="19">
        <f t="shared" si="232"/>
        <v>0</v>
      </c>
      <c r="T1908" s="19">
        <f t="shared" si="236"/>
        <v>170421.34</v>
      </c>
      <c r="U1908" s="19">
        <f t="shared" si="237"/>
        <v>160597.35</v>
      </c>
      <c r="V1908" s="21">
        <f t="shared" si="238"/>
        <v>-9823.9899999999907</v>
      </c>
      <c r="W1908" s="18">
        <f t="shared" si="239"/>
        <v>-5.7645304279381859E-2</v>
      </c>
    </row>
    <row r="1909" spans="1:23" x14ac:dyDescent="0.3">
      <c r="A1909" t="s">
        <v>952</v>
      </c>
      <c r="B1909" t="s">
        <v>1643</v>
      </c>
      <c r="C1909" t="s">
        <v>12</v>
      </c>
      <c r="D1909" t="s">
        <v>26</v>
      </c>
      <c r="E1909">
        <v>3142</v>
      </c>
      <c r="F1909">
        <v>393.43</v>
      </c>
      <c r="G1909">
        <v>397.11</v>
      </c>
      <c r="H1909">
        <v>393.43</v>
      </c>
      <c r="I1909">
        <v>3936</v>
      </c>
      <c r="J1909">
        <v>31</v>
      </c>
      <c r="K1909" s="17">
        <f t="shared" si="233"/>
        <v>4067.2</v>
      </c>
      <c r="L1909" t="str">
        <f t="shared" si="234"/>
        <v>High Risk</v>
      </c>
      <c r="P1909" s="19">
        <f t="shared" si="235"/>
        <v>926</v>
      </c>
      <c r="R1909" s="19">
        <f t="shared" si="232"/>
        <v>364316.18</v>
      </c>
      <c r="T1909" s="19">
        <f t="shared" si="236"/>
        <v>1563024.96</v>
      </c>
      <c r="U1909" s="19">
        <f t="shared" si="237"/>
        <v>1548540.48</v>
      </c>
      <c r="V1909" s="21">
        <f t="shared" si="238"/>
        <v>-14484.479999999981</v>
      </c>
      <c r="W1909" s="18">
        <f t="shared" si="239"/>
        <v>-9.2669537407771025E-3</v>
      </c>
    </row>
    <row r="1910" spans="1:23" x14ac:dyDescent="0.3">
      <c r="A1910" t="s">
        <v>180</v>
      </c>
      <c r="B1910" t="s">
        <v>823</v>
      </c>
      <c r="C1910" t="s">
        <v>16</v>
      </c>
      <c r="D1910" t="s">
        <v>17</v>
      </c>
      <c r="E1910">
        <v>3143</v>
      </c>
      <c r="F1910">
        <v>322.33999999999997</v>
      </c>
      <c r="G1910">
        <v>300.19</v>
      </c>
      <c r="H1910">
        <v>322.33999999999997</v>
      </c>
      <c r="I1910">
        <v>383</v>
      </c>
      <c r="J1910">
        <v>68</v>
      </c>
      <c r="K1910" s="17">
        <f t="shared" si="233"/>
        <v>868.13333333333344</v>
      </c>
      <c r="L1910" t="str">
        <f t="shared" si="234"/>
        <v>Sufficuent Stock</v>
      </c>
      <c r="P1910" s="19">
        <f t="shared" si="235"/>
        <v>0</v>
      </c>
      <c r="R1910" s="19">
        <f t="shared" si="232"/>
        <v>0</v>
      </c>
      <c r="T1910" s="19">
        <f t="shared" si="236"/>
        <v>114972.77</v>
      </c>
      <c r="U1910" s="19">
        <f t="shared" si="237"/>
        <v>123456.21999999999</v>
      </c>
      <c r="V1910" s="21">
        <f t="shared" si="238"/>
        <v>8483.4499999999825</v>
      </c>
      <c r="W1910" s="18">
        <f t="shared" si="239"/>
        <v>7.3786601818847913E-2</v>
      </c>
    </row>
    <row r="1911" spans="1:23" x14ac:dyDescent="0.3">
      <c r="A1911" t="s">
        <v>927</v>
      </c>
      <c r="B1911" t="s">
        <v>2689</v>
      </c>
      <c r="C1911" t="s">
        <v>16</v>
      </c>
      <c r="D1911" t="s">
        <v>17</v>
      </c>
      <c r="E1911">
        <v>3147</v>
      </c>
      <c r="F1911">
        <v>299.88</v>
      </c>
      <c r="G1911">
        <v>297.75</v>
      </c>
      <c r="H1911">
        <v>299.88</v>
      </c>
      <c r="I1911">
        <v>2798</v>
      </c>
      <c r="J1911">
        <v>87</v>
      </c>
      <c r="K1911" s="17">
        <f t="shared" si="233"/>
        <v>8114.2</v>
      </c>
      <c r="L1911" t="str">
        <f t="shared" si="234"/>
        <v>High Risk</v>
      </c>
      <c r="P1911" s="19">
        <f t="shared" si="235"/>
        <v>4968</v>
      </c>
      <c r="R1911" s="19">
        <f t="shared" si="232"/>
        <v>1489803.84</v>
      </c>
      <c r="T1911" s="19">
        <f t="shared" si="236"/>
        <v>833104.5</v>
      </c>
      <c r="U1911" s="19">
        <f t="shared" si="237"/>
        <v>839064.24</v>
      </c>
      <c r="V1911" s="21">
        <f t="shared" si="238"/>
        <v>5959.7399999999907</v>
      </c>
      <c r="W1911" s="18">
        <f t="shared" si="239"/>
        <v>7.1536523929470923E-3</v>
      </c>
    </row>
    <row r="1912" spans="1:23" x14ac:dyDescent="0.3">
      <c r="A1912" t="s">
        <v>256</v>
      </c>
      <c r="B1912" t="s">
        <v>257</v>
      </c>
      <c r="C1912" t="s">
        <v>23</v>
      </c>
      <c r="D1912" t="s">
        <v>13</v>
      </c>
      <c r="E1912">
        <v>3149</v>
      </c>
      <c r="F1912">
        <v>143.74</v>
      </c>
      <c r="G1912">
        <v>144.30000000000001</v>
      </c>
      <c r="H1912">
        <v>143.74</v>
      </c>
      <c r="I1912">
        <v>847</v>
      </c>
      <c r="J1912">
        <v>66</v>
      </c>
      <c r="K1912" s="17">
        <f t="shared" si="233"/>
        <v>1863.4</v>
      </c>
      <c r="L1912" t="str">
        <f t="shared" si="234"/>
        <v>Sufficuent Stock</v>
      </c>
      <c r="P1912" s="19">
        <f t="shared" si="235"/>
        <v>0</v>
      </c>
      <c r="R1912" s="19">
        <f t="shared" si="232"/>
        <v>0</v>
      </c>
      <c r="T1912" s="19">
        <f t="shared" si="236"/>
        <v>122222.1</v>
      </c>
      <c r="U1912" s="19">
        <f t="shared" si="237"/>
        <v>121747.78000000001</v>
      </c>
      <c r="V1912" s="21">
        <f t="shared" si="238"/>
        <v>-474.31999999999243</v>
      </c>
      <c r="W1912" s="18">
        <f t="shared" si="239"/>
        <v>-3.8808038808038187E-3</v>
      </c>
    </row>
    <row r="1913" spans="1:23" x14ac:dyDescent="0.3">
      <c r="A1913" t="s">
        <v>197</v>
      </c>
      <c r="B1913" t="s">
        <v>1105</v>
      </c>
      <c r="C1913" t="s">
        <v>12</v>
      </c>
      <c r="D1913" t="s">
        <v>17</v>
      </c>
      <c r="E1913">
        <v>3150</v>
      </c>
      <c r="F1913">
        <v>427.67</v>
      </c>
      <c r="G1913">
        <v>370.5</v>
      </c>
      <c r="H1913">
        <v>427.67</v>
      </c>
      <c r="I1913">
        <v>584</v>
      </c>
      <c r="J1913">
        <v>7</v>
      </c>
      <c r="K1913" s="17">
        <f t="shared" si="233"/>
        <v>136.26666666666665</v>
      </c>
      <c r="L1913" t="str">
        <f t="shared" si="234"/>
        <v>Sufficuent Stock</v>
      </c>
      <c r="P1913" s="19">
        <f t="shared" si="235"/>
        <v>0</v>
      </c>
      <c r="R1913" s="19">
        <f t="shared" si="232"/>
        <v>0</v>
      </c>
      <c r="T1913" s="19">
        <f t="shared" si="236"/>
        <v>216372</v>
      </c>
      <c r="U1913" s="19">
        <f t="shared" si="237"/>
        <v>249759.28</v>
      </c>
      <c r="V1913" s="21">
        <f t="shared" si="238"/>
        <v>33387.279999999999</v>
      </c>
      <c r="W1913" s="18">
        <f t="shared" si="239"/>
        <v>0.15430499325236166</v>
      </c>
    </row>
    <row r="1914" spans="1:23" x14ac:dyDescent="0.3">
      <c r="A1914" t="s">
        <v>1534</v>
      </c>
      <c r="B1914" t="s">
        <v>2079</v>
      </c>
      <c r="C1914" t="s">
        <v>16</v>
      </c>
      <c r="D1914" t="s">
        <v>69</v>
      </c>
      <c r="E1914">
        <v>3153</v>
      </c>
      <c r="F1914">
        <v>391.1</v>
      </c>
      <c r="G1914">
        <v>381.98</v>
      </c>
      <c r="H1914">
        <v>391.1</v>
      </c>
      <c r="I1914">
        <v>2865</v>
      </c>
      <c r="J1914">
        <v>53</v>
      </c>
      <c r="K1914" s="17">
        <f t="shared" si="233"/>
        <v>5061.5</v>
      </c>
      <c r="L1914" t="str">
        <f t="shared" si="234"/>
        <v>High Risk</v>
      </c>
      <c r="P1914" s="19">
        <f t="shared" si="235"/>
        <v>1909</v>
      </c>
      <c r="R1914" s="19">
        <f t="shared" si="232"/>
        <v>746609.9</v>
      </c>
      <c r="T1914" s="19">
        <f t="shared" si="236"/>
        <v>1094372.7</v>
      </c>
      <c r="U1914" s="19">
        <f t="shared" si="237"/>
        <v>1120501.5</v>
      </c>
      <c r="V1914" s="21">
        <f t="shared" si="238"/>
        <v>26128.800000000047</v>
      </c>
      <c r="W1914" s="18">
        <f t="shared" si="239"/>
        <v>2.3875595580920509E-2</v>
      </c>
    </row>
    <row r="1915" spans="1:23" x14ac:dyDescent="0.3">
      <c r="A1915" t="s">
        <v>657</v>
      </c>
      <c r="B1915" t="s">
        <v>2641</v>
      </c>
      <c r="C1915" t="s">
        <v>37</v>
      </c>
      <c r="D1915" t="s">
        <v>13</v>
      </c>
      <c r="E1915">
        <v>3154</v>
      </c>
      <c r="F1915">
        <v>50.89</v>
      </c>
      <c r="G1915">
        <v>56.15</v>
      </c>
      <c r="H1915">
        <v>50.89</v>
      </c>
      <c r="I1915">
        <v>1512</v>
      </c>
      <c r="J1915">
        <v>33</v>
      </c>
      <c r="K1915" s="17">
        <f t="shared" si="233"/>
        <v>1663.2</v>
      </c>
      <c r="L1915" t="str">
        <f t="shared" si="234"/>
        <v>Sufficuent Stock</v>
      </c>
      <c r="P1915" s="19">
        <f t="shared" si="235"/>
        <v>0</v>
      </c>
      <c r="R1915" s="19">
        <f t="shared" si="232"/>
        <v>0</v>
      </c>
      <c r="T1915" s="19">
        <f t="shared" si="236"/>
        <v>84898.8</v>
      </c>
      <c r="U1915" s="19">
        <f t="shared" si="237"/>
        <v>76945.680000000008</v>
      </c>
      <c r="V1915" s="21">
        <f t="shared" si="238"/>
        <v>-7953.1199999999953</v>
      </c>
      <c r="W1915" s="18">
        <f t="shared" si="239"/>
        <v>-9.3677649154051593E-2</v>
      </c>
    </row>
    <row r="1916" spans="1:23" x14ac:dyDescent="0.3">
      <c r="A1916" t="s">
        <v>387</v>
      </c>
      <c r="B1916" t="s">
        <v>1013</v>
      </c>
      <c r="C1916" t="s">
        <v>16</v>
      </c>
      <c r="D1916" t="s">
        <v>13</v>
      </c>
      <c r="E1916">
        <v>3154</v>
      </c>
      <c r="F1916">
        <v>460.01</v>
      </c>
      <c r="G1916">
        <v>496.83</v>
      </c>
      <c r="H1916">
        <v>460.01</v>
      </c>
      <c r="I1916">
        <v>3125</v>
      </c>
      <c r="J1916">
        <v>30</v>
      </c>
      <c r="K1916" s="17">
        <f t="shared" si="233"/>
        <v>3125</v>
      </c>
      <c r="L1916" t="str">
        <f t="shared" si="234"/>
        <v>Sufficuent Stock</v>
      </c>
      <c r="P1916" s="19">
        <f t="shared" si="235"/>
        <v>0</v>
      </c>
      <c r="R1916" s="19">
        <f t="shared" si="232"/>
        <v>0</v>
      </c>
      <c r="T1916" s="19">
        <f t="shared" si="236"/>
        <v>1552593.75</v>
      </c>
      <c r="U1916" s="19">
        <f t="shared" si="237"/>
        <v>1437531.25</v>
      </c>
      <c r="V1916" s="21">
        <f t="shared" si="238"/>
        <v>-115062.5</v>
      </c>
      <c r="W1916" s="18">
        <f t="shared" si="239"/>
        <v>-7.4109856490147535E-2</v>
      </c>
    </row>
    <row r="1917" spans="1:23" x14ac:dyDescent="0.3">
      <c r="A1917" t="s">
        <v>960</v>
      </c>
      <c r="B1917" t="s">
        <v>2841</v>
      </c>
      <c r="C1917" t="s">
        <v>50</v>
      </c>
      <c r="D1917" t="s">
        <v>17</v>
      </c>
      <c r="E1917">
        <v>3155</v>
      </c>
      <c r="F1917">
        <v>223.93</v>
      </c>
      <c r="G1917">
        <v>227.11</v>
      </c>
      <c r="H1917">
        <v>223.93</v>
      </c>
      <c r="I1917">
        <v>1646</v>
      </c>
      <c r="J1917">
        <v>41</v>
      </c>
      <c r="K1917" s="17">
        <f t="shared" si="233"/>
        <v>2249.5333333333333</v>
      </c>
      <c r="L1917" t="str">
        <f t="shared" si="234"/>
        <v>Sufficuent Stock</v>
      </c>
      <c r="P1917" s="19">
        <f t="shared" si="235"/>
        <v>0</v>
      </c>
      <c r="R1917" s="19">
        <f t="shared" si="232"/>
        <v>0</v>
      </c>
      <c r="T1917" s="19">
        <f t="shared" si="236"/>
        <v>373823.06</v>
      </c>
      <c r="U1917" s="19">
        <f t="shared" si="237"/>
        <v>368588.78</v>
      </c>
      <c r="V1917" s="21">
        <f t="shared" si="238"/>
        <v>-5234.2799999999697</v>
      </c>
      <c r="W1917" s="18">
        <f t="shared" si="239"/>
        <v>-1.4002025450222279E-2</v>
      </c>
    </row>
    <row r="1918" spans="1:23" x14ac:dyDescent="0.3">
      <c r="A1918" t="s">
        <v>235</v>
      </c>
      <c r="B1918" t="s">
        <v>579</v>
      </c>
      <c r="C1918" t="s">
        <v>23</v>
      </c>
      <c r="D1918" t="s">
        <v>69</v>
      </c>
      <c r="E1918">
        <v>3155</v>
      </c>
      <c r="F1918">
        <v>113.99</v>
      </c>
      <c r="G1918">
        <v>117.65</v>
      </c>
      <c r="H1918">
        <v>113.99</v>
      </c>
      <c r="I1918">
        <v>805</v>
      </c>
      <c r="J1918">
        <v>21</v>
      </c>
      <c r="K1918" s="17">
        <f t="shared" si="233"/>
        <v>563.5</v>
      </c>
      <c r="L1918" t="str">
        <f t="shared" si="234"/>
        <v>Sufficuent Stock</v>
      </c>
      <c r="P1918" s="19">
        <f t="shared" si="235"/>
        <v>0</v>
      </c>
      <c r="R1918" s="19">
        <f t="shared" si="232"/>
        <v>0</v>
      </c>
      <c r="T1918" s="19">
        <f t="shared" si="236"/>
        <v>94708.25</v>
      </c>
      <c r="U1918" s="19">
        <f t="shared" si="237"/>
        <v>91761.95</v>
      </c>
      <c r="V1918" s="21">
        <f t="shared" si="238"/>
        <v>-2946.3000000000029</v>
      </c>
      <c r="W1918" s="18">
        <f t="shared" si="239"/>
        <v>-3.1109222269443293E-2</v>
      </c>
    </row>
    <row r="1919" spans="1:23" x14ac:dyDescent="0.3">
      <c r="A1919" t="s">
        <v>855</v>
      </c>
      <c r="B1919" t="s">
        <v>856</v>
      </c>
      <c r="C1919" t="s">
        <v>23</v>
      </c>
      <c r="D1919" t="s">
        <v>17</v>
      </c>
      <c r="E1919">
        <v>3157</v>
      </c>
      <c r="F1919">
        <v>429.99</v>
      </c>
      <c r="G1919">
        <v>424.3</v>
      </c>
      <c r="H1919">
        <v>429.99</v>
      </c>
      <c r="I1919">
        <v>398</v>
      </c>
      <c r="J1919">
        <v>24</v>
      </c>
      <c r="K1919" s="17">
        <f t="shared" si="233"/>
        <v>318.40000000000003</v>
      </c>
      <c r="L1919" t="str">
        <f t="shared" si="234"/>
        <v>Sufficuent Stock</v>
      </c>
      <c r="P1919" s="19">
        <f t="shared" si="235"/>
        <v>0</v>
      </c>
      <c r="R1919" s="19">
        <f t="shared" si="232"/>
        <v>0</v>
      </c>
      <c r="T1919" s="19">
        <f t="shared" si="236"/>
        <v>168871.4</v>
      </c>
      <c r="U1919" s="19">
        <f t="shared" si="237"/>
        <v>171136.02</v>
      </c>
      <c r="V1919" s="21">
        <f t="shared" si="238"/>
        <v>2264.6199999999953</v>
      </c>
      <c r="W1919" s="18">
        <f t="shared" si="239"/>
        <v>1.3410322884751328E-2</v>
      </c>
    </row>
    <row r="1920" spans="1:23" x14ac:dyDescent="0.3">
      <c r="A1920" t="s">
        <v>500</v>
      </c>
      <c r="B1920" t="s">
        <v>501</v>
      </c>
      <c r="C1920" t="s">
        <v>12</v>
      </c>
      <c r="D1920" t="s">
        <v>69</v>
      </c>
      <c r="E1920">
        <v>3157</v>
      </c>
      <c r="F1920">
        <v>310.89</v>
      </c>
      <c r="G1920">
        <v>331.38</v>
      </c>
      <c r="H1920">
        <v>310.89</v>
      </c>
      <c r="I1920">
        <v>3235</v>
      </c>
      <c r="J1920">
        <v>65</v>
      </c>
      <c r="K1920" s="17">
        <f t="shared" si="233"/>
        <v>7009.1666666666661</v>
      </c>
      <c r="L1920" t="str">
        <f t="shared" si="234"/>
        <v>High Risk</v>
      </c>
      <c r="P1920" s="19">
        <f t="shared" si="235"/>
        <v>3853</v>
      </c>
      <c r="R1920" s="19">
        <f t="shared" si="232"/>
        <v>1197859.17</v>
      </c>
      <c r="T1920" s="19">
        <f t="shared" si="236"/>
        <v>1072014.3</v>
      </c>
      <c r="U1920" s="19">
        <f t="shared" si="237"/>
        <v>1005729.1499999999</v>
      </c>
      <c r="V1920" s="21">
        <f t="shared" si="238"/>
        <v>-66285.15000000014</v>
      </c>
      <c r="W1920" s="18">
        <f t="shared" si="239"/>
        <v>-6.1832337497736867E-2</v>
      </c>
    </row>
    <row r="1921" spans="1:23" x14ac:dyDescent="0.3">
      <c r="A1921" t="s">
        <v>27</v>
      </c>
      <c r="B1921" t="s">
        <v>919</v>
      </c>
      <c r="C1921" t="s">
        <v>23</v>
      </c>
      <c r="D1921" t="s">
        <v>17</v>
      </c>
      <c r="E1921">
        <v>3167</v>
      </c>
      <c r="F1921">
        <v>85.32</v>
      </c>
      <c r="G1921">
        <v>81.88</v>
      </c>
      <c r="H1921">
        <v>85.32</v>
      </c>
      <c r="I1921">
        <v>831</v>
      </c>
      <c r="J1921">
        <v>48</v>
      </c>
      <c r="K1921" s="17">
        <f t="shared" si="233"/>
        <v>1329.6</v>
      </c>
      <c r="L1921" t="str">
        <f t="shared" si="234"/>
        <v>Sufficuent Stock</v>
      </c>
      <c r="P1921" s="19">
        <f t="shared" si="235"/>
        <v>0</v>
      </c>
      <c r="R1921" s="19">
        <f t="shared" si="232"/>
        <v>0</v>
      </c>
      <c r="T1921" s="19">
        <f t="shared" si="236"/>
        <v>68042.28</v>
      </c>
      <c r="U1921" s="19">
        <f t="shared" si="237"/>
        <v>70900.92</v>
      </c>
      <c r="V1921" s="21">
        <f t="shared" si="238"/>
        <v>2858.6399999999994</v>
      </c>
      <c r="W1921" s="18">
        <f t="shared" si="239"/>
        <v>4.2012701514411326E-2</v>
      </c>
    </row>
    <row r="1922" spans="1:23" x14ac:dyDescent="0.3">
      <c r="A1922" t="s">
        <v>533</v>
      </c>
      <c r="B1922" t="s">
        <v>2227</v>
      </c>
      <c r="C1922" t="s">
        <v>50</v>
      </c>
      <c r="D1922" t="s">
        <v>20</v>
      </c>
      <c r="E1922">
        <v>3171</v>
      </c>
      <c r="F1922">
        <v>381.37</v>
      </c>
      <c r="G1922">
        <v>376.07</v>
      </c>
      <c r="H1922">
        <v>381.37</v>
      </c>
      <c r="I1922">
        <v>1141</v>
      </c>
      <c r="J1922">
        <v>71</v>
      </c>
      <c r="K1922" s="17">
        <f t="shared" si="233"/>
        <v>2700.3666666666663</v>
      </c>
      <c r="L1922" t="str">
        <f t="shared" si="234"/>
        <v>Sufficuent Stock</v>
      </c>
      <c r="P1922" s="19">
        <f t="shared" si="235"/>
        <v>0</v>
      </c>
      <c r="R1922" s="19">
        <f t="shared" ref="R1922:R1985" si="240">P1922*H1922</f>
        <v>0</v>
      </c>
      <c r="T1922" s="19">
        <f t="shared" si="236"/>
        <v>429095.87</v>
      </c>
      <c r="U1922" s="19">
        <f t="shared" si="237"/>
        <v>435143.17</v>
      </c>
      <c r="V1922" s="21">
        <f t="shared" si="238"/>
        <v>6047.2999999999884</v>
      </c>
      <c r="W1922" s="18">
        <f t="shared" si="239"/>
        <v>1.4093120961523094E-2</v>
      </c>
    </row>
    <row r="1923" spans="1:23" x14ac:dyDescent="0.3">
      <c r="A1923" t="s">
        <v>773</v>
      </c>
      <c r="B1923" t="s">
        <v>2672</v>
      </c>
      <c r="C1923" t="s">
        <v>12</v>
      </c>
      <c r="D1923" t="s">
        <v>17</v>
      </c>
      <c r="E1923">
        <v>3174</v>
      </c>
      <c r="F1923">
        <v>504.4</v>
      </c>
      <c r="G1923">
        <v>427.08</v>
      </c>
      <c r="H1923">
        <v>504.4</v>
      </c>
      <c r="I1923">
        <v>558</v>
      </c>
      <c r="J1923">
        <v>52</v>
      </c>
      <c r="K1923" s="17">
        <f t="shared" ref="K1923:K1986" si="241">(I1923/30)*J1923</f>
        <v>967.2</v>
      </c>
      <c r="L1923" t="str">
        <f t="shared" ref="L1923:L1986" si="242">IF(E1923&lt;K1923,"High Risk","Sufficuent Stock")</f>
        <v>Sufficuent Stock</v>
      </c>
      <c r="P1923" s="19">
        <f t="shared" ref="P1923:P1986" si="243">ROUNDUP(MAX(0,K1923-E1923),0)</f>
        <v>0</v>
      </c>
      <c r="R1923" s="19">
        <f t="shared" si="240"/>
        <v>0</v>
      </c>
      <c r="T1923" s="19">
        <f t="shared" ref="T1923:T1986" si="244">I1923*G1923</f>
        <v>238310.63999999998</v>
      </c>
      <c r="U1923" s="19">
        <f t="shared" ref="U1923:U1986" si="245">I1923*H1923</f>
        <v>281455.2</v>
      </c>
      <c r="V1923" s="21">
        <f t="shared" ref="V1923:V1986" si="246">U1923-T1923</f>
        <v>43144.560000000027</v>
      </c>
      <c r="W1923" s="18">
        <f t="shared" ref="W1923:W1986" si="247">IFERROR(V1923/T1923,0)</f>
        <v>0.18104336424089176</v>
      </c>
    </row>
    <row r="1924" spans="1:23" x14ac:dyDescent="0.3">
      <c r="A1924" t="s">
        <v>1866</v>
      </c>
      <c r="B1924" t="s">
        <v>2194</v>
      </c>
      <c r="C1924" t="s">
        <v>50</v>
      </c>
      <c r="D1924" t="s">
        <v>17</v>
      </c>
      <c r="E1924">
        <v>3175</v>
      </c>
      <c r="F1924">
        <v>86.7</v>
      </c>
      <c r="G1924">
        <v>91.61</v>
      </c>
      <c r="H1924">
        <v>86.7</v>
      </c>
      <c r="I1924">
        <v>2494</v>
      </c>
      <c r="J1924">
        <v>42</v>
      </c>
      <c r="K1924" s="17">
        <f t="shared" si="241"/>
        <v>3491.6000000000004</v>
      </c>
      <c r="L1924" t="str">
        <f t="shared" si="242"/>
        <v>High Risk</v>
      </c>
      <c r="P1924" s="19">
        <f t="shared" si="243"/>
        <v>317</v>
      </c>
      <c r="R1924" s="19">
        <f t="shared" si="240"/>
        <v>27483.9</v>
      </c>
      <c r="T1924" s="19">
        <f t="shared" si="244"/>
        <v>228475.34</v>
      </c>
      <c r="U1924" s="19">
        <f t="shared" si="245"/>
        <v>216229.80000000002</v>
      </c>
      <c r="V1924" s="21">
        <f t="shared" si="246"/>
        <v>-12245.539999999979</v>
      </c>
      <c r="W1924" s="18">
        <f t="shared" si="247"/>
        <v>-5.3596768911690774E-2</v>
      </c>
    </row>
    <row r="1925" spans="1:23" x14ac:dyDescent="0.3">
      <c r="A1925" t="s">
        <v>1939</v>
      </c>
      <c r="B1925" t="s">
        <v>3159</v>
      </c>
      <c r="C1925" t="s">
        <v>16</v>
      </c>
      <c r="D1925" t="s">
        <v>26</v>
      </c>
      <c r="E1925">
        <v>3176</v>
      </c>
      <c r="F1925">
        <v>117.36</v>
      </c>
      <c r="G1925">
        <v>127.49</v>
      </c>
      <c r="H1925">
        <v>117.36</v>
      </c>
      <c r="I1925">
        <v>331</v>
      </c>
      <c r="J1925">
        <v>55</v>
      </c>
      <c r="K1925" s="17">
        <f t="shared" si="241"/>
        <v>606.83333333333337</v>
      </c>
      <c r="L1925" t="str">
        <f t="shared" si="242"/>
        <v>Sufficuent Stock</v>
      </c>
      <c r="P1925" s="19">
        <f t="shared" si="243"/>
        <v>0</v>
      </c>
      <c r="R1925" s="19">
        <f t="shared" si="240"/>
        <v>0</v>
      </c>
      <c r="T1925" s="19">
        <f t="shared" si="244"/>
        <v>42199.189999999995</v>
      </c>
      <c r="U1925" s="19">
        <f t="shared" si="245"/>
        <v>38846.159999999996</v>
      </c>
      <c r="V1925" s="21">
        <f t="shared" si="246"/>
        <v>-3353.0299999999988</v>
      </c>
      <c r="W1925" s="18">
        <f t="shared" si="247"/>
        <v>-7.9457212330378835E-2</v>
      </c>
    </row>
    <row r="1926" spans="1:23" x14ac:dyDescent="0.3">
      <c r="A1926" t="s">
        <v>48</v>
      </c>
      <c r="B1926" t="s">
        <v>179</v>
      </c>
      <c r="C1926" t="s">
        <v>50</v>
      </c>
      <c r="D1926" t="s">
        <v>17</v>
      </c>
      <c r="E1926">
        <v>3177</v>
      </c>
      <c r="F1926">
        <v>248.97</v>
      </c>
      <c r="G1926">
        <v>265.60000000000002</v>
      </c>
      <c r="H1926">
        <v>248.97</v>
      </c>
      <c r="I1926">
        <v>892</v>
      </c>
      <c r="J1926">
        <v>42</v>
      </c>
      <c r="K1926" s="17">
        <f t="shared" si="241"/>
        <v>1248.8</v>
      </c>
      <c r="L1926" t="str">
        <f t="shared" si="242"/>
        <v>Sufficuent Stock</v>
      </c>
      <c r="P1926" s="19">
        <f t="shared" si="243"/>
        <v>0</v>
      </c>
      <c r="R1926" s="19">
        <f t="shared" si="240"/>
        <v>0</v>
      </c>
      <c r="T1926" s="19">
        <f t="shared" si="244"/>
        <v>236915.20000000001</v>
      </c>
      <c r="U1926" s="19">
        <f t="shared" si="245"/>
        <v>222081.24</v>
      </c>
      <c r="V1926" s="21">
        <f t="shared" si="246"/>
        <v>-14833.960000000021</v>
      </c>
      <c r="W1926" s="18">
        <f t="shared" si="247"/>
        <v>-6.2612951807229006E-2</v>
      </c>
    </row>
    <row r="1927" spans="1:23" x14ac:dyDescent="0.3">
      <c r="A1927" t="s">
        <v>940</v>
      </c>
      <c r="B1927" t="s">
        <v>983</v>
      </c>
      <c r="C1927" t="s">
        <v>37</v>
      </c>
      <c r="D1927" t="s">
        <v>26</v>
      </c>
      <c r="E1927">
        <v>3178</v>
      </c>
      <c r="F1927">
        <v>481.67</v>
      </c>
      <c r="G1927">
        <v>477.28</v>
      </c>
      <c r="H1927">
        <v>481.67</v>
      </c>
      <c r="I1927">
        <v>711</v>
      </c>
      <c r="J1927">
        <v>16</v>
      </c>
      <c r="K1927" s="17">
        <f t="shared" si="241"/>
        <v>379.2</v>
      </c>
      <c r="L1927" t="str">
        <f t="shared" si="242"/>
        <v>Sufficuent Stock</v>
      </c>
      <c r="P1927" s="19">
        <f t="shared" si="243"/>
        <v>0</v>
      </c>
      <c r="R1927" s="19">
        <f t="shared" si="240"/>
        <v>0</v>
      </c>
      <c r="T1927" s="19">
        <f t="shared" si="244"/>
        <v>339346.07999999996</v>
      </c>
      <c r="U1927" s="19">
        <f t="shared" si="245"/>
        <v>342467.37</v>
      </c>
      <c r="V1927" s="21">
        <f t="shared" si="246"/>
        <v>3121.2900000000373</v>
      </c>
      <c r="W1927" s="18">
        <f t="shared" si="247"/>
        <v>9.1979550787798636E-3</v>
      </c>
    </row>
    <row r="1928" spans="1:23" x14ac:dyDescent="0.3">
      <c r="A1928" t="s">
        <v>451</v>
      </c>
      <c r="B1928" t="s">
        <v>2571</v>
      </c>
      <c r="C1928" t="s">
        <v>50</v>
      </c>
      <c r="D1928" t="s">
        <v>20</v>
      </c>
      <c r="E1928">
        <v>3179</v>
      </c>
      <c r="F1928">
        <v>72.05</v>
      </c>
      <c r="G1928">
        <v>74.27</v>
      </c>
      <c r="H1928">
        <v>72.05</v>
      </c>
      <c r="I1928">
        <v>2469</v>
      </c>
      <c r="J1928">
        <v>15</v>
      </c>
      <c r="K1928" s="17">
        <f t="shared" si="241"/>
        <v>1234.5</v>
      </c>
      <c r="L1928" t="str">
        <f t="shared" si="242"/>
        <v>Sufficuent Stock</v>
      </c>
      <c r="P1928" s="19">
        <f t="shared" si="243"/>
        <v>0</v>
      </c>
      <c r="R1928" s="19">
        <f t="shared" si="240"/>
        <v>0</v>
      </c>
      <c r="T1928" s="19">
        <f t="shared" si="244"/>
        <v>183372.63</v>
      </c>
      <c r="U1928" s="19">
        <f t="shared" si="245"/>
        <v>177891.44999999998</v>
      </c>
      <c r="V1928" s="21">
        <f t="shared" si="246"/>
        <v>-5481.1800000000221</v>
      </c>
      <c r="W1928" s="18">
        <f t="shared" si="247"/>
        <v>-2.9890938467752915E-2</v>
      </c>
    </row>
    <row r="1929" spans="1:23" x14ac:dyDescent="0.3">
      <c r="A1929" t="s">
        <v>229</v>
      </c>
      <c r="B1929" t="s">
        <v>1309</v>
      </c>
      <c r="C1929" t="s">
        <v>16</v>
      </c>
      <c r="D1929" t="s">
        <v>26</v>
      </c>
      <c r="E1929">
        <v>3180</v>
      </c>
      <c r="F1929">
        <v>146.82</v>
      </c>
      <c r="G1929">
        <v>149.09</v>
      </c>
      <c r="H1929">
        <v>146.82</v>
      </c>
      <c r="I1929">
        <v>235</v>
      </c>
      <c r="J1929">
        <v>25</v>
      </c>
      <c r="K1929" s="17">
        <f t="shared" si="241"/>
        <v>195.83333333333331</v>
      </c>
      <c r="L1929" t="str">
        <f t="shared" si="242"/>
        <v>Sufficuent Stock</v>
      </c>
      <c r="P1929" s="19">
        <f t="shared" si="243"/>
        <v>0</v>
      </c>
      <c r="R1929" s="19">
        <f t="shared" si="240"/>
        <v>0</v>
      </c>
      <c r="T1929" s="19">
        <f t="shared" si="244"/>
        <v>35036.15</v>
      </c>
      <c r="U1929" s="19">
        <f t="shared" si="245"/>
        <v>34502.699999999997</v>
      </c>
      <c r="V1929" s="21">
        <f t="shared" si="246"/>
        <v>-533.45000000000437</v>
      </c>
      <c r="W1929" s="18">
        <f t="shared" si="247"/>
        <v>-1.5225702595747658E-2</v>
      </c>
    </row>
    <row r="1930" spans="1:23" x14ac:dyDescent="0.3">
      <c r="A1930" t="s">
        <v>283</v>
      </c>
      <c r="B1930" t="s">
        <v>956</v>
      </c>
      <c r="C1930" t="s">
        <v>23</v>
      </c>
      <c r="D1930" t="s">
        <v>20</v>
      </c>
      <c r="E1930">
        <v>3182</v>
      </c>
      <c r="F1930">
        <v>172.19</v>
      </c>
      <c r="G1930">
        <v>161.46</v>
      </c>
      <c r="H1930">
        <v>172.19</v>
      </c>
      <c r="I1930">
        <v>3997</v>
      </c>
      <c r="J1930">
        <v>28</v>
      </c>
      <c r="K1930" s="17">
        <f t="shared" si="241"/>
        <v>3730.5333333333328</v>
      </c>
      <c r="L1930" t="str">
        <f t="shared" si="242"/>
        <v>High Risk</v>
      </c>
      <c r="P1930" s="19">
        <f t="shared" si="243"/>
        <v>549</v>
      </c>
      <c r="R1930" s="19">
        <f t="shared" si="240"/>
        <v>94532.31</v>
      </c>
      <c r="T1930" s="19">
        <f t="shared" si="244"/>
        <v>645355.62</v>
      </c>
      <c r="U1930" s="19">
        <f t="shared" si="245"/>
        <v>688243.42999999993</v>
      </c>
      <c r="V1930" s="21">
        <f t="shared" si="246"/>
        <v>42887.809999999939</v>
      </c>
      <c r="W1930" s="18">
        <f t="shared" si="247"/>
        <v>6.6456088195218532E-2</v>
      </c>
    </row>
    <row r="1931" spans="1:23" x14ac:dyDescent="0.3">
      <c r="A1931" t="s">
        <v>1148</v>
      </c>
      <c r="B1931" t="s">
        <v>2049</v>
      </c>
      <c r="C1931" t="s">
        <v>16</v>
      </c>
      <c r="D1931" t="s">
        <v>26</v>
      </c>
      <c r="E1931">
        <v>3184</v>
      </c>
      <c r="F1931">
        <v>91.37</v>
      </c>
      <c r="G1931">
        <v>77.16</v>
      </c>
      <c r="H1931">
        <v>91.37</v>
      </c>
      <c r="I1931">
        <v>225</v>
      </c>
      <c r="J1931">
        <v>34</v>
      </c>
      <c r="K1931" s="17">
        <f t="shared" si="241"/>
        <v>255</v>
      </c>
      <c r="L1931" t="str">
        <f t="shared" si="242"/>
        <v>Sufficuent Stock</v>
      </c>
      <c r="P1931" s="19">
        <f t="shared" si="243"/>
        <v>0</v>
      </c>
      <c r="R1931" s="19">
        <f t="shared" si="240"/>
        <v>0</v>
      </c>
      <c r="T1931" s="19">
        <f t="shared" si="244"/>
        <v>17361</v>
      </c>
      <c r="U1931" s="19">
        <f t="shared" si="245"/>
        <v>20558.25</v>
      </c>
      <c r="V1931" s="21">
        <f t="shared" si="246"/>
        <v>3197.25</v>
      </c>
      <c r="W1931" s="18">
        <f t="shared" si="247"/>
        <v>0.18416277864178332</v>
      </c>
    </row>
    <row r="1932" spans="1:23" x14ac:dyDescent="0.3">
      <c r="A1932" t="s">
        <v>459</v>
      </c>
      <c r="B1932" t="s">
        <v>1692</v>
      </c>
      <c r="C1932" t="s">
        <v>12</v>
      </c>
      <c r="D1932" t="s">
        <v>17</v>
      </c>
      <c r="E1932">
        <v>3188</v>
      </c>
      <c r="F1932">
        <v>70.62</v>
      </c>
      <c r="G1932">
        <v>62.27</v>
      </c>
      <c r="H1932">
        <v>70.62</v>
      </c>
      <c r="I1932">
        <v>748</v>
      </c>
      <c r="J1932">
        <v>66</v>
      </c>
      <c r="K1932" s="17">
        <f t="shared" si="241"/>
        <v>1645.6</v>
      </c>
      <c r="L1932" t="str">
        <f t="shared" si="242"/>
        <v>Sufficuent Stock</v>
      </c>
      <c r="P1932" s="19">
        <f t="shared" si="243"/>
        <v>0</v>
      </c>
      <c r="R1932" s="19">
        <f t="shared" si="240"/>
        <v>0</v>
      </c>
      <c r="T1932" s="19">
        <f t="shared" si="244"/>
        <v>46577.96</v>
      </c>
      <c r="U1932" s="19">
        <f t="shared" si="245"/>
        <v>52823.76</v>
      </c>
      <c r="V1932" s="21">
        <f t="shared" si="246"/>
        <v>6245.8000000000029</v>
      </c>
      <c r="W1932" s="18">
        <f t="shared" si="247"/>
        <v>0.13409346394732621</v>
      </c>
    </row>
    <row r="1933" spans="1:23" x14ac:dyDescent="0.3">
      <c r="A1933" t="s">
        <v>1839</v>
      </c>
      <c r="B1933" t="s">
        <v>2899</v>
      </c>
      <c r="C1933" t="s">
        <v>50</v>
      </c>
      <c r="D1933" t="s">
        <v>26</v>
      </c>
      <c r="E1933">
        <v>3188</v>
      </c>
      <c r="F1933">
        <v>46.43</v>
      </c>
      <c r="G1933">
        <v>42.27</v>
      </c>
      <c r="H1933">
        <v>46.43</v>
      </c>
      <c r="I1933">
        <v>1416</v>
      </c>
      <c r="J1933">
        <v>24</v>
      </c>
      <c r="K1933" s="17">
        <f t="shared" si="241"/>
        <v>1132.8000000000002</v>
      </c>
      <c r="L1933" t="str">
        <f t="shared" si="242"/>
        <v>Sufficuent Stock</v>
      </c>
      <c r="P1933" s="19">
        <f t="shared" si="243"/>
        <v>0</v>
      </c>
      <c r="R1933" s="19">
        <f t="shared" si="240"/>
        <v>0</v>
      </c>
      <c r="T1933" s="19">
        <f t="shared" si="244"/>
        <v>59854.320000000007</v>
      </c>
      <c r="U1933" s="19">
        <f t="shared" si="245"/>
        <v>65744.88</v>
      </c>
      <c r="V1933" s="21">
        <f t="shared" si="246"/>
        <v>5890.5599999999977</v>
      </c>
      <c r="W1933" s="18">
        <f t="shared" si="247"/>
        <v>9.8414951502247411E-2</v>
      </c>
    </row>
    <row r="1934" spans="1:23" x14ac:dyDescent="0.3">
      <c r="A1934" t="s">
        <v>303</v>
      </c>
      <c r="B1934" t="s">
        <v>1768</v>
      </c>
      <c r="C1934" t="s">
        <v>12</v>
      </c>
      <c r="D1934" t="s">
        <v>17</v>
      </c>
      <c r="E1934">
        <v>3190</v>
      </c>
      <c r="F1934">
        <v>374.05</v>
      </c>
      <c r="G1934">
        <v>405.11</v>
      </c>
      <c r="H1934">
        <v>374.05</v>
      </c>
      <c r="I1934">
        <v>370</v>
      </c>
      <c r="J1934">
        <v>36</v>
      </c>
      <c r="K1934" s="17">
        <f t="shared" si="241"/>
        <v>444</v>
      </c>
      <c r="L1934" t="str">
        <f t="shared" si="242"/>
        <v>Sufficuent Stock</v>
      </c>
      <c r="P1934" s="19">
        <f t="shared" si="243"/>
        <v>0</v>
      </c>
      <c r="R1934" s="19">
        <f t="shared" si="240"/>
        <v>0</v>
      </c>
      <c r="T1934" s="19">
        <f t="shared" si="244"/>
        <v>149890.70000000001</v>
      </c>
      <c r="U1934" s="19">
        <f t="shared" si="245"/>
        <v>138398.5</v>
      </c>
      <c r="V1934" s="21">
        <f t="shared" si="246"/>
        <v>-11492.200000000012</v>
      </c>
      <c r="W1934" s="18">
        <f t="shared" si="247"/>
        <v>-7.6670533929056373E-2</v>
      </c>
    </row>
    <row r="1935" spans="1:23" x14ac:dyDescent="0.3">
      <c r="A1935" t="s">
        <v>434</v>
      </c>
      <c r="B1935" t="s">
        <v>2037</v>
      </c>
      <c r="C1935" t="s">
        <v>37</v>
      </c>
      <c r="D1935" t="s">
        <v>69</v>
      </c>
      <c r="E1935">
        <v>3192</v>
      </c>
      <c r="F1935">
        <v>334.25</v>
      </c>
      <c r="G1935">
        <v>291.55</v>
      </c>
      <c r="H1935">
        <v>334.25</v>
      </c>
      <c r="I1935">
        <v>1274</v>
      </c>
      <c r="J1935">
        <v>68</v>
      </c>
      <c r="K1935" s="17">
        <f t="shared" si="241"/>
        <v>2887.7333333333336</v>
      </c>
      <c r="L1935" t="str">
        <f t="shared" si="242"/>
        <v>Sufficuent Stock</v>
      </c>
      <c r="P1935" s="19">
        <f t="shared" si="243"/>
        <v>0</v>
      </c>
      <c r="R1935" s="19">
        <f t="shared" si="240"/>
        <v>0</v>
      </c>
      <c r="T1935" s="19">
        <f t="shared" si="244"/>
        <v>371434.7</v>
      </c>
      <c r="U1935" s="19">
        <f t="shared" si="245"/>
        <v>425834.5</v>
      </c>
      <c r="V1935" s="21">
        <f t="shared" si="246"/>
        <v>54399.799999999988</v>
      </c>
      <c r="W1935" s="18">
        <f t="shared" si="247"/>
        <v>0.14645858343337331</v>
      </c>
    </row>
    <row r="1936" spans="1:23" x14ac:dyDescent="0.3">
      <c r="A1936" t="s">
        <v>370</v>
      </c>
      <c r="B1936" t="s">
        <v>836</v>
      </c>
      <c r="C1936" t="s">
        <v>23</v>
      </c>
      <c r="D1936" t="s">
        <v>26</v>
      </c>
      <c r="E1936">
        <v>3195</v>
      </c>
      <c r="F1936">
        <v>116.55</v>
      </c>
      <c r="G1936">
        <v>102.01</v>
      </c>
      <c r="H1936">
        <v>116.55</v>
      </c>
      <c r="I1936">
        <v>3477</v>
      </c>
      <c r="J1936">
        <v>6</v>
      </c>
      <c r="K1936" s="17">
        <f t="shared" si="241"/>
        <v>695.40000000000009</v>
      </c>
      <c r="L1936" t="str">
        <f t="shared" si="242"/>
        <v>Sufficuent Stock</v>
      </c>
      <c r="P1936" s="19">
        <f t="shared" si="243"/>
        <v>0</v>
      </c>
      <c r="R1936" s="19">
        <f t="shared" si="240"/>
        <v>0</v>
      </c>
      <c r="T1936" s="19">
        <f t="shared" si="244"/>
        <v>354688.77</v>
      </c>
      <c r="U1936" s="19">
        <f t="shared" si="245"/>
        <v>405244.35</v>
      </c>
      <c r="V1936" s="21">
        <f t="shared" si="246"/>
        <v>50555.579999999958</v>
      </c>
      <c r="W1936" s="18">
        <f t="shared" si="247"/>
        <v>0.14253504558376617</v>
      </c>
    </row>
    <row r="1937" spans="1:23" x14ac:dyDescent="0.3">
      <c r="A1937" t="s">
        <v>449</v>
      </c>
      <c r="B1937" t="s">
        <v>2224</v>
      </c>
      <c r="C1937" t="s">
        <v>37</v>
      </c>
      <c r="D1937" t="s">
        <v>20</v>
      </c>
      <c r="E1937">
        <v>3199</v>
      </c>
      <c r="F1937">
        <v>45.15</v>
      </c>
      <c r="G1937">
        <v>42.8</v>
      </c>
      <c r="H1937">
        <v>45.15</v>
      </c>
      <c r="I1937">
        <v>2914</v>
      </c>
      <c r="J1937">
        <v>56</v>
      </c>
      <c r="K1937" s="17">
        <f t="shared" si="241"/>
        <v>5439.4666666666672</v>
      </c>
      <c r="L1937" t="str">
        <f t="shared" si="242"/>
        <v>High Risk</v>
      </c>
      <c r="P1937" s="19">
        <f t="shared" si="243"/>
        <v>2241</v>
      </c>
      <c r="R1937" s="19">
        <f t="shared" si="240"/>
        <v>101181.15</v>
      </c>
      <c r="T1937" s="19">
        <f t="shared" si="244"/>
        <v>124719.2</v>
      </c>
      <c r="U1937" s="19">
        <f t="shared" si="245"/>
        <v>131567.1</v>
      </c>
      <c r="V1937" s="21">
        <f t="shared" si="246"/>
        <v>6847.9000000000087</v>
      </c>
      <c r="W1937" s="18">
        <f t="shared" si="247"/>
        <v>5.4906542056074835E-2</v>
      </c>
    </row>
    <row r="1938" spans="1:23" x14ac:dyDescent="0.3">
      <c r="A1938" t="s">
        <v>896</v>
      </c>
      <c r="B1938" t="s">
        <v>1753</v>
      </c>
      <c r="C1938" t="s">
        <v>23</v>
      </c>
      <c r="D1938" t="s">
        <v>26</v>
      </c>
      <c r="E1938">
        <v>3200</v>
      </c>
      <c r="F1938">
        <v>420.05</v>
      </c>
      <c r="G1938">
        <v>443.05</v>
      </c>
      <c r="H1938">
        <v>420.05</v>
      </c>
      <c r="I1938">
        <v>278</v>
      </c>
      <c r="J1938">
        <v>17</v>
      </c>
      <c r="K1938" s="17">
        <f t="shared" si="241"/>
        <v>157.53333333333336</v>
      </c>
      <c r="L1938" t="str">
        <f t="shared" si="242"/>
        <v>Sufficuent Stock</v>
      </c>
      <c r="P1938" s="19">
        <f t="shared" si="243"/>
        <v>0</v>
      </c>
      <c r="R1938" s="19">
        <f t="shared" si="240"/>
        <v>0</v>
      </c>
      <c r="T1938" s="19">
        <f t="shared" si="244"/>
        <v>123167.90000000001</v>
      </c>
      <c r="U1938" s="19">
        <f t="shared" si="245"/>
        <v>116773.90000000001</v>
      </c>
      <c r="V1938" s="21">
        <f t="shared" si="246"/>
        <v>-6394</v>
      </c>
      <c r="W1938" s="18">
        <f t="shared" si="247"/>
        <v>-5.1912876650490915E-2</v>
      </c>
    </row>
    <row r="1939" spans="1:23" x14ac:dyDescent="0.3">
      <c r="A1939" t="s">
        <v>407</v>
      </c>
      <c r="B1939" t="s">
        <v>3216</v>
      </c>
      <c r="C1939" t="s">
        <v>50</v>
      </c>
      <c r="D1939" t="s">
        <v>13</v>
      </c>
      <c r="E1939">
        <v>3201</v>
      </c>
      <c r="F1939">
        <v>322.02999999999997</v>
      </c>
      <c r="G1939">
        <v>284.66000000000003</v>
      </c>
      <c r="H1939">
        <v>322.02999999999997</v>
      </c>
      <c r="I1939">
        <v>1237</v>
      </c>
      <c r="J1939">
        <v>76</v>
      </c>
      <c r="K1939" s="17">
        <f t="shared" si="241"/>
        <v>3133.7333333333336</v>
      </c>
      <c r="L1939" t="str">
        <f t="shared" si="242"/>
        <v>Sufficuent Stock</v>
      </c>
      <c r="P1939" s="19">
        <f t="shared" si="243"/>
        <v>0</v>
      </c>
      <c r="R1939" s="19">
        <f t="shared" si="240"/>
        <v>0</v>
      </c>
      <c r="T1939" s="19">
        <f t="shared" si="244"/>
        <v>352124.42000000004</v>
      </c>
      <c r="U1939" s="19">
        <f t="shared" si="245"/>
        <v>398351.11</v>
      </c>
      <c r="V1939" s="21">
        <f t="shared" si="246"/>
        <v>46226.689999999944</v>
      </c>
      <c r="W1939" s="18">
        <f t="shared" si="247"/>
        <v>0.13127942106372498</v>
      </c>
    </row>
    <row r="1940" spans="1:23" x14ac:dyDescent="0.3">
      <c r="A1940" t="s">
        <v>446</v>
      </c>
      <c r="B1940" t="s">
        <v>447</v>
      </c>
      <c r="C1940" t="s">
        <v>37</v>
      </c>
      <c r="D1940" t="s">
        <v>13</v>
      </c>
      <c r="E1940">
        <v>3203</v>
      </c>
      <c r="F1940">
        <v>471.89</v>
      </c>
      <c r="G1940">
        <v>491.36</v>
      </c>
      <c r="H1940">
        <v>471.89</v>
      </c>
      <c r="I1940">
        <v>140</v>
      </c>
      <c r="J1940">
        <v>56</v>
      </c>
      <c r="K1940" s="17">
        <f t="shared" si="241"/>
        <v>261.33333333333337</v>
      </c>
      <c r="L1940" t="str">
        <f t="shared" si="242"/>
        <v>Sufficuent Stock</v>
      </c>
      <c r="P1940" s="19">
        <f t="shared" si="243"/>
        <v>0</v>
      </c>
      <c r="R1940" s="19">
        <f t="shared" si="240"/>
        <v>0</v>
      </c>
      <c r="T1940" s="19">
        <f t="shared" si="244"/>
        <v>68790.400000000009</v>
      </c>
      <c r="U1940" s="19">
        <f t="shared" si="245"/>
        <v>66064.599999999991</v>
      </c>
      <c r="V1940" s="21">
        <f t="shared" si="246"/>
        <v>-2725.8000000000175</v>
      </c>
      <c r="W1940" s="18">
        <f t="shared" si="247"/>
        <v>-3.9624715076522557E-2</v>
      </c>
    </row>
    <row r="1941" spans="1:23" x14ac:dyDescent="0.3">
      <c r="A1941" t="s">
        <v>472</v>
      </c>
      <c r="B1941" t="s">
        <v>1117</v>
      </c>
      <c r="C1941" t="s">
        <v>16</v>
      </c>
      <c r="D1941" t="s">
        <v>69</v>
      </c>
      <c r="E1941">
        <v>3206</v>
      </c>
      <c r="F1941">
        <v>338.49</v>
      </c>
      <c r="G1941">
        <v>320.77999999999997</v>
      </c>
      <c r="H1941">
        <v>338.49</v>
      </c>
      <c r="I1941">
        <v>3527</v>
      </c>
      <c r="J1941">
        <v>35</v>
      </c>
      <c r="K1941" s="17">
        <f t="shared" si="241"/>
        <v>4114.833333333333</v>
      </c>
      <c r="L1941" t="str">
        <f t="shared" si="242"/>
        <v>High Risk</v>
      </c>
      <c r="P1941" s="19">
        <f t="shared" si="243"/>
        <v>909</v>
      </c>
      <c r="R1941" s="19">
        <f t="shared" si="240"/>
        <v>307687.41000000003</v>
      </c>
      <c r="T1941" s="19">
        <f t="shared" si="244"/>
        <v>1131391.0599999998</v>
      </c>
      <c r="U1941" s="19">
        <f t="shared" si="245"/>
        <v>1193854.23</v>
      </c>
      <c r="V1941" s="21">
        <f t="shared" si="246"/>
        <v>62463.170000000158</v>
      </c>
      <c r="W1941" s="18">
        <f t="shared" si="247"/>
        <v>5.5209177629528171E-2</v>
      </c>
    </row>
    <row r="1942" spans="1:23" x14ac:dyDescent="0.3">
      <c r="A1942" t="s">
        <v>597</v>
      </c>
      <c r="B1942" t="s">
        <v>1298</v>
      </c>
      <c r="C1942" t="s">
        <v>12</v>
      </c>
      <c r="D1942" t="s">
        <v>20</v>
      </c>
      <c r="E1942">
        <v>3209</v>
      </c>
      <c r="F1942">
        <v>294.31</v>
      </c>
      <c r="G1942">
        <v>287.3</v>
      </c>
      <c r="H1942">
        <v>294.31</v>
      </c>
      <c r="I1942">
        <v>3471</v>
      </c>
      <c r="J1942">
        <v>75</v>
      </c>
      <c r="K1942" s="17">
        <f t="shared" si="241"/>
        <v>8677.5</v>
      </c>
      <c r="L1942" t="str">
        <f t="shared" si="242"/>
        <v>High Risk</v>
      </c>
      <c r="P1942" s="19">
        <f t="shared" si="243"/>
        <v>5469</v>
      </c>
      <c r="R1942" s="19">
        <f t="shared" si="240"/>
        <v>1609581.39</v>
      </c>
      <c r="T1942" s="19">
        <f t="shared" si="244"/>
        <v>997218.3</v>
      </c>
      <c r="U1942" s="19">
        <f t="shared" si="245"/>
        <v>1021550.01</v>
      </c>
      <c r="V1942" s="21">
        <f t="shared" si="246"/>
        <v>24331.709999999963</v>
      </c>
      <c r="W1942" s="18">
        <f t="shared" si="247"/>
        <v>2.4399582318134317E-2</v>
      </c>
    </row>
    <row r="1943" spans="1:23" x14ac:dyDescent="0.3">
      <c r="A1943" t="s">
        <v>368</v>
      </c>
      <c r="B1943" t="s">
        <v>529</v>
      </c>
      <c r="C1943" t="s">
        <v>50</v>
      </c>
      <c r="D1943" t="s">
        <v>17</v>
      </c>
      <c r="E1943">
        <v>3210</v>
      </c>
      <c r="F1943">
        <v>368.36</v>
      </c>
      <c r="G1943">
        <v>399.61</v>
      </c>
      <c r="H1943">
        <v>368.36</v>
      </c>
      <c r="I1943">
        <v>2400</v>
      </c>
      <c r="J1943">
        <v>76</v>
      </c>
      <c r="K1943" s="17">
        <f t="shared" si="241"/>
        <v>6080</v>
      </c>
      <c r="L1943" t="str">
        <f t="shared" si="242"/>
        <v>High Risk</v>
      </c>
      <c r="P1943" s="19">
        <f t="shared" si="243"/>
        <v>2870</v>
      </c>
      <c r="R1943" s="19">
        <f t="shared" si="240"/>
        <v>1057193.2</v>
      </c>
      <c r="T1943" s="19">
        <f t="shared" si="244"/>
        <v>959064</v>
      </c>
      <c r="U1943" s="19">
        <f t="shared" si="245"/>
        <v>884064</v>
      </c>
      <c r="V1943" s="21">
        <f t="shared" si="246"/>
        <v>-75000</v>
      </c>
      <c r="W1943" s="18">
        <f t="shared" si="247"/>
        <v>-7.820124621505968E-2</v>
      </c>
    </row>
    <row r="1944" spans="1:23" x14ac:dyDescent="0.3">
      <c r="A1944" t="s">
        <v>798</v>
      </c>
      <c r="B1944" t="s">
        <v>2982</v>
      </c>
      <c r="C1944" t="s">
        <v>50</v>
      </c>
      <c r="D1944" t="s">
        <v>69</v>
      </c>
      <c r="E1944">
        <v>3211</v>
      </c>
      <c r="F1944">
        <v>368.33</v>
      </c>
      <c r="G1944">
        <v>349.46</v>
      </c>
      <c r="H1944">
        <v>368.33</v>
      </c>
      <c r="I1944">
        <v>1841</v>
      </c>
      <c r="J1944">
        <v>12</v>
      </c>
      <c r="K1944" s="17">
        <f t="shared" si="241"/>
        <v>736.4</v>
      </c>
      <c r="L1944" t="str">
        <f t="shared" si="242"/>
        <v>Sufficuent Stock</v>
      </c>
      <c r="P1944" s="19">
        <f t="shared" si="243"/>
        <v>0</v>
      </c>
      <c r="R1944" s="19">
        <f t="shared" si="240"/>
        <v>0</v>
      </c>
      <c r="T1944" s="19">
        <f t="shared" si="244"/>
        <v>643355.86</v>
      </c>
      <c r="U1944" s="19">
        <f t="shared" si="245"/>
        <v>678095.53</v>
      </c>
      <c r="V1944" s="21">
        <f t="shared" si="246"/>
        <v>34739.670000000042</v>
      </c>
      <c r="W1944" s="18">
        <f t="shared" si="247"/>
        <v>5.3997596291421118E-2</v>
      </c>
    </row>
    <row r="1945" spans="1:23" x14ac:dyDescent="0.3">
      <c r="A1945" t="s">
        <v>283</v>
      </c>
      <c r="B1945" t="s">
        <v>878</v>
      </c>
      <c r="C1945" t="s">
        <v>16</v>
      </c>
      <c r="D1945" t="s">
        <v>17</v>
      </c>
      <c r="E1945">
        <v>3212</v>
      </c>
      <c r="F1945">
        <v>569.61</v>
      </c>
      <c r="G1945">
        <v>487.01</v>
      </c>
      <c r="H1945">
        <v>569.61</v>
      </c>
      <c r="I1945">
        <v>2954</v>
      </c>
      <c r="J1945">
        <v>57</v>
      </c>
      <c r="K1945" s="17">
        <f t="shared" si="241"/>
        <v>5612.6</v>
      </c>
      <c r="L1945" t="str">
        <f t="shared" si="242"/>
        <v>High Risk</v>
      </c>
      <c r="P1945" s="19">
        <f t="shared" si="243"/>
        <v>2401</v>
      </c>
      <c r="R1945" s="19">
        <f t="shared" si="240"/>
        <v>1367633.61</v>
      </c>
      <c r="T1945" s="19">
        <f t="shared" si="244"/>
        <v>1438627.54</v>
      </c>
      <c r="U1945" s="19">
        <f t="shared" si="245"/>
        <v>1682627.94</v>
      </c>
      <c r="V1945" s="21">
        <f t="shared" si="246"/>
        <v>244000.39999999991</v>
      </c>
      <c r="W1945" s="18">
        <f t="shared" si="247"/>
        <v>0.16960637358575792</v>
      </c>
    </row>
    <row r="1946" spans="1:23" x14ac:dyDescent="0.3">
      <c r="A1946" t="s">
        <v>539</v>
      </c>
      <c r="B1946" t="s">
        <v>2999</v>
      </c>
      <c r="C1946" t="s">
        <v>16</v>
      </c>
      <c r="D1946" t="s">
        <v>69</v>
      </c>
      <c r="E1946">
        <v>3215</v>
      </c>
      <c r="F1946">
        <v>249.83</v>
      </c>
      <c r="G1946">
        <v>220.89</v>
      </c>
      <c r="H1946">
        <v>249.83</v>
      </c>
      <c r="I1946">
        <v>1519</v>
      </c>
      <c r="J1946">
        <v>9</v>
      </c>
      <c r="K1946" s="17">
        <f t="shared" si="241"/>
        <v>455.7</v>
      </c>
      <c r="L1946" t="str">
        <f t="shared" si="242"/>
        <v>Sufficuent Stock</v>
      </c>
      <c r="P1946" s="19">
        <f t="shared" si="243"/>
        <v>0</v>
      </c>
      <c r="R1946" s="19">
        <f t="shared" si="240"/>
        <v>0</v>
      </c>
      <c r="T1946" s="19">
        <f t="shared" si="244"/>
        <v>335531.90999999997</v>
      </c>
      <c r="U1946" s="19">
        <f t="shared" si="245"/>
        <v>379491.77</v>
      </c>
      <c r="V1946" s="21">
        <f t="shared" si="246"/>
        <v>43959.860000000044</v>
      </c>
      <c r="W1946" s="18">
        <f t="shared" si="247"/>
        <v>0.13101543754810099</v>
      </c>
    </row>
    <row r="1947" spans="1:23" x14ac:dyDescent="0.3">
      <c r="A1947" t="s">
        <v>100</v>
      </c>
      <c r="B1947" t="s">
        <v>3152</v>
      </c>
      <c r="C1947" t="s">
        <v>37</v>
      </c>
      <c r="D1947" t="s">
        <v>17</v>
      </c>
      <c r="E1947">
        <v>3216</v>
      </c>
      <c r="F1947">
        <v>53.3</v>
      </c>
      <c r="G1947">
        <v>49.39</v>
      </c>
      <c r="H1947">
        <v>53.3</v>
      </c>
      <c r="I1947">
        <v>655</v>
      </c>
      <c r="J1947">
        <v>30</v>
      </c>
      <c r="K1947" s="17">
        <f t="shared" si="241"/>
        <v>655</v>
      </c>
      <c r="L1947" t="str">
        <f t="shared" si="242"/>
        <v>Sufficuent Stock</v>
      </c>
      <c r="P1947" s="19">
        <f t="shared" si="243"/>
        <v>0</v>
      </c>
      <c r="R1947" s="19">
        <f t="shared" si="240"/>
        <v>0</v>
      </c>
      <c r="T1947" s="19">
        <f t="shared" si="244"/>
        <v>32350.45</v>
      </c>
      <c r="U1947" s="19">
        <f t="shared" si="245"/>
        <v>34911.5</v>
      </c>
      <c r="V1947" s="21">
        <f t="shared" si="246"/>
        <v>2561.0499999999993</v>
      </c>
      <c r="W1947" s="18">
        <f t="shared" si="247"/>
        <v>7.916582304110141E-2</v>
      </c>
    </row>
    <row r="1948" spans="1:23" x14ac:dyDescent="0.3">
      <c r="A1948" t="s">
        <v>407</v>
      </c>
      <c r="B1948" t="s">
        <v>3053</v>
      </c>
      <c r="C1948" t="s">
        <v>12</v>
      </c>
      <c r="D1948" t="s">
        <v>20</v>
      </c>
      <c r="E1948">
        <v>3222</v>
      </c>
      <c r="F1948">
        <v>334.41</v>
      </c>
      <c r="G1948">
        <v>328.22</v>
      </c>
      <c r="H1948">
        <v>334.41</v>
      </c>
      <c r="I1948">
        <v>2946</v>
      </c>
      <c r="J1948">
        <v>68</v>
      </c>
      <c r="K1948" s="17">
        <f t="shared" si="241"/>
        <v>6677.6</v>
      </c>
      <c r="L1948" t="str">
        <f t="shared" si="242"/>
        <v>High Risk</v>
      </c>
      <c r="P1948" s="19">
        <f t="shared" si="243"/>
        <v>3456</v>
      </c>
      <c r="R1948" s="19">
        <f t="shared" si="240"/>
        <v>1155720.9600000002</v>
      </c>
      <c r="T1948" s="19">
        <f t="shared" si="244"/>
        <v>966936.12000000011</v>
      </c>
      <c r="U1948" s="19">
        <f t="shared" si="245"/>
        <v>985171.8600000001</v>
      </c>
      <c r="V1948" s="21">
        <f t="shared" si="246"/>
        <v>18235.739999999991</v>
      </c>
      <c r="W1948" s="18">
        <f t="shared" si="247"/>
        <v>1.8859301687892256E-2</v>
      </c>
    </row>
    <row r="1949" spans="1:23" x14ac:dyDescent="0.3">
      <c r="A1949" t="s">
        <v>494</v>
      </c>
      <c r="B1949" t="s">
        <v>495</v>
      </c>
      <c r="C1949" t="s">
        <v>23</v>
      </c>
      <c r="D1949" t="s">
        <v>69</v>
      </c>
      <c r="E1949">
        <v>3222</v>
      </c>
      <c r="F1949">
        <v>141.99</v>
      </c>
      <c r="G1949">
        <v>147.37</v>
      </c>
      <c r="H1949">
        <v>141.99</v>
      </c>
      <c r="I1949">
        <v>957</v>
      </c>
      <c r="J1949">
        <v>8</v>
      </c>
      <c r="K1949" s="17">
        <f t="shared" si="241"/>
        <v>255.2</v>
      </c>
      <c r="L1949" t="str">
        <f t="shared" si="242"/>
        <v>Sufficuent Stock</v>
      </c>
      <c r="P1949" s="19">
        <f t="shared" si="243"/>
        <v>0</v>
      </c>
      <c r="R1949" s="19">
        <f t="shared" si="240"/>
        <v>0</v>
      </c>
      <c r="T1949" s="19">
        <f t="shared" si="244"/>
        <v>141033.09</v>
      </c>
      <c r="U1949" s="19">
        <f t="shared" si="245"/>
        <v>135884.43000000002</v>
      </c>
      <c r="V1949" s="21">
        <f t="shared" si="246"/>
        <v>-5148.6599999999744</v>
      </c>
      <c r="W1949" s="18">
        <f t="shared" si="247"/>
        <v>-3.6506751713374322E-2</v>
      </c>
    </row>
    <row r="1950" spans="1:23" x14ac:dyDescent="0.3">
      <c r="A1950" t="s">
        <v>644</v>
      </c>
      <c r="B1950" t="s">
        <v>2277</v>
      </c>
      <c r="C1950" t="s">
        <v>12</v>
      </c>
      <c r="D1950" t="s">
        <v>13</v>
      </c>
      <c r="E1950">
        <v>3227</v>
      </c>
      <c r="F1950">
        <v>63.81</v>
      </c>
      <c r="G1950">
        <v>55.55</v>
      </c>
      <c r="H1950">
        <v>63.81</v>
      </c>
      <c r="I1950">
        <v>62</v>
      </c>
      <c r="J1950">
        <v>68</v>
      </c>
      <c r="K1950" s="17">
        <f t="shared" si="241"/>
        <v>140.53333333333336</v>
      </c>
      <c r="L1950" t="str">
        <f t="shared" si="242"/>
        <v>Sufficuent Stock</v>
      </c>
      <c r="P1950" s="19">
        <f t="shared" si="243"/>
        <v>0</v>
      </c>
      <c r="R1950" s="19">
        <f t="shared" si="240"/>
        <v>0</v>
      </c>
      <c r="T1950" s="19">
        <f t="shared" si="244"/>
        <v>3444.1</v>
      </c>
      <c r="U1950" s="19">
        <f t="shared" si="245"/>
        <v>3956.2200000000003</v>
      </c>
      <c r="V1950" s="21">
        <f t="shared" si="246"/>
        <v>512.12000000000035</v>
      </c>
      <c r="W1950" s="18">
        <f t="shared" si="247"/>
        <v>0.14869486948694879</v>
      </c>
    </row>
    <row r="1951" spans="1:23" x14ac:dyDescent="0.3">
      <c r="A1951" t="s">
        <v>191</v>
      </c>
      <c r="B1951" t="s">
        <v>650</v>
      </c>
      <c r="C1951" t="s">
        <v>16</v>
      </c>
      <c r="D1951" t="s">
        <v>26</v>
      </c>
      <c r="E1951">
        <v>3228</v>
      </c>
      <c r="F1951">
        <v>262.8</v>
      </c>
      <c r="G1951">
        <v>272.64999999999998</v>
      </c>
      <c r="H1951">
        <v>262.8</v>
      </c>
      <c r="I1951">
        <v>1666</v>
      </c>
      <c r="J1951">
        <v>88</v>
      </c>
      <c r="K1951" s="17">
        <f t="shared" si="241"/>
        <v>4886.9333333333334</v>
      </c>
      <c r="L1951" t="str">
        <f t="shared" si="242"/>
        <v>High Risk</v>
      </c>
      <c r="P1951" s="19">
        <f t="shared" si="243"/>
        <v>1659</v>
      </c>
      <c r="R1951" s="19">
        <f t="shared" si="240"/>
        <v>435985.2</v>
      </c>
      <c r="T1951" s="19">
        <f t="shared" si="244"/>
        <v>454234.89999999997</v>
      </c>
      <c r="U1951" s="19">
        <f t="shared" si="245"/>
        <v>437824.80000000005</v>
      </c>
      <c r="V1951" s="21">
        <f t="shared" si="246"/>
        <v>-16410.099999999919</v>
      </c>
      <c r="W1951" s="18">
        <f t="shared" si="247"/>
        <v>-3.6126902622409508E-2</v>
      </c>
    </row>
    <row r="1952" spans="1:23" x14ac:dyDescent="0.3">
      <c r="A1952" t="s">
        <v>258</v>
      </c>
      <c r="B1952" t="s">
        <v>1666</v>
      </c>
      <c r="C1952" t="s">
        <v>16</v>
      </c>
      <c r="D1952" t="s">
        <v>69</v>
      </c>
      <c r="E1952">
        <v>3229</v>
      </c>
      <c r="F1952">
        <v>365.74</v>
      </c>
      <c r="G1952">
        <v>339.35</v>
      </c>
      <c r="H1952">
        <v>365.74</v>
      </c>
      <c r="I1952">
        <v>392</v>
      </c>
      <c r="J1952">
        <v>90</v>
      </c>
      <c r="K1952" s="17">
        <f t="shared" si="241"/>
        <v>1176</v>
      </c>
      <c r="L1952" t="str">
        <f t="shared" si="242"/>
        <v>Sufficuent Stock</v>
      </c>
      <c r="P1952" s="19">
        <f t="shared" si="243"/>
        <v>0</v>
      </c>
      <c r="R1952" s="19">
        <f t="shared" si="240"/>
        <v>0</v>
      </c>
      <c r="T1952" s="19">
        <f t="shared" si="244"/>
        <v>133025.20000000001</v>
      </c>
      <c r="U1952" s="19">
        <f t="shared" si="245"/>
        <v>143370.08000000002</v>
      </c>
      <c r="V1952" s="21">
        <f t="shared" si="246"/>
        <v>10344.880000000005</v>
      </c>
      <c r="W1952" s="18">
        <f t="shared" si="247"/>
        <v>7.7766317960807449E-2</v>
      </c>
    </row>
    <row r="1953" spans="1:23" x14ac:dyDescent="0.3">
      <c r="A1953" t="s">
        <v>494</v>
      </c>
      <c r="B1953" t="s">
        <v>1188</v>
      </c>
      <c r="C1953" t="s">
        <v>16</v>
      </c>
      <c r="D1953" t="s">
        <v>69</v>
      </c>
      <c r="E1953">
        <v>3230</v>
      </c>
      <c r="F1953">
        <v>364.93</v>
      </c>
      <c r="G1953">
        <v>339.03</v>
      </c>
      <c r="H1953">
        <v>364.93</v>
      </c>
      <c r="I1953">
        <v>2025</v>
      </c>
      <c r="J1953">
        <v>48</v>
      </c>
      <c r="K1953" s="17">
        <f t="shared" si="241"/>
        <v>3240</v>
      </c>
      <c r="L1953" t="str">
        <f t="shared" si="242"/>
        <v>High Risk</v>
      </c>
      <c r="P1953" s="19">
        <f t="shared" si="243"/>
        <v>10</v>
      </c>
      <c r="R1953" s="19">
        <f t="shared" si="240"/>
        <v>3649.3</v>
      </c>
      <c r="T1953" s="19">
        <f t="shared" si="244"/>
        <v>686535.75</v>
      </c>
      <c r="U1953" s="19">
        <f t="shared" si="245"/>
        <v>738983.25</v>
      </c>
      <c r="V1953" s="21">
        <f t="shared" si="246"/>
        <v>52447.5</v>
      </c>
      <c r="W1953" s="18">
        <f t="shared" si="247"/>
        <v>7.6394419372916855E-2</v>
      </c>
    </row>
    <row r="1954" spans="1:23" x14ac:dyDescent="0.3">
      <c r="A1954" t="s">
        <v>521</v>
      </c>
      <c r="B1954" t="s">
        <v>522</v>
      </c>
      <c r="C1954" t="s">
        <v>23</v>
      </c>
      <c r="D1954" t="s">
        <v>17</v>
      </c>
      <c r="E1954">
        <v>3236</v>
      </c>
      <c r="F1954">
        <v>389.5</v>
      </c>
      <c r="G1954">
        <v>373.35</v>
      </c>
      <c r="H1954">
        <v>389.5</v>
      </c>
      <c r="I1954">
        <v>2287</v>
      </c>
      <c r="J1954">
        <v>87</v>
      </c>
      <c r="K1954" s="17">
        <f t="shared" si="241"/>
        <v>6632.3</v>
      </c>
      <c r="L1954" t="str">
        <f t="shared" si="242"/>
        <v>High Risk</v>
      </c>
      <c r="P1954" s="19">
        <f t="shared" si="243"/>
        <v>3397</v>
      </c>
      <c r="R1954" s="19">
        <f t="shared" si="240"/>
        <v>1323131.5</v>
      </c>
      <c r="T1954" s="19">
        <f t="shared" si="244"/>
        <v>853851.45000000007</v>
      </c>
      <c r="U1954" s="19">
        <f t="shared" si="245"/>
        <v>890786.5</v>
      </c>
      <c r="V1954" s="21">
        <f t="shared" si="246"/>
        <v>36935.04999999993</v>
      </c>
      <c r="W1954" s="18">
        <f t="shared" si="247"/>
        <v>4.3256997455470653E-2</v>
      </c>
    </row>
    <row r="1955" spans="1:23" x14ac:dyDescent="0.3">
      <c r="A1955" t="s">
        <v>446</v>
      </c>
      <c r="B1955" t="s">
        <v>860</v>
      </c>
      <c r="C1955" t="s">
        <v>23</v>
      </c>
      <c r="D1955" t="s">
        <v>69</v>
      </c>
      <c r="E1955">
        <v>3238</v>
      </c>
      <c r="F1955">
        <v>359.68</v>
      </c>
      <c r="G1955">
        <v>376.96</v>
      </c>
      <c r="H1955">
        <v>359.68</v>
      </c>
      <c r="I1955">
        <v>1052</v>
      </c>
      <c r="J1955">
        <v>30</v>
      </c>
      <c r="K1955" s="17">
        <f t="shared" si="241"/>
        <v>1052</v>
      </c>
      <c r="L1955" t="str">
        <f t="shared" si="242"/>
        <v>Sufficuent Stock</v>
      </c>
      <c r="P1955" s="19">
        <f t="shared" si="243"/>
        <v>0</v>
      </c>
      <c r="R1955" s="19">
        <f t="shared" si="240"/>
        <v>0</v>
      </c>
      <c r="T1955" s="19">
        <f t="shared" si="244"/>
        <v>396561.91999999998</v>
      </c>
      <c r="U1955" s="19">
        <f t="shared" si="245"/>
        <v>378383.35999999999</v>
      </c>
      <c r="V1955" s="21">
        <f t="shared" si="246"/>
        <v>-18178.559999999998</v>
      </c>
      <c r="W1955" s="18">
        <f t="shared" si="247"/>
        <v>-4.584040747028862E-2</v>
      </c>
    </row>
    <row r="1956" spans="1:23" x14ac:dyDescent="0.3">
      <c r="A1956" t="s">
        <v>635</v>
      </c>
      <c r="B1956" t="s">
        <v>3118</v>
      </c>
      <c r="C1956" t="s">
        <v>50</v>
      </c>
      <c r="D1956" t="s">
        <v>13</v>
      </c>
      <c r="E1956">
        <v>3238</v>
      </c>
      <c r="F1956">
        <v>271.18</v>
      </c>
      <c r="G1956">
        <v>241.05</v>
      </c>
      <c r="H1956">
        <v>271.18</v>
      </c>
      <c r="I1956">
        <v>2701</v>
      </c>
      <c r="J1956">
        <v>70</v>
      </c>
      <c r="K1956" s="17">
        <f t="shared" si="241"/>
        <v>6302.333333333333</v>
      </c>
      <c r="L1956" t="str">
        <f t="shared" si="242"/>
        <v>High Risk</v>
      </c>
      <c r="P1956" s="19">
        <f t="shared" si="243"/>
        <v>3065</v>
      </c>
      <c r="R1956" s="19">
        <f t="shared" si="240"/>
        <v>831166.70000000007</v>
      </c>
      <c r="T1956" s="19">
        <f t="shared" si="244"/>
        <v>651076.05000000005</v>
      </c>
      <c r="U1956" s="19">
        <f t="shared" si="245"/>
        <v>732457.18</v>
      </c>
      <c r="V1956" s="21">
        <f t="shared" si="246"/>
        <v>81381.13</v>
      </c>
      <c r="W1956" s="18">
        <f t="shared" si="247"/>
        <v>0.12499481435386849</v>
      </c>
    </row>
    <row r="1957" spans="1:23" x14ac:dyDescent="0.3">
      <c r="A1957" t="s">
        <v>74</v>
      </c>
      <c r="B1957" t="s">
        <v>2653</v>
      </c>
      <c r="C1957" t="s">
        <v>16</v>
      </c>
      <c r="D1957" t="s">
        <v>26</v>
      </c>
      <c r="E1957">
        <v>3239</v>
      </c>
      <c r="F1957">
        <v>168.66</v>
      </c>
      <c r="G1957">
        <v>165.92</v>
      </c>
      <c r="H1957">
        <v>168.66</v>
      </c>
      <c r="I1957">
        <v>1805</v>
      </c>
      <c r="J1957">
        <v>83</v>
      </c>
      <c r="K1957" s="17">
        <f t="shared" si="241"/>
        <v>4993.833333333333</v>
      </c>
      <c r="L1957" t="str">
        <f t="shared" si="242"/>
        <v>High Risk</v>
      </c>
      <c r="P1957" s="19">
        <f t="shared" si="243"/>
        <v>1755</v>
      </c>
      <c r="R1957" s="19">
        <f t="shared" si="240"/>
        <v>295998.3</v>
      </c>
      <c r="T1957" s="19">
        <f t="shared" si="244"/>
        <v>299485.59999999998</v>
      </c>
      <c r="U1957" s="19">
        <f t="shared" si="245"/>
        <v>304431.3</v>
      </c>
      <c r="V1957" s="21">
        <f t="shared" si="246"/>
        <v>4945.7000000000116</v>
      </c>
      <c r="W1957" s="18">
        <f t="shared" si="247"/>
        <v>1.6513982642237263E-2</v>
      </c>
    </row>
    <row r="1958" spans="1:23" x14ac:dyDescent="0.3">
      <c r="A1958" t="s">
        <v>1113</v>
      </c>
      <c r="B1958" t="s">
        <v>2011</v>
      </c>
      <c r="C1958" t="s">
        <v>23</v>
      </c>
      <c r="D1958" t="s">
        <v>69</v>
      </c>
      <c r="E1958">
        <v>3240</v>
      </c>
      <c r="F1958">
        <v>319.93</v>
      </c>
      <c r="G1958">
        <v>332.44</v>
      </c>
      <c r="H1958">
        <v>319.93</v>
      </c>
      <c r="I1958">
        <v>673</v>
      </c>
      <c r="J1958">
        <v>63</v>
      </c>
      <c r="K1958" s="17">
        <f t="shared" si="241"/>
        <v>1413.3</v>
      </c>
      <c r="L1958" t="str">
        <f t="shared" si="242"/>
        <v>Sufficuent Stock</v>
      </c>
      <c r="P1958" s="19">
        <f t="shared" si="243"/>
        <v>0</v>
      </c>
      <c r="R1958" s="19">
        <f t="shared" si="240"/>
        <v>0</v>
      </c>
      <c r="T1958" s="19">
        <f t="shared" si="244"/>
        <v>223732.12</v>
      </c>
      <c r="U1958" s="19">
        <f t="shared" si="245"/>
        <v>215312.89</v>
      </c>
      <c r="V1958" s="21">
        <f t="shared" si="246"/>
        <v>-8419.2299999999814</v>
      </c>
      <c r="W1958" s="18">
        <f t="shared" si="247"/>
        <v>-3.7630850679821838E-2</v>
      </c>
    </row>
    <row r="1959" spans="1:23" x14ac:dyDescent="0.3">
      <c r="A1959" t="s">
        <v>82</v>
      </c>
      <c r="B1959" t="s">
        <v>3039</v>
      </c>
      <c r="C1959" t="s">
        <v>23</v>
      </c>
      <c r="D1959" t="s">
        <v>69</v>
      </c>
      <c r="E1959">
        <v>3241</v>
      </c>
      <c r="F1959">
        <v>428.63</v>
      </c>
      <c r="G1959">
        <v>383.92</v>
      </c>
      <c r="H1959">
        <v>428.63</v>
      </c>
      <c r="I1959">
        <v>1863</v>
      </c>
      <c r="J1959">
        <v>34</v>
      </c>
      <c r="K1959" s="17">
        <f t="shared" si="241"/>
        <v>2111.4</v>
      </c>
      <c r="L1959" t="str">
        <f t="shared" si="242"/>
        <v>Sufficuent Stock</v>
      </c>
      <c r="P1959" s="19">
        <f t="shared" si="243"/>
        <v>0</v>
      </c>
      <c r="R1959" s="19">
        <f t="shared" si="240"/>
        <v>0</v>
      </c>
      <c r="T1959" s="19">
        <f t="shared" si="244"/>
        <v>715242.96000000008</v>
      </c>
      <c r="U1959" s="19">
        <f t="shared" si="245"/>
        <v>798537.69</v>
      </c>
      <c r="V1959" s="21">
        <f t="shared" si="246"/>
        <v>83294.729999999865</v>
      </c>
      <c r="W1959" s="18">
        <f t="shared" si="247"/>
        <v>0.11645655344863493</v>
      </c>
    </row>
    <row r="1960" spans="1:23" x14ac:dyDescent="0.3">
      <c r="A1960" t="s">
        <v>1531</v>
      </c>
      <c r="B1960" t="s">
        <v>3104</v>
      </c>
      <c r="C1960" t="s">
        <v>16</v>
      </c>
      <c r="D1960" t="s">
        <v>17</v>
      </c>
      <c r="E1960">
        <v>3242</v>
      </c>
      <c r="F1960">
        <v>231.06</v>
      </c>
      <c r="G1960">
        <v>226.93</v>
      </c>
      <c r="H1960">
        <v>231.06</v>
      </c>
      <c r="I1960">
        <v>1446</v>
      </c>
      <c r="J1960">
        <v>62</v>
      </c>
      <c r="K1960" s="17">
        <f t="shared" si="241"/>
        <v>2988.4</v>
      </c>
      <c r="L1960" t="str">
        <f t="shared" si="242"/>
        <v>Sufficuent Stock</v>
      </c>
      <c r="P1960" s="19">
        <f t="shared" si="243"/>
        <v>0</v>
      </c>
      <c r="R1960" s="19">
        <f t="shared" si="240"/>
        <v>0</v>
      </c>
      <c r="T1960" s="19">
        <f t="shared" si="244"/>
        <v>328140.78000000003</v>
      </c>
      <c r="U1960" s="19">
        <f t="shared" si="245"/>
        <v>334112.76</v>
      </c>
      <c r="V1960" s="21">
        <f t="shared" si="246"/>
        <v>5971.9799999999814</v>
      </c>
      <c r="W1960" s="18">
        <f t="shared" si="247"/>
        <v>1.8199444762702098E-2</v>
      </c>
    </row>
    <row r="1961" spans="1:23" x14ac:dyDescent="0.3">
      <c r="A1961" t="s">
        <v>411</v>
      </c>
      <c r="B1961" t="s">
        <v>1860</v>
      </c>
      <c r="C1961" t="s">
        <v>12</v>
      </c>
      <c r="D1961" t="s">
        <v>17</v>
      </c>
      <c r="E1961">
        <v>3244</v>
      </c>
      <c r="F1961">
        <v>52.75</v>
      </c>
      <c r="G1961">
        <v>51.54</v>
      </c>
      <c r="H1961">
        <v>52.75</v>
      </c>
      <c r="I1961">
        <v>1361</v>
      </c>
      <c r="J1961">
        <v>12</v>
      </c>
      <c r="K1961" s="17">
        <f t="shared" si="241"/>
        <v>544.4</v>
      </c>
      <c r="L1961" t="str">
        <f t="shared" si="242"/>
        <v>Sufficuent Stock</v>
      </c>
      <c r="P1961" s="19">
        <f t="shared" si="243"/>
        <v>0</v>
      </c>
      <c r="R1961" s="19">
        <f t="shared" si="240"/>
        <v>0</v>
      </c>
      <c r="T1961" s="19">
        <f t="shared" si="244"/>
        <v>70145.94</v>
      </c>
      <c r="U1961" s="19">
        <f t="shared" si="245"/>
        <v>71792.75</v>
      </c>
      <c r="V1961" s="21">
        <f t="shared" si="246"/>
        <v>1646.8099999999977</v>
      </c>
      <c r="W1961" s="18">
        <f t="shared" si="247"/>
        <v>2.3476911136980951E-2</v>
      </c>
    </row>
    <row r="1962" spans="1:23" x14ac:dyDescent="0.3">
      <c r="A1962" t="s">
        <v>940</v>
      </c>
      <c r="B1962" t="s">
        <v>2517</v>
      </c>
      <c r="C1962" t="s">
        <v>16</v>
      </c>
      <c r="D1962" t="s">
        <v>17</v>
      </c>
      <c r="E1962">
        <v>3244</v>
      </c>
      <c r="F1962">
        <v>204.33</v>
      </c>
      <c r="G1962">
        <v>198.23</v>
      </c>
      <c r="H1962">
        <v>204.33</v>
      </c>
      <c r="I1962">
        <v>492</v>
      </c>
      <c r="J1962">
        <v>18</v>
      </c>
      <c r="K1962" s="17">
        <f t="shared" si="241"/>
        <v>295.2</v>
      </c>
      <c r="L1962" t="str">
        <f t="shared" si="242"/>
        <v>Sufficuent Stock</v>
      </c>
      <c r="P1962" s="19">
        <f t="shared" si="243"/>
        <v>0</v>
      </c>
      <c r="R1962" s="19">
        <f t="shared" si="240"/>
        <v>0</v>
      </c>
      <c r="T1962" s="19">
        <f t="shared" si="244"/>
        <v>97529.159999999989</v>
      </c>
      <c r="U1962" s="19">
        <f t="shared" si="245"/>
        <v>100530.36</v>
      </c>
      <c r="V1962" s="21">
        <f t="shared" si="246"/>
        <v>3001.2000000000116</v>
      </c>
      <c r="W1962" s="18">
        <f t="shared" si="247"/>
        <v>3.0772335166221181E-2</v>
      </c>
    </row>
    <row r="1963" spans="1:23" x14ac:dyDescent="0.3">
      <c r="A1963" t="s">
        <v>459</v>
      </c>
      <c r="B1963" t="s">
        <v>2023</v>
      </c>
      <c r="C1963" t="s">
        <v>12</v>
      </c>
      <c r="D1963" t="s">
        <v>26</v>
      </c>
      <c r="E1963">
        <v>3247</v>
      </c>
      <c r="F1963">
        <v>54.39</v>
      </c>
      <c r="G1963">
        <v>52.22</v>
      </c>
      <c r="H1963">
        <v>54.39</v>
      </c>
      <c r="I1963">
        <v>3217</v>
      </c>
      <c r="J1963">
        <v>46</v>
      </c>
      <c r="K1963" s="17">
        <f t="shared" si="241"/>
        <v>4932.7333333333336</v>
      </c>
      <c r="L1963" t="str">
        <f t="shared" si="242"/>
        <v>High Risk</v>
      </c>
      <c r="P1963" s="19">
        <f t="shared" si="243"/>
        <v>1686</v>
      </c>
      <c r="R1963" s="19">
        <f t="shared" si="240"/>
        <v>91701.540000000008</v>
      </c>
      <c r="T1963" s="19">
        <f t="shared" si="244"/>
        <v>167991.74</v>
      </c>
      <c r="U1963" s="19">
        <f t="shared" si="245"/>
        <v>174972.63</v>
      </c>
      <c r="V1963" s="21">
        <f t="shared" si="246"/>
        <v>6980.890000000014</v>
      </c>
      <c r="W1963" s="18">
        <f t="shared" si="247"/>
        <v>4.1554959785522871E-2</v>
      </c>
    </row>
    <row r="1964" spans="1:23" x14ac:dyDescent="0.3">
      <c r="A1964" t="s">
        <v>1153</v>
      </c>
      <c r="B1964" t="s">
        <v>1154</v>
      </c>
      <c r="C1964" t="s">
        <v>23</v>
      </c>
      <c r="D1964" t="s">
        <v>26</v>
      </c>
      <c r="E1964">
        <v>3248</v>
      </c>
      <c r="F1964">
        <v>99.97</v>
      </c>
      <c r="G1964">
        <v>84</v>
      </c>
      <c r="H1964">
        <v>99.97</v>
      </c>
      <c r="I1964">
        <v>3939</v>
      </c>
      <c r="J1964">
        <v>38</v>
      </c>
      <c r="K1964" s="17">
        <f t="shared" si="241"/>
        <v>4989.4000000000005</v>
      </c>
      <c r="L1964" t="str">
        <f t="shared" si="242"/>
        <v>High Risk</v>
      </c>
      <c r="P1964" s="19">
        <f t="shared" si="243"/>
        <v>1742</v>
      </c>
      <c r="R1964" s="19">
        <f t="shared" si="240"/>
        <v>174147.74</v>
      </c>
      <c r="T1964" s="19">
        <f t="shared" si="244"/>
        <v>330876</v>
      </c>
      <c r="U1964" s="19">
        <f t="shared" si="245"/>
        <v>393781.83</v>
      </c>
      <c r="V1964" s="21">
        <f t="shared" si="246"/>
        <v>62905.830000000016</v>
      </c>
      <c r="W1964" s="18">
        <f t="shared" si="247"/>
        <v>0.19011904761904766</v>
      </c>
    </row>
    <row r="1965" spans="1:23" x14ac:dyDescent="0.3">
      <c r="A1965" t="s">
        <v>301</v>
      </c>
      <c r="B1965" t="s">
        <v>1305</v>
      </c>
      <c r="C1965" t="s">
        <v>12</v>
      </c>
      <c r="D1965" t="s">
        <v>17</v>
      </c>
      <c r="E1965">
        <v>3248</v>
      </c>
      <c r="F1965">
        <v>265.72000000000003</v>
      </c>
      <c r="G1965">
        <v>232.79</v>
      </c>
      <c r="H1965">
        <v>265.72000000000003</v>
      </c>
      <c r="I1965">
        <v>1637</v>
      </c>
      <c r="J1965">
        <v>37</v>
      </c>
      <c r="K1965" s="17">
        <f t="shared" si="241"/>
        <v>2018.9666666666667</v>
      </c>
      <c r="L1965" t="str">
        <f t="shared" si="242"/>
        <v>Sufficuent Stock</v>
      </c>
      <c r="P1965" s="19">
        <f t="shared" si="243"/>
        <v>0</v>
      </c>
      <c r="R1965" s="19">
        <f t="shared" si="240"/>
        <v>0</v>
      </c>
      <c r="T1965" s="19">
        <f t="shared" si="244"/>
        <v>381077.23</v>
      </c>
      <c r="U1965" s="19">
        <f t="shared" si="245"/>
        <v>434983.64000000007</v>
      </c>
      <c r="V1965" s="21">
        <f t="shared" si="246"/>
        <v>53906.410000000091</v>
      </c>
      <c r="W1965" s="18">
        <f t="shared" si="247"/>
        <v>0.14145796640749198</v>
      </c>
    </row>
    <row r="1966" spans="1:23" x14ac:dyDescent="0.3">
      <c r="A1966" t="s">
        <v>35</v>
      </c>
      <c r="B1966" t="s">
        <v>2623</v>
      </c>
      <c r="C1966" t="s">
        <v>37</v>
      </c>
      <c r="D1966" t="s">
        <v>20</v>
      </c>
      <c r="E1966">
        <v>3249</v>
      </c>
      <c r="F1966">
        <v>84.78</v>
      </c>
      <c r="G1966">
        <v>91.68</v>
      </c>
      <c r="H1966">
        <v>84.78</v>
      </c>
      <c r="I1966">
        <v>85</v>
      </c>
      <c r="J1966">
        <v>8</v>
      </c>
      <c r="K1966" s="17">
        <f t="shared" si="241"/>
        <v>22.666666666666668</v>
      </c>
      <c r="L1966" t="str">
        <f t="shared" si="242"/>
        <v>Sufficuent Stock</v>
      </c>
      <c r="P1966" s="19">
        <f t="shared" si="243"/>
        <v>0</v>
      </c>
      <c r="R1966" s="19">
        <f t="shared" si="240"/>
        <v>0</v>
      </c>
      <c r="T1966" s="19">
        <f t="shared" si="244"/>
        <v>7792.8</v>
      </c>
      <c r="U1966" s="19">
        <f t="shared" si="245"/>
        <v>7206.3</v>
      </c>
      <c r="V1966" s="21">
        <f t="shared" si="246"/>
        <v>-586.5</v>
      </c>
      <c r="W1966" s="18">
        <f t="shared" si="247"/>
        <v>-7.5261780104712045E-2</v>
      </c>
    </row>
    <row r="1967" spans="1:23" x14ac:dyDescent="0.3">
      <c r="A1967" t="s">
        <v>240</v>
      </c>
      <c r="B1967" t="s">
        <v>3360</v>
      </c>
      <c r="C1967" t="s">
        <v>37</v>
      </c>
      <c r="D1967" t="s">
        <v>69</v>
      </c>
      <c r="E1967">
        <v>3252</v>
      </c>
      <c r="F1967">
        <v>189.53</v>
      </c>
      <c r="G1967">
        <v>202.67</v>
      </c>
      <c r="H1967">
        <v>189.53</v>
      </c>
      <c r="I1967">
        <v>133</v>
      </c>
      <c r="J1967">
        <v>82</v>
      </c>
      <c r="K1967" s="17">
        <f t="shared" si="241"/>
        <v>363.53333333333336</v>
      </c>
      <c r="L1967" t="str">
        <f t="shared" si="242"/>
        <v>Sufficuent Stock</v>
      </c>
      <c r="P1967" s="19">
        <f t="shared" si="243"/>
        <v>0</v>
      </c>
      <c r="R1967" s="19">
        <f t="shared" si="240"/>
        <v>0</v>
      </c>
      <c r="T1967" s="19">
        <f t="shared" si="244"/>
        <v>26955.109999999997</v>
      </c>
      <c r="U1967" s="19">
        <f t="shared" si="245"/>
        <v>25207.49</v>
      </c>
      <c r="V1967" s="21">
        <f t="shared" si="246"/>
        <v>-1747.6199999999953</v>
      </c>
      <c r="W1967" s="18">
        <f t="shared" si="247"/>
        <v>-6.4834459959539972E-2</v>
      </c>
    </row>
    <row r="1968" spans="1:23" x14ac:dyDescent="0.3">
      <c r="A1968" t="s">
        <v>400</v>
      </c>
      <c r="B1968" t="s">
        <v>1233</v>
      </c>
      <c r="C1968" t="s">
        <v>37</v>
      </c>
      <c r="D1968" t="s">
        <v>13</v>
      </c>
      <c r="E1968">
        <v>3255</v>
      </c>
      <c r="F1968">
        <v>335.71</v>
      </c>
      <c r="G1968">
        <v>311.35000000000002</v>
      </c>
      <c r="H1968">
        <v>335.71</v>
      </c>
      <c r="I1968">
        <v>2207</v>
      </c>
      <c r="J1968">
        <v>12</v>
      </c>
      <c r="K1968" s="17">
        <f t="shared" si="241"/>
        <v>882.8</v>
      </c>
      <c r="L1968" t="str">
        <f t="shared" si="242"/>
        <v>Sufficuent Stock</v>
      </c>
      <c r="P1968" s="19">
        <f t="shared" si="243"/>
        <v>0</v>
      </c>
      <c r="R1968" s="19">
        <f t="shared" si="240"/>
        <v>0</v>
      </c>
      <c r="T1968" s="19">
        <f t="shared" si="244"/>
        <v>687149.45000000007</v>
      </c>
      <c r="U1968" s="19">
        <f t="shared" si="245"/>
        <v>740911.97</v>
      </c>
      <c r="V1968" s="21">
        <f t="shared" si="246"/>
        <v>53762.519999999902</v>
      </c>
      <c r="W1968" s="18">
        <f t="shared" si="247"/>
        <v>7.8239922916331958E-2</v>
      </c>
    </row>
    <row r="1969" spans="1:23" x14ac:dyDescent="0.3">
      <c r="A1969" t="s">
        <v>1010</v>
      </c>
      <c r="B1969" t="s">
        <v>3345</v>
      </c>
      <c r="C1969" t="s">
        <v>23</v>
      </c>
      <c r="D1969" t="s">
        <v>17</v>
      </c>
      <c r="E1969">
        <v>3256</v>
      </c>
      <c r="F1969">
        <v>350.72</v>
      </c>
      <c r="G1969">
        <v>305.92</v>
      </c>
      <c r="H1969">
        <v>350.72</v>
      </c>
      <c r="I1969">
        <v>1795</v>
      </c>
      <c r="J1969">
        <v>87</v>
      </c>
      <c r="K1969" s="17">
        <f t="shared" si="241"/>
        <v>5205.5</v>
      </c>
      <c r="L1969" t="str">
        <f t="shared" si="242"/>
        <v>High Risk</v>
      </c>
      <c r="P1969" s="19">
        <f t="shared" si="243"/>
        <v>1950</v>
      </c>
      <c r="R1969" s="19">
        <f t="shared" si="240"/>
        <v>683904</v>
      </c>
      <c r="T1969" s="19">
        <f t="shared" si="244"/>
        <v>549126.40000000002</v>
      </c>
      <c r="U1969" s="19">
        <f t="shared" si="245"/>
        <v>629542.40000000002</v>
      </c>
      <c r="V1969" s="21">
        <f t="shared" si="246"/>
        <v>80416</v>
      </c>
      <c r="W1969" s="18">
        <f t="shared" si="247"/>
        <v>0.14644351464435146</v>
      </c>
    </row>
    <row r="1970" spans="1:23" x14ac:dyDescent="0.3">
      <c r="A1970" t="s">
        <v>333</v>
      </c>
      <c r="B1970" t="s">
        <v>1227</v>
      </c>
      <c r="C1970" t="s">
        <v>23</v>
      </c>
      <c r="D1970" t="s">
        <v>17</v>
      </c>
      <c r="E1970">
        <v>3258</v>
      </c>
      <c r="F1970">
        <v>359.49</v>
      </c>
      <c r="G1970">
        <v>375.29</v>
      </c>
      <c r="H1970">
        <v>359.49</v>
      </c>
      <c r="I1970">
        <v>2023</v>
      </c>
      <c r="J1970">
        <v>32</v>
      </c>
      <c r="K1970" s="17">
        <f t="shared" si="241"/>
        <v>2157.8666666666668</v>
      </c>
      <c r="L1970" t="str">
        <f t="shared" si="242"/>
        <v>Sufficuent Stock</v>
      </c>
      <c r="P1970" s="19">
        <f t="shared" si="243"/>
        <v>0</v>
      </c>
      <c r="R1970" s="19">
        <f t="shared" si="240"/>
        <v>0</v>
      </c>
      <c r="T1970" s="19">
        <f t="shared" si="244"/>
        <v>759211.67</v>
      </c>
      <c r="U1970" s="19">
        <f t="shared" si="245"/>
        <v>727248.27</v>
      </c>
      <c r="V1970" s="21">
        <f t="shared" si="246"/>
        <v>-31963.400000000023</v>
      </c>
      <c r="W1970" s="18">
        <f t="shared" si="247"/>
        <v>-4.2100775400357088E-2</v>
      </c>
    </row>
    <row r="1971" spans="1:23" x14ac:dyDescent="0.3">
      <c r="A1971" t="s">
        <v>59</v>
      </c>
      <c r="B1971" t="s">
        <v>60</v>
      </c>
      <c r="C1971" t="s">
        <v>50</v>
      </c>
      <c r="D1971" t="s">
        <v>26</v>
      </c>
      <c r="E1971">
        <v>3259</v>
      </c>
      <c r="F1971">
        <v>237.73</v>
      </c>
      <c r="G1971">
        <v>258.75</v>
      </c>
      <c r="H1971">
        <v>237.73</v>
      </c>
      <c r="I1971">
        <v>669</v>
      </c>
      <c r="J1971">
        <v>76</v>
      </c>
      <c r="K1971" s="17">
        <f t="shared" si="241"/>
        <v>1694.8</v>
      </c>
      <c r="L1971" t="str">
        <f t="shared" si="242"/>
        <v>Sufficuent Stock</v>
      </c>
      <c r="P1971" s="19">
        <f t="shared" si="243"/>
        <v>0</v>
      </c>
      <c r="R1971" s="19">
        <f t="shared" si="240"/>
        <v>0</v>
      </c>
      <c r="T1971" s="19">
        <f t="shared" si="244"/>
        <v>173103.75</v>
      </c>
      <c r="U1971" s="19">
        <f t="shared" si="245"/>
        <v>159041.37</v>
      </c>
      <c r="V1971" s="21">
        <f t="shared" si="246"/>
        <v>-14062.380000000005</v>
      </c>
      <c r="W1971" s="18">
        <f t="shared" si="247"/>
        <v>-8.1236714975845434E-2</v>
      </c>
    </row>
    <row r="1972" spans="1:23" x14ac:dyDescent="0.3">
      <c r="A1972" t="s">
        <v>1751</v>
      </c>
      <c r="B1972" t="s">
        <v>1893</v>
      </c>
      <c r="C1972" t="s">
        <v>23</v>
      </c>
      <c r="D1972" t="s">
        <v>13</v>
      </c>
      <c r="E1972">
        <v>3259</v>
      </c>
      <c r="F1972">
        <v>294.73</v>
      </c>
      <c r="G1972">
        <v>248.01</v>
      </c>
      <c r="H1972">
        <v>294.73</v>
      </c>
      <c r="I1972">
        <v>2276</v>
      </c>
      <c r="J1972">
        <v>53</v>
      </c>
      <c r="K1972" s="17">
        <f t="shared" si="241"/>
        <v>4020.9333333333329</v>
      </c>
      <c r="L1972" t="str">
        <f t="shared" si="242"/>
        <v>High Risk</v>
      </c>
      <c r="P1972" s="19">
        <f t="shared" si="243"/>
        <v>762</v>
      </c>
      <c r="R1972" s="19">
        <f t="shared" si="240"/>
        <v>224584.26</v>
      </c>
      <c r="T1972" s="19">
        <f t="shared" si="244"/>
        <v>564470.76</v>
      </c>
      <c r="U1972" s="19">
        <f t="shared" si="245"/>
        <v>670805.4800000001</v>
      </c>
      <c r="V1972" s="21">
        <f t="shared" si="246"/>
        <v>106334.72000000009</v>
      </c>
      <c r="W1972" s="18">
        <f t="shared" si="247"/>
        <v>0.18837950082657973</v>
      </c>
    </row>
    <row r="1973" spans="1:23" x14ac:dyDescent="0.3">
      <c r="A1973" t="s">
        <v>1531</v>
      </c>
      <c r="B1973" t="s">
        <v>1771</v>
      </c>
      <c r="C1973" t="s">
        <v>23</v>
      </c>
      <c r="D1973" t="s">
        <v>13</v>
      </c>
      <c r="E1973">
        <v>3261</v>
      </c>
      <c r="F1973">
        <v>371.79</v>
      </c>
      <c r="G1973">
        <v>359.48</v>
      </c>
      <c r="H1973">
        <v>371.79</v>
      </c>
      <c r="I1973">
        <v>3168</v>
      </c>
      <c r="J1973">
        <v>86</v>
      </c>
      <c r="K1973" s="17">
        <f t="shared" si="241"/>
        <v>9081.6</v>
      </c>
      <c r="L1973" t="str">
        <f t="shared" si="242"/>
        <v>High Risk</v>
      </c>
      <c r="P1973" s="19">
        <f t="shared" si="243"/>
        <v>5821</v>
      </c>
      <c r="R1973" s="19">
        <f t="shared" si="240"/>
        <v>2164189.5900000003</v>
      </c>
      <c r="T1973" s="19">
        <f t="shared" si="244"/>
        <v>1138832.6400000001</v>
      </c>
      <c r="U1973" s="19">
        <f t="shared" si="245"/>
        <v>1177830.72</v>
      </c>
      <c r="V1973" s="21">
        <f t="shared" si="246"/>
        <v>38998.079999999842</v>
      </c>
      <c r="W1973" s="18">
        <f t="shared" si="247"/>
        <v>3.4243907866918742E-2</v>
      </c>
    </row>
    <row r="1974" spans="1:23" x14ac:dyDescent="0.3">
      <c r="A1974" t="s">
        <v>138</v>
      </c>
      <c r="B1974" t="s">
        <v>698</v>
      </c>
      <c r="C1974" t="s">
        <v>50</v>
      </c>
      <c r="D1974" t="s">
        <v>17</v>
      </c>
      <c r="E1974">
        <v>3265</v>
      </c>
      <c r="F1974">
        <v>478.59</v>
      </c>
      <c r="G1974">
        <v>471.36</v>
      </c>
      <c r="H1974">
        <v>478.59</v>
      </c>
      <c r="I1974">
        <v>3276</v>
      </c>
      <c r="J1974">
        <v>83</v>
      </c>
      <c r="K1974" s="17">
        <f t="shared" si="241"/>
        <v>9063.6</v>
      </c>
      <c r="L1974" t="str">
        <f t="shared" si="242"/>
        <v>High Risk</v>
      </c>
      <c r="P1974" s="19">
        <f t="shared" si="243"/>
        <v>5799</v>
      </c>
      <c r="R1974" s="19">
        <f t="shared" si="240"/>
        <v>2775343.4099999997</v>
      </c>
      <c r="T1974" s="19">
        <f t="shared" si="244"/>
        <v>1544175.36</v>
      </c>
      <c r="U1974" s="19">
        <f t="shared" si="245"/>
        <v>1567860.8399999999</v>
      </c>
      <c r="V1974" s="21">
        <f t="shared" si="246"/>
        <v>23685.479999999749</v>
      </c>
      <c r="W1974" s="18">
        <f t="shared" si="247"/>
        <v>1.5338594704684154E-2</v>
      </c>
    </row>
    <row r="1975" spans="1:23" x14ac:dyDescent="0.3">
      <c r="A1975" t="s">
        <v>380</v>
      </c>
      <c r="B1975" t="s">
        <v>2690</v>
      </c>
      <c r="C1975" t="s">
        <v>12</v>
      </c>
      <c r="D1975" t="s">
        <v>69</v>
      </c>
      <c r="E1975">
        <v>3265</v>
      </c>
      <c r="F1975">
        <v>59.05</v>
      </c>
      <c r="G1975">
        <v>52.59</v>
      </c>
      <c r="H1975">
        <v>59.05</v>
      </c>
      <c r="I1975">
        <v>1051</v>
      </c>
      <c r="J1975">
        <v>15</v>
      </c>
      <c r="K1975" s="17">
        <f t="shared" si="241"/>
        <v>525.5</v>
      </c>
      <c r="L1975" t="str">
        <f t="shared" si="242"/>
        <v>Sufficuent Stock</v>
      </c>
      <c r="P1975" s="19">
        <f t="shared" si="243"/>
        <v>0</v>
      </c>
      <c r="R1975" s="19">
        <f t="shared" si="240"/>
        <v>0</v>
      </c>
      <c r="T1975" s="19">
        <f t="shared" si="244"/>
        <v>55272.090000000004</v>
      </c>
      <c r="U1975" s="19">
        <f t="shared" si="245"/>
        <v>62061.549999999996</v>
      </c>
      <c r="V1975" s="21">
        <f t="shared" si="246"/>
        <v>6789.4599999999919</v>
      </c>
      <c r="W1975" s="18">
        <f t="shared" si="247"/>
        <v>0.1228370412625973</v>
      </c>
    </row>
    <row r="1976" spans="1:23" x14ac:dyDescent="0.3">
      <c r="A1976" t="s">
        <v>253</v>
      </c>
      <c r="B1976" t="s">
        <v>2539</v>
      </c>
      <c r="C1976" t="s">
        <v>23</v>
      </c>
      <c r="D1976" t="s">
        <v>20</v>
      </c>
      <c r="E1976">
        <v>3265</v>
      </c>
      <c r="F1976">
        <v>175.1</v>
      </c>
      <c r="G1976">
        <v>175.63</v>
      </c>
      <c r="H1976">
        <v>175.1</v>
      </c>
      <c r="I1976">
        <v>1580</v>
      </c>
      <c r="J1976">
        <v>73</v>
      </c>
      <c r="K1976" s="17">
        <f t="shared" si="241"/>
        <v>3844.6666666666665</v>
      </c>
      <c r="L1976" t="str">
        <f t="shared" si="242"/>
        <v>High Risk</v>
      </c>
      <c r="P1976" s="19">
        <f t="shared" si="243"/>
        <v>580</v>
      </c>
      <c r="R1976" s="19">
        <f t="shared" si="240"/>
        <v>101558</v>
      </c>
      <c r="T1976" s="19">
        <f t="shared" si="244"/>
        <v>277495.39999999997</v>
      </c>
      <c r="U1976" s="19">
        <f t="shared" si="245"/>
        <v>276658</v>
      </c>
      <c r="V1976" s="21">
        <f t="shared" si="246"/>
        <v>-837.39999999996508</v>
      </c>
      <c r="W1976" s="18">
        <f t="shared" si="247"/>
        <v>-3.0177076809199906E-3</v>
      </c>
    </row>
    <row r="1977" spans="1:23" x14ac:dyDescent="0.3">
      <c r="A1977" t="s">
        <v>262</v>
      </c>
      <c r="B1977" t="s">
        <v>1712</v>
      </c>
      <c r="C1977" t="s">
        <v>23</v>
      </c>
      <c r="D1977" t="s">
        <v>13</v>
      </c>
      <c r="E1977">
        <v>3267</v>
      </c>
      <c r="F1977">
        <v>31.59</v>
      </c>
      <c r="G1977">
        <v>26.58</v>
      </c>
      <c r="H1977">
        <v>31.59</v>
      </c>
      <c r="I1977">
        <v>1258</v>
      </c>
      <c r="J1977">
        <v>17</v>
      </c>
      <c r="K1977" s="17">
        <f t="shared" si="241"/>
        <v>712.86666666666656</v>
      </c>
      <c r="L1977" t="str">
        <f t="shared" si="242"/>
        <v>Sufficuent Stock</v>
      </c>
      <c r="P1977" s="19">
        <f t="shared" si="243"/>
        <v>0</v>
      </c>
      <c r="R1977" s="19">
        <f t="shared" si="240"/>
        <v>0</v>
      </c>
      <c r="T1977" s="19">
        <f t="shared" si="244"/>
        <v>33437.64</v>
      </c>
      <c r="U1977" s="19">
        <f t="shared" si="245"/>
        <v>39740.22</v>
      </c>
      <c r="V1977" s="21">
        <f t="shared" si="246"/>
        <v>6302.5800000000017</v>
      </c>
      <c r="W1977" s="18">
        <f t="shared" si="247"/>
        <v>0.18848758465011292</v>
      </c>
    </row>
    <row r="1978" spans="1:23" x14ac:dyDescent="0.3">
      <c r="A1978" t="s">
        <v>748</v>
      </c>
      <c r="B1978" t="s">
        <v>786</v>
      </c>
      <c r="C1978" t="s">
        <v>16</v>
      </c>
      <c r="D1978" t="s">
        <v>17</v>
      </c>
      <c r="E1978">
        <v>3267</v>
      </c>
      <c r="F1978">
        <v>144.27000000000001</v>
      </c>
      <c r="G1978">
        <v>129.44999999999999</v>
      </c>
      <c r="H1978">
        <v>144.27000000000001</v>
      </c>
      <c r="I1978">
        <v>727</v>
      </c>
      <c r="J1978">
        <v>12</v>
      </c>
      <c r="K1978" s="17">
        <f t="shared" si="241"/>
        <v>290.8</v>
      </c>
      <c r="L1978" t="str">
        <f t="shared" si="242"/>
        <v>Sufficuent Stock</v>
      </c>
      <c r="P1978" s="19">
        <f t="shared" si="243"/>
        <v>0</v>
      </c>
      <c r="R1978" s="19">
        <f t="shared" si="240"/>
        <v>0</v>
      </c>
      <c r="T1978" s="19">
        <f t="shared" si="244"/>
        <v>94110.15</v>
      </c>
      <c r="U1978" s="19">
        <f t="shared" si="245"/>
        <v>104884.29000000001</v>
      </c>
      <c r="V1978" s="21">
        <f t="shared" si="246"/>
        <v>10774.140000000014</v>
      </c>
      <c r="W1978" s="18">
        <f t="shared" si="247"/>
        <v>0.11448435689455404</v>
      </c>
    </row>
    <row r="1979" spans="1:23" x14ac:dyDescent="0.3">
      <c r="A1979" t="s">
        <v>288</v>
      </c>
      <c r="B1979" t="s">
        <v>1761</v>
      </c>
      <c r="C1979" t="s">
        <v>12</v>
      </c>
      <c r="D1979" t="s">
        <v>69</v>
      </c>
      <c r="E1979">
        <v>3268</v>
      </c>
      <c r="F1979">
        <v>47.5</v>
      </c>
      <c r="G1979">
        <v>46.55</v>
      </c>
      <c r="H1979">
        <v>47.5</v>
      </c>
      <c r="I1979">
        <v>3225</v>
      </c>
      <c r="J1979">
        <v>50</v>
      </c>
      <c r="K1979" s="17">
        <f t="shared" si="241"/>
        <v>5375</v>
      </c>
      <c r="L1979" t="str">
        <f t="shared" si="242"/>
        <v>High Risk</v>
      </c>
      <c r="P1979" s="19">
        <f t="shared" si="243"/>
        <v>2107</v>
      </c>
      <c r="R1979" s="19">
        <f t="shared" si="240"/>
        <v>100082.5</v>
      </c>
      <c r="T1979" s="19">
        <f t="shared" si="244"/>
        <v>150123.75</v>
      </c>
      <c r="U1979" s="19">
        <f t="shared" si="245"/>
        <v>153187.5</v>
      </c>
      <c r="V1979" s="21">
        <f t="shared" si="246"/>
        <v>3063.75</v>
      </c>
      <c r="W1979" s="18">
        <f t="shared" si="247"/>
        <v>2.0408163265306121E-2</v>
      </c>
    </row>
    <row r="1980" spans="1:23" x14ac:dyDescent="0.3">
      <c r="A1980" t="s">
        <v>1170</v>
      </c>
      <c r="B1980" t="s">
        <v>1837</v>
      </c>
      <c r="C1980" t="s">
        <v>37</v>
      </c>
      <c r="D1980" t="s">
        <v>26</v>
      </c>
      <c r="E1980">
        <v>3268</v>
      </c>
      <c r="F1980">
        <v>150.97999999999999</v>
      </c>
      <c r="G1980">
        <v>129.38999999999999</v>
      </c>
      <c r="H1980">
        <v>150.97999999999999</v>
      </c>
      <c r="I1980">
        <v>207</v>
      </c>
      <c r="J1980">
        <v>76</v>
      </c>
      <c r="K1980" s="17">
        <f t="shared" si="241"/>
        <v>524.4</v>
      </c>
      <c r="L1980" t="str">
        <f t="shared" si="242"/>
        <v>Sufficuent Stock</v>
      </c>
      <c r="P1980" s="19">
        <f t="shared" si="243"/>
        <v>0</v>
      </c>
      <c r="R1980" s="19">
        <f t="shared" si="240"/>
        <v>0</v>
      </c>
      <c r="T1980" s="19">
        <f t="shared" si="244"/>
        <v>26783.729999999996</v>
      </c>
      <c r="U1980" s="19">
        <f t="shared" si="245"/>
        <v>31252.859999999997</v>
      </c>
      <c r="V1980" s="21">
        <f t="shared" si="246"/>
        <v>4469.130000000001</v>
      </c>
      <c r="W1980" s="18">
        <f t="shared" si="247"/>
        <v>0.16685988097998306</v>
      </c>
    </row>
    <row r="1981" spans="1:23" x14ac:dyDescent="0.3">
      <c r="A1981" t="s">
        <v>29</v>
      </c>
      <c r="B1981" t="s">
        <v>1981</v>
      </c>
      <c r="C1981" t="s">
        <v>37</v>
      </c>
      <c r="D1981" t="s">
        <v>26</v>
      </c>
      <c r="E1981">
        <v>3273</v>
      </c>
      <c r="F1981">
        <v>195.54</v>
      </c>
      <c r="G1981">
        <v>204.19</v>
      </c>
      <c r="H1981">
        <v>195.54</v>
      </c>
      <c r="I1981">
        <v>3760</v>
      </c>
      <c r="J1981">
        <v>88</v>
      </c>
      <c r="K1981" s="17">
        <f t="shared" si="241"/>
        <v>11029.333333333332</v>
      </c>
      <c r="L1981" t="str">
        <f t="shared" si="242"/>
        <v>High Risk</v>
      </c>
      <c r="P1981" s="19">
        <f t="shared" si="243"/>
        <v>7757</v>
      </c>
      <c r="R1981" s="19">
        <f t="shared" si="240"/>
        <v>1516803.78</v>
      </c>
      <c r="T1981" s="19">
        <f t="shared" si="244"/>
        <v>767754.4</v>
      </c>
      <c r="U1981" s="19">
        <f t="shared" si="245"/>
        <v>735230.4</v>
      </c>
      <c r="V1981" s="21">
        <f t="shared" si="246"/>
        <v>-32524</v>
      </c>
      <c r="W1981" s="18">
        <f t="shared" si="247"/>
        <v>-4.2362505509574412E-2</v>
      </c>
    </row>
    <row r="1982" spans="1:23" x14ac:dyDescent="0.3">
      <c r="A1982" t="s">
        <v>145</v>
      </c>
      <c r="B1982" t="s">
        <v>1081</v>
      </c>
      <c r="C1982" t="s">
        <v>50</v>
      </c>
      <c r="D1982" t="s">
        <v>17</v>
      </c>
      <c r="E1982">
        <v>3273</v>
      </c>
      <c r="F1982">
        <v>29.99</v>
      </c>
      <c r="G1982">
        <v>29.06</v>
      </c>
      <c r="H1982">
        <v>29.99</v>
      </c>
      <c r="I1982">
        <v>1364</v>
      </c>
      <c r="J1982">
        <v>30</v>
      </c>
      <c r="K1982" s="17">
        <f t="shared" si="241"/>
        <v>1364</v>
      </c>
      <c r="L1982" t="str">
        <f t="shared" si="242"/>
        <v>Sufficuent Stock</v>
      </c>
      <c r="P1982" s="19">
        <f t="shared" si="243"/>
        <v>0</v>
      </c>
      <c r="R1982" s="19">
        <f t="shared" si="240"/>
        <v>0</v>
      </c>
      <c r="T1982" s="19">
        <f t="shared" si="244"/>
        <v>39637.839999999997</v>
      </c>
      <c r="U1982" s="19">
        <f t="shared" si="245"/>
        <v>40906.36</v>
      </c>
      <c r="V1982" s="21">
        <f t="shared" si="246"/>
        <v>1268.5200000000041</v>
      </c>
      <c r="W1982" s="18">
        <f t="shared" si="247"/>
        <v>3.2002752924982898E-2</v>
      </c>
    </row>
    <row r="1983" spans="1:23" x14ac:dyDescent="0.3">
      <c r="A1983" t="s">
        <v>132</v>
      </c>
      <c r="B1983" t="s">
        <v>133</v>
      </c>
      <c r="C1983" t="s">
        <v>23</v>
      </c>
      <c r="D1983" t="s">
        <v>13</v>
      </c>
      <c r="E1983">
        <v>3281</v>
      </c>
      <c r="F1983">
        <v>507.68</v>
      </c>
      <c r="G1983">
        <v>488.42</v>
      </c>
      <c r="H1983">
        <v>507.68</v>
      </c>
      <c r="I1983">
        <v>3538</v>
      </c>
      <c r="J1983">
        <v>11</v>
      </c>
      <c r="K1983" s="17">
        <f t="shared" si="241"/>
        <v>1297.2666666666667</v>
      </c>
      <c r="L1983" t="str">
        <f t="shared" si="242"/>
        <v>Sufficuent Stock</v>
      </c>
      <c r="P1983" s="19">
        <f t="shared" si="243"/>
        <v>0</v>
      </c>
      <c r="R1983" s="19">
        <f t="shared" si="240"/>
        <v>0</v>
      </c>
      <c r="T1983" s="19">
        <f t="shared" si="244"/>
        <v>1728029.96</v>
      </c>
      <c r="U1983" s="19">
        <f t="shared" si="245"/>
        <v>1796171.84</v>
      </c>
      <c r="V1983" s="21">
        <f t="shared" si="246"/>
        <v>68141.880000000121</v>
      </c>
      <c r="W1983" s="18">
        <f t="shared" si="247"/>
        <v>3.9433274640678175E-2</v>
      </c>
    </row>
    <row r="1984" spans="1:23" x14ac:dyDescent="0.3">
      <c r="A1984" t="s">
        <v>338</v>
      </c>
      <c r="B1984" t="s">
        <v>920</v>
      </c>
      <c r="C1984" t="s">
        <v>12</v>
      </c>
      <c r="D1984" t="s">
        <v>13</v>
      </c>
      <c r="E1984">
        <v>3281</v>
      </c>
      <c r="F1984">
        <v>21.63</v>
      </c>
      <c r="G1984">
        <v>23.32</v>
      </c>
      <c r="H1984">
        <v>21.63</v>
      </c>
      <c r="I1984">
        <v>3392</v>
      </c>
      <c r="J1984">
        <v>38</v>
      </c>
      <c r="K1984" s="17">
        <f t="shared" si="241"/>
        <v>4296.5333333333328</v>
      </c>
      <c r="L1984" t="str">
        <f t="shared" si="242"/>
        <v>High Risk</v>
      </c>
      <c r="P1984" s="19">
        <f t="shared" si="243"/>
        <v>1016</v>
      </c>
      <c r="R1984" s="19">
        <f t="shared" si="240"/>
        <v>21976.079999999998</v>
      </c>
      <c r="T1984" s="19">
        <f t="shared" si="244"/>
        <v>79101.440000000002</v>
      </c>
      <c r="U1984" s="19">
        <f t="shared" si="245"/>
        <v>73368.959999999992</v>
      </c>
      <c r="V1984" s="21">
        <f t="shared" si="246"/>
        <v>-5732.4800000000105</v>
      </c>
      <c r="W1984" s="18">
        <f t="shared" si="247"/>
        <v>-7.2469982847341463E-2</v>
      </c>
    </row>
    <row r="1985" spans="1:23" x14ac:dyDescent="0.3">
      <c r="A1985" t="s">
        <v>803</v>
      </c>
      <c r="B1985" t="s">
        <v>3028</v>
      </c>
      <c r="C1985" t="s">
        <v>37</v>
      </c>
      <c r="D1985" t="s">
        <v>26</v>
      </c>
      <c r="E1985">
        <v>3282</v>
      </c>
      <c r="F1985">
        <v>220.28</v>
      </c>
      <c r="G1985">
        <v>200.67</v>
      </c>
      <c r="H1985">
        <v>220.28</v>
      </c>
      <c r="I1985">
        <v>2541</v>
      </c>
      <c r="J1985">
        <v>46</v>
      </c>
      <c r="K1985" s="17">
        <f t="shared" si="241"/>
        <v>3896.2000000000003</v>
      </c>
      <c r="L1985" t="str">
        <f t="shared" si="242"/>
        <v>High Risk</v>
      </c>
      <c r="P1985" s="19">
        <f t="shared" si="243"/>
        <v>615</v>
      </c>
      <c r="R1985" s="19">
        <f t="shared" si="240"/>
        <v>135472.20000000001</v>
      </c>
      <c r="T1985" s="19">
        <f t="shared" si="244"/>
        <v>509902.47</v>
      </c>
      <c r="U1985" s="19">
        <f t="shared" si="245"/>
        <v>559731.48</v>
      </c>
      <c r="V1985" s="21">
        <f t="shared" si="246"/>
        <v>49829.010000000009</v>
      </c>
      <c r="W1985" s="18">
        <f t="shared" si="247"/>
        <v>9.7722629192206131E-2</v>
      </c>
    </row>
    <row r="1986" spans="1:23" x14ac:dyDescent="0.3">
      <c r="A1986" t="s">
        <v>86</v>
      </c>
      <c r="B1986" t="s">
        <v>795</v>
      </c>
      <c r="C1986" t="s">
        <v>50</v>
      </c>
      <c r="D1986" t="s">
        <v>26</v>
      </c>
      <c r="E1986">
        <v>3284</v>
      </c>
      <c r="F1986">
        <v>253.58</v>
      </c>
      <c r="G1986">
        <v>226.4</v>
      </c>
      <c r="H1986">
        <v>253.58</v>
      </c>
      <c r="I1986">
        <v>3207</v>
      </c>
      <c r="J1986">
        <v>14</v>
      </c>
      <c r="K1986" s="17">
        <f t="shared" si="241"/>
        <v>1496.6000000000001</v>
      </c>
      <c r="L1986" t="str">
        <f t="shared" si="242"/>
        <v>Sufficuent Stock</v>
      </c>
      <c r="P1986" s="19">
        <f t="shared" si="243"/>
        <v>0</v>
      </c>
      <c r="R1986" s="19">
        <f t="shared" ref="R1986:R2049" si="248">P1986*H1986</f>
        <v>0</v>
      </c>
      <c r="T1986" s="19">
        <f t="shared" si="244"/>
        <v>726064.8</v>
      </c>
      <c r="U1986" s="19">
        <f t="shared" si="245"/>
        <v>813231.06</v>
      </c>
      <c r="V1986" s="21">
        <f t="shared" si="246"/>
        <v>87166.260000000009</v>
      </c>
      <c r="W1986" s="18">
        <f t="shared" si="247"/>
        <v>0.12005300353356892</v>
      </c>
    </row>
    <row r="1987" spans="1:23" x14ac:dyDescent="0.3">
      <c r="A1987" t="s">
        <v>1375</v>
      </c>
      <c r="B1987" t="s">
        <v>1748</v>
      </c>
      <c r="C1987" t="s">
        <v>16</v>
      </c>
      <c r="D1987" t="s">
        <v>17</v>
      </c>
      <c r="E1987">
        <v>3285</v>
      </c>
      <c r="F1987">
        <v>173.16</v>
      </c>
      <c r="G1987">
        <v>163.93</v>
      </c>
      <c r="H1987">
        <v>173.16</v>
      </c>
      <c r="I1987">
        <v>1762</v>
      </c>
      <c r="J1987">
        <v>70</v>
      </c>
      <c r="K1987" s="17">
        <f t="shared" ref="K1987:K2050" si="249">(I1987/30)*J1987</f>
        <v>4111.333333333333</v>
      </c>
      <c r="L1987" t="str">
        <f t="shared" ref="L1987:L2050" si="250">IF(E1987&lt;K1987,"High Risk","Sufficuent Stock")</f>
        <v>High Risk</v>
      </c>
      <c r="P1987" s="19">
        <f t="shared" ref="P1987:P2050" si="251">ROUNDUP(MAX(0,K1987-E1987),0)</f>
        <v>827</v>
      </c>
      <c r="R1987" s="19">
        <f t="shared" si="248"/>
        <v>143203.32</v>
      </c>
      <c r="T1987" s="19">
        <f t="shared" ref="T1987:T2050" si="252">I1987*G1987</f>
        <v>288844.66000000003</v>
      </c>
      <c r="U1987" s="19">
        <f t="shared" ref="U1987:U2050" si="253">I1987*H1987</f>
        <v>305107.92</v>
      </c>
      <c r="V1987" s="21">
        <f t="shared" ref="V1987:V2050" si="254">U1987-T1987</f>
        <v>16263.259999999951</v>
      </c>
      <c r="W1987" s="18">
        <f t="shared" ref="W1987:W2050" si="255">IFERROR(V1987/T1987,0)</f>
        <v>5.6304520222045823E-2</v>
      </c>
    </row>
    <row r="1988" spans="1:23" x14ac:dyDescent="0.3">
      <c r="A1988" t="s">
        <v>65</v>
      </c>
      <c r="B1988" t="s">
        <v>972</v>
      </c>
      <c r="C1988" t="s">
        <v>12</v>
      </c>
      <c r="D1988" t="s">
        <v>26</v>
      </c>
      <c r="E1988">
        <v>3288</v>
      </c>
      <c r="F1988">
        <v>268.22000000000003</v>
      </c>
      <c r="G1988">
        <v>228.37</v>
      </c>
      <c r="H1988">
        <v>268.22000000000003</v>
      </c>
      <c r="I1988">
        <v>1600</v>
      </c>
      <c r="J1988">
        <v>10</v>
      </c>
      <c r="K1988" s="17">
        <f t="shared" si="249"/>
        <v>533.33333333333337</v>
      </c>
      <c r="L1988" t="str">
        <f t="shared" si="250"/>
        <v>Sufficuent Stock</v>
      </c>
      <c r="P1988" s="19">
        <f t="shared" si="251"/>
        <v>0</v>
      </c>
      <c r="R1988" s="19">
        <f t="shared" si="248"/>
        <v>0</v>
      </c>
      <c r="T1988" s="19">
        <f t="shared" si="252"/>
        <v>365392</v>
      </c>
      <c r="U1988" s="19">
        <f t="shared" si="253"/>
        <v>429152.00000000006</v>
      </c>
      <c r="V1988" s="21">
        <f t="shared" si="254"/>
        <v>63760.000000000058</v>
      </c>
      <c r="W1988" s="18">
        <f t="shared" si="255"/>
        <v>0.17449752594473897</v>
      </c>
    </row>
    <row r="1989" spans="1:23" x14ac:dyDescent="0.3">
      <c r="A1989" t="s">
        <v>585</v>
      </c>
      <c r="B1989" t="s">
        <v>2766</v>
      </c>
      <c r="C1989" t="s">
        <v>37</v>
      </c>
      <c r="D1989" t="s">
        <v>13</v>
      </c>
      <c r="E1989">
        <v>3295</v>
      </c>
      <c r="F1989">
        <v>63.44</v>
      </c>
      <c r="G1989">
        <v>68.94</v>
      </c>
      <c r="H1989">
        <v>63.44</v>
      </c>
      <c r="I1989">
        <v>2124</v>
      </c>
      <c r="J1989">
        <v>69</v>
      </c>
      <c r="K1989" s="17">
        <f t="shared" si="249"/>
        <v>4885.2</v>
      </c>
      <c r="L1989" t="str">
        <f t="shared" si="250"/>
        <v>High Risk</v>
      </c>
      <c r="P1989" s="19">
        <f t="shared" si="251"/>
        <v>1591</v>
      </c>
      <c r="R1989" s="19">
        <f t="shared" si="248"/>
        <v>100933.04</v>
      </c>
      <c r="T1989" s="19">
        <f t="shared" si="252"/>
        <v>146428.56</v>
      </c>
      <c r="U1989" s="19">
        <f t="shared" si="253"/>
        <v>134746.56</v>
      </c>
      <c r="V1989" s="21">
        <f t="shared" si="254"/>
        <v>-11682</v>
      </c>
      <c r="W1989" s="18">
        <f t="shared" si="255"/>
        <v>-7.9779518421816076E-2</v>
      </c>
    </row>
    <row r="1990" spans="1:23" x14ac:dyDescent="0.3">
      <c r="A1990" t="s">
        <v>275</v>
      </c>
      <c r="B1990" t="s">
        <v>2939</v>
      </c>
      <c r="C1990" t="s">
        <v>16</v>
      </c>
      <c r="D1990" t="s">
        <v>26</v>
      </c>
      <c r="E1990">
        <v>3296</v>
      </c>
      <c r="F1990">
        <v>246.39</v>
      </c>
      <c r="G1990">
        <v>244.8</v>
      </c>
      <c r="H1990">
        <v>246.39</v>
      </c>
      <c r="I1990">
        <v>180</v>
      </c>
      <c r="J1990">
        <v>9</v>
      </c>
      <c r="K1990" s="17">
        <f t="shared" si="249"/>
        <v>54</v>
      </c>
      <c r="L1990" t="str">
        <f t="shared" si="250"/>
        <v>Sufficuent Stock</v>
      </c>
      <c r="P1990" s="19">
        <f t="shared" si="251"/>
        <v>0</v>
      </c>
      <c r="R1990" s="19">
        <f t="shared" si="248"/>
        <v>0</v>
      </c>
      <c r="T1990" s="19">
        <f t="shared" si="252"/>
        <v>44064</v>
      </c>
      <c r="U1990" s="19">
        <f t="shared" si="253"/>
        <v>44350.2</v>
      </c>
      <c r="V1990" s="21">
        <f t="shared" si="254"/>
        <v>286.19999999999709</v>
      </c>
      <c r="W1990" s="18">
        <f t="shared" si="255"/>
        <v>6.4950980392156198E-3</v>
      </c>
    </row>
    <row r="1991" spans="1:23" x14ac:dyDescent="0.3">
      <c r="A1991" t="s">
        <v>876</v>
      </c>
      <c r="B1991" t="s">
        <v>1909</v>
      </c>
      <c r="C1991" t="s">
        <v>37</v>
      </c>
      <c r="D1991" t="s">
        <v>17</v>
      </c>
      <c r="E1991">
        <v>3297</v>
      </c>
      <c r="F1991">
        <v>265.39999999999998</v>
      </c>
      <c r="G1991">
        <v>252.1</v>
      </c>
      <c r="H1991">
        <v>265.39999999999998</v>
      </c>
      <c r="I1991">
        <v>418</v>
      </c>
      <c r="J1991">
        <v>64</v>
      </c>
      <c r="K1991" s="17">
        <f t="shared" si="249"/>
        <v>891.73333333333335</v>
      </c>
      <c r="L1991" t="str">
        <f t="shared" si="250"/>
        <v>Sufficuent Stock</v>
      </c>
      <c r="P1991" s="19">
        <f t="shared" si="251"/>
        <v>0</v>
      </c>
      <c r="R1991" s="19">
        <f t="shared" si="248"/>
        <v>0</v>
      </c>
      <c r="T1991" s="19">
        <f t="shared" si="252"/>
        <v>105377.8</v>
      </c>
      <c r="U1991" s="19">
        <f t="shared" si="253"/>
        <v>110937.2</v>
      </c>
      <c r="V1991" s="21">
        <f t="shared" si="254"/>
        <v>5559.3999999999942</v>
      </c>
      <c r="W1991" s="18">
        <f t="shared" si="255"/>
        <v>5.275684252280835E-2</v>
      </c>
    </row>
    <row r="1992" spans="1:23" x14ac:dyDescent="0.3">
      <c r="A1992" t="s">
        <v>498</v>
      </c>
      <c r="B1992" t="s">
        <v>3037</v>
      </c>
      <c r="C1992" t="s">
        <v>16</v>
      </c>
      <c r="D1992" t="s">
        <v>26</v>
      </c>
      <c r="E1992">
        <v>3297</v>
      </c>
      <c r="F1992">
        <v>213.39</v>
      </c>
      <c r="G1992">
        <v>210.41</v>
      </c>
      <c r="H1992">
        <v>213.39</v>
      </c>
      <c r="I1992">
        <v>3104</v>
      </c>
      <c r="J1992">
        <v>19</v>
      </c>
      <c r="K1992" s="17">
        <f t="shared" si="249"/>
        <v>1965.8666666666668</v>
      </c>
      <c r="L1992" t="str">
        <f t="shared" si="250"/>
        <v>Sufficuent Stock</v>
      </c>
      <c r="P1992" s="19">
        <f t="shared" si="251"/>
        <v>0</v>
      </c>
      <c r="R1992" s="19">
        <f t="shared" si="248"/>
        <v>0</v>
      </c>
      <c r="T1992" s="19">
        <f t="shared" si="252"/>
        <v>653112.64</v>
      </c>
      <c r="U1992" s="19">
        <f t="shared" si="253"/>
        <v>662362.55999999994</v>
      </c>
      <c r="V1992" s="21">
        <f t="shared" si="254"/>
        <v>9249.9199999999255</v>
      </c>
      <c r="W1992" s="18">
        <f t="shared" si="255"/>
        <v>1.4162824960790722E-2</v>
      </c>
    </row>
    <row r="1993" spans="1:23" x14ac:dyDescent="0.3">
      <c r="A1993" t="s">
        <v>59</v>
      </c>
      <c r="B1993" t="s">
        <v>694</v>
      </c>
      <c r="C1993" t="s">
        <v>23</v>
      </c>
      <c r="D1993" t="s">
        <v>26</v>
      </c>
      <c r="E1993">
        <v>3298</v>
      </c>
      <c r="F1993">
        <v>374.31</v>
      </c>
      <c r="G1993">
        <v>364.84</v>
      </c>
      <c r="H1993">
        <v>374.31</v>
      </c>
      <c r="I1993">
        <v>2446</v>
      </c>
      <c r="J1993">
        <v>36</v>
      </c>
      <c r="K1993" s="17">
        <f t="shared" si="249"/>
        <v>2935.2</v>
      </c>
      <c r="L1993" t="str">
        <f t="shared" si="250"/>
        <v>Sufficuent Stock</v>
      </c>
      <c r="P1993" s="19">
        <f t="shared" si="251"/>
        <v>0</v>
      </c>
      <c r="R1993" s="19">
        <f t="shared" si="248"/>
        <v>0</v>
      </c>
      <c r="T1993" s="19">
        <f t="shared" si="252"/>
        <v>892398.6399999999</v>
      </c>
      <c r="U1993" s="19">
        <f t="shared" si="253"/>
        <v>915562.26</v>
      </c>
      <c r="V1993" s="21">
        <f t="shared" si="254"/>
        <v>23163.620000000112</v>
      </c>
      <c r="W1993" s="18">
        <f t="shared" si="255"/>
        <v>2.5956583707926889E-2</v>
      </c>
    </row>
    <row r="1994" spans="1:23" x14ac:dyDescent="0.3">
      <c r="A1994" t="s">
        <v>1113</v>
      </c>
      <c r="B1994" t="s">
        <v>3153</v>
      </c>
      <c r="C1994" t="s">
        <v>12</v>
      </c>
      <c r="D1994" t="s">
        <v>13</v>
      </c>
      <c r="E1994">
        <v>3298</v>
      </c>
      <c r="F1994">
        <v>26.6</v>
      </c>
      <c r="G1994">
        <v>24.46</v>
      </c>
      <c r="H1994">
        <v>26.6</v>
      </c>
      <c r="I1994">
        <v>2088</v>
      </c>
      <c r="J1994">
        <v>11</v>
      </c>
      <c r="K1994" s="17">
        <f t="shared" si="249"/>
        <v>765.59999999999991</v>
      </c>
      <c r="L1994" t="str">
        <f t="shared" si="250"/>
        <v>Sufficuent Stock</v>
      </c>
      <c r="P1994" s="19">
        <f t="shared" si="251"/>
        <v>0</v>
      </c>
      <c r="R1994" s="19">
        <f t="shared" si="248"/>
        <v>0</v>
      </c>
      <c r="T1994" s="19">
        <f t="shared" si="252"/>
        <v>51072.480000000003</v>
      </c>
      <c r="U1994" s="19">
        <f t="shared" si="253"/>
        <v>55540.800000000003</v>
      </c>
      <c r="V1994" s="21">
        <f t="shared" si="254"/>
        <v>4468.32</v>
      </c>
      <c r="W1994" s="18">
        <f t="shared" si="255"/>
        <v>8.7489779231398196E-2</v>
      </c>
    </row>
    <row r="1995" spans="1:23" x14ac:dyDescent="0.3">
      <c r="A1995" t="s">
        <v>500</v>
      </c>
      <c r="B1995" t="s">
        <v>628</v>
      </c>
      <c r="C1995" t="s">
        <v>37</v>
      </c>
      <c r="D1995" t="s">
        <v>20</v>
      </c>
      <c r="E1995">
        <v>3298</v>
      </c>
      <c r="F1995">
        <v>280.33999999999997</v>
      </c>
      <c r="G1995">
        <v>288.19</v>
      </c>
      <c r="H1995">
        <v>280.33999999999997</v>
      </c>
      <c r="I1995">
        <v>1307</v>
      </c>
      <c r="J1995">
        <v>24</v>
      </c>
      <c r="K1995" s="17">
        <f t="shared" si="249"/>
        <v>1045.6000000000001</v>
      </c>
      <c r="L1995" t="str">
        <f t="shared" si="250"/>
        <v>Sufficuent Stock</v>
      </c>
      <c r="P1995" s="19">
        <f t="shared" si="251"/>
        <v>0</v>
      </c>
      <c r="R1995" s="19">
        <f t="shared" si="248"/>
        <v>0</v>
      </c>
      <c r="T1995" s="19">
        <f t="shared" si="252"/>
        <v>376664.33</v>
      </c>
      <c r="U1995" s="19">
        <f t="shared" si="253"/>
        <v>366404.37999999995</v>
      </c>
      <c r="V1995" s="21">
        <f t="shared" si="254"/>
        <v>-10259.95000000007</v>
      </c>
      <c r="W1995" s="18">
        <f t="shared" si="255"/>
        <v>-2.7238974287796428E-2</v>
      </c>
    </row>
    <row r="1996" spans="1:23" x14ac:dyDescent="0.3">
      <c r="A1996" t="s">
        <v>688</v>
      </c>
      <c r="B1996" t="s">
        <v>1026</v>
      </c>
      <c r="C1996" t="s">
        <v>37</v>
      </c>
      <c r="D1996" t="s">
        <v>20</v>
      </c>
      <c r="E1996">
        <v>3301</v>
      </c>
      <c r="F1996">
        <v>160.93</v>
      </c>
      <c r="G1996">
        <v>139.58000000000001</v>
      </c>
      <c r="H1996">
        <v>160.93</v>
      </c>
      <c r="I1996">
        <v>1006</v>
      </c>
      <c r="J1996">
        <v>46</v>
      </c>
      <c r="K1996" s="17">
        <f t="shared" si="249"/>
        <v>1542.5333333333333</v>
      </c>
      <c r="L1996" t="str">
        <f t="shared" si="250"/>
        <v>Sufficuent Stock</v>
      </c>
      <c r="P1996" s="19">
        <f t="shared" si="251"/>
        <v>0</v>
      </c>
      <c r="R1996" s="19">
        <f t="shared" si="248"/>
        <v>0</v>
      </c>
      <c r="T1996" s="19">
        <f t="shared" si="252"/>
        <v>140417.48000000001</v>
      </c>
      <c r="U1996" s="19">
        <f t="shared" si="253"/>
        <v>161895.58000000002</v>
      </c>
      <c r="V1996" s="21">
        <f t="shared" si="254"/>
        <v>21478.100000000006</v>
      </c>
      <c r="W1996" s="18">
        <f t="shared" si="255"/>
        <v>0.15295887662988969</v>
      </c>
    </row>
    <row r="1997" spans="1:23" x14ac:dyDescent="0.3">
      <c r="A1997" t="s">
        <v>191</v>
      </c>
      <c r="B1997" t="s">
        <v>1636</v>
      </c>
      <c r="C1997" t="s">
        <v>50</v>
      </c>
      <c r="D1997" t="s">
        <v>13</v>
      </c>
      <c r="E1997">
        <v>3301</v>
      </c>
      <c r="F1997">
        <v>357.76</v>
      </c>
      <c r="G1997">
        <v>333.25</v>
      </c>
      <c r="H1997">
        <v>357.76</v>
      </c>
      <c r="I1997">
        <v>2237</v>
      </c>
      <c r="J1997">
        <v>34</v>
      </c>
      <c r="K1997" s="17">
        <f t="shared" si="249"/>
        <v>2535.2666666666664</v>
      </c>
      <c r="L1997" t="str">
        <f t="shared" si="250"/>
        <v>Sufficuent Stock</v>
      </c>
      <c r="P1997" s="19">
        <f t="shared" si="251"/>
        <v>0</v>
      </c>
      <c r="R1997" s="19">
        <f t="shared" si="248"/>
        <v>0</v>
      </c>
      <c r="T1997" s="19">
        <f t="shared" si="252"/>
        <v>745480.25</v>
      </c>
      <c r="U1997" s="19">
        <f t="shared" si="253"/>
        <v>800309.12</v>
      </c>
      <c r="V1997" s="21">
        <f t="shared" si="254"/>
        <v>54828.869999999995</v>
      </c>
      <c r="W1997" s="18">
        <f t="shared" si="255"/>
        <v>7.3548387096774193E-2</v>
      </c>
    </row>
    <row r="1998" spans="1:23" x14ac:dyDescent="0.3">
      <c r="A1998" t="s">
        <v>14</v>
      </c>
      <c r="B1998" t="s">
        <v>403</v>
      </c>
      <c r="C1998" t="s">
        <v>50</v>
      </c>
      <c r="D1998" t="s">
        <v>13</v>
      </c>
      <c r="E1998">
        <v>3302</v>
      </c>
      <c r="F1998">
        <v>528.76</v>
      </c>
      <c r="G1998">
        <v>471.13</v>
      </c>
      <c r="H1998">
        <v>528.76</v>
      </c>
      <c r="I1998">
        <v>106</v>
      </c>
      <c r="J1998">
        <v>48</v>
      </c>
      <c r="K1998" s="17">
        <f t="shared" si="249"/>
        <v>169.6</v>
      </c>
      <c r="L1998" t="str">
        <f t="shared" si="250"/>
        <v>Sufficuent Stock</v>
      </c>
      <c r="P1998" s="19">
        <f t="shared" si="251"/>
        <v>0</v>
      </c>
      <c r="R1998" s="19">
        <f t="shared" si="248"/>
        <v>0</v>
      </c>
      <c r="T1998" s="19">
        <f t="shared" si="252"/>
        <v>49939.78</v>
      </c>
      <c r="U1998" s="19">
        <f t="shared" si="253"/>
        <v>56048.56</v>
      </c>
      <c r="V1998" s="21">
        <f t="shared" si="254"/>
        <v>6108.7799999999988</v>
      </c>
      <c r="W1998" s="18">
        <f t="shared" si="255"/>
        <v>0.1223229257317513</v>
      </c>
    </row>
    <row r="1999" spans="1:23" x14ac:dyDescent="0.3">
      <c r="A1999" t="s">
        <v>303</v>
      </c>
      <c r="B1999" t="s">
        <v>3130</v>
      </c>
      <c r="C1999" t="s">
        <v>23</v>
      </c>
      <c r="D1999" t="s">
        <v>20</v>
      </c>
      <c r="E1999">
        <v>3304</v>
      </c>
      <c r="F1999">
        <v>113.24</v>
      </c>
      <c r="G1999">
        <v>104.86</v>
      </c>
      <c r="H1999">
        <v>113.24</v>
      </c>
      <c r="I1999">
        <v>2209</v>
      </c>
      <c r="J1999">
        <v>35</v>
      </c>
      <c r="K1999" s="17">
        <f t="shared" si="249"/>
        <v>2577.166666666667</v>
      </c>
      <c r="L1999" t="str">
        <f t="shared" si="250"/>
        <v>Sufficuent Stock</v>
      </c>
      <c r="P1999" s="19">
        <f t="shared" si="251"/>
        <v>0</v>
      </c>
      <c r="R1999" s="19">
        <f t="shared" si="248"/>
        <v>0</v>
      </c>
      <c r="T1999" s="19">
        <f t="shared" si="252"/>
        <v>231635.74</v>
      </c>
      <c r="U1999" s="19">
        <f t="shared" si="253"/>
        <v>250147.15999999997</v>
      </c>
      <c r="V1999" s="21">
        <f t="shared" si="254"/>
        <v>18511.419999999984</v>
      </c>
      <c r="W1999" s="18">
        <f t="shared" si="255"/>
        <v>7.9916078580965028E-2</v>
      </c>
    </row>
    <row r="2000" spans="1:23" x14ac:dyDescent="0.3">
      <c r="A2000" t="s">
        <v>1835</v>
      </c>
      <c r="B2000" t="s">
        <v>3183</v>
      </c>
      <c r="C2000" t="s">
        <v>16</v>
      </c>
      <c r="D2000" t="s">
        <v>17</v>
      </c>
      <c r="E2000">
        <v>3305</v>
      </c>
      <c r="F2000">
        <v>104.47</v>
      </c>
      <c r="G2000">
        <v>91.73</v>
      </c>
      <c r="H2000">
        <v>104.47</v>
      </c>
      <c r="I2000">
        <v>1095</v>
      </c>
      <c r="J2000">
        <v>11</v>
      </c>
      <c r="K2000" s="17">
        <f t="shared" si="249"/>
        <v>401.5</v>
      </c>
      <c r="L2000" t="str">
        <f t="shared" si="250"/>
        <v>Sufficuent Stock</v>
      </c>
      <c r="P2000" s="19">
        <f t="shared" si="251"/>
        <v>0</v>
      </c>
      <c r="R2000" s="19">
        <f t="shared" si="248"/>
        <v>0</v>
      </c>
      <c r="T2000" s="19">
        <f t="shared" si="252"/>
        <v>100444.35</v>
      </c>
      <c r="U2000" s="19">
        <f t="shared" si="253"/>
        <v>114394.65</v>
      </c>
      <c r="V2000" s="21">
        <f t="shared" si="254"/>
        <v>13950.299999999988</v>
      </c>
      <c r="W2000" s="18">
        <f t="shared" si="255"/>
        <v>0.13888586067807684</v>
      </c>
    </row>
    <row r="2001" spans="1:23" x14ac:dyDescent="0.3">
      <c r="A2001" t="s">
        <v>349</v>
      </c>
      <c r="B2001" t="s">
        <v>2159</v>
      </c>
      <c r="C2001" t="s">
        <v>12</v>
      </c>
      <c r="D2001" t="s">
        <v>69</v>
      </c>
      <c r="E2001">
        <v>3305</v>
      </c>
      <c r="F2001">
        <v>104.52</v>
      </c>
      <c r="G2001">
        <v>108.85</v>
      </c>
      <c r="H2001">
        <v>104.52</v>
      </c>
      <c r="I2001">
        <v>1234</v>
      </c>
      <c r="J2001">
        <v>15</v>
      </c>
      <c r="K2001" s="17">
        <f t="shared" si="249"/>
        <v>617</v>
      </c>
      <c r="L2001" t="str">
        <f t="shared" si="250"/>
        <v>Sufficuent Stock</v>
      </c>
      <c r="P2001" s="19">
        <f t="shared" si="251"/>
        <v>0</v>
      </c>
      <c r="R2001" s="19">
        <f t="shared" si="248"/>
        <v>0</v>
      </c>
      <c r="T2001" s="19">
        <f t="shared" si="252"/>
        <v>134320.9</v>
      </c>
      <c r="U2001" s="19">
        <f t="shared" si="253"/>
        <v>128977.68</v>
      </c>
      <c r="V2001" s="21">
        <f t="shared" si="254"/>
        <v>-5343.2200000000012</v>
      </c>
      <c r="W2001" s="18">
        <f t="shared" si="255"/>
        <v>-3.9779513091410208E-2</v>
      </c>
    </row>
    <row r="2002" spans="1:23" x14ac:dyDescent="0.3">
      <c r="A2002" t="s">
        <v>168</v>
      </c>
      <c r="B2002" t="s">
        <v>2062</v>
      </c>
      <c r="C2002" t="s">
        <v>50</v>
      </c>
      <c r="D2002" t="s">
        <v>20</v>
      </c>
      <c r="E2002">
        <v>3305</v>
      </c>
      <c r="F2002">
        <v>55.11</v>
      </c>
      <c r="G2002">
        <v>54.67</v>
      </c>
      <c r="H2002">
        <v>55.11</v>
      </c>
      <c r="I2002">
        <v>3170</v>
      </c>
      <c r="J2002">
        <v>80</v>
      </c>
      <c r="K2002" s="17">
        <f t="shared" si="249"/>
        <v>8453.3333333333339</v>
      </c>
      <c r="L2002" t="str">
        <f t="shared" si="250"/>
        <v>High Risk</v>
      </c>
      <c r="P2002" s="19">
        <f t="shared" si="251"/>
        <v>5149</v>
      </c>
      <c r="R2002" s="19">
        <f t="shared" si="248"/>
        <v>283761.39</v>
      </c>
      <c r="T2002" s="19">
        <f t="shared" si="252"/>
        <v>173303.9</v>
      </c>
      <c r="U2002" s="19">
        <f t="shared" si="253"/>
        <v>174698.7</v>
      </c>
      <c r="V2002" s="21">
        <f t="shared" si="254"/>
        <v>1394.8000000000175</v>
      </c>
      <c r="W2002" s="18">
        <f t="shared" si="255"/>
        <v>8.0482897384306848E-3</v>
      </c>
    </row>
    <row r="2003" spans="1:23" x14ac:dyDescent="0.3">
      <c r="A2003" t="s">
        <v>27</v>
      </c>
      <c r="B2003" t="s">
        <v>28</v>
      </c>
      <c r="C2003" t="s">
        <v>16</v>
      </c>
      <c r="D2003" t="s">
        <v>26</v>
      </c>
      <c r="E2003">
        <v>3307</v>
      </c>
      <c r="F2003">
        <v>69.27</v>
      </c>
      <c r="G2003">
        <v>61.23</v>
      </c>
      <c r="H2003">
        <v>69.27</v>
      </c>
      <c r="I2003">
        <v>3880</v>
      </c>
      <c r="J2003">
        <v>67</v>
      </c>
      <c r="K2003" s="17">
        <f t="shared" si="249"/>
        <v>8665.3333333333339</v>
      </c>
      <c r="L2003" t="str">
        <f t="shared" si="250"/>
        <v>High Risk</v>
      </c>
      <c r="P2003" s="19">
        <f t="shared" si="251"/>
        <v>5359</v>
      </c>
      <c r="R2003" s="19">
        <f t="shared" si="248"/>
        <v>371217.93</v>
      </c>
      <c r="T2003" s="19">
        <f t="shared" si="252"/>
        <v>237572.4</v>
      </c>
      <c r="U2003" s="19">
        <f t="shared" si="253"/>
        <v>268767.59999999998</v>
      </c>
      <c r="V2003" s="21">
        <f t="shared" si="254"/>
        <v>31195.199999999983</v>
      </c>
      <c r="W2003" s="18">
        <f t="shared" si="255"/>
        <v>0.1313081822635962</v>
      </c>
    </row>
    <row r="2004" spans="1:23" x14ac:dyDescent="0.3">
      <c r="A2004" t="s">
        <v>29</v>
      </c>
      <c r="B2004" t="s">
        <v>2199</v>
      </c>
      <c r="C2004" t="s">
        <v>23</v>
      </c>
      <c r="D2004" t="s">
        <v>26</v>
      </c>
      <c r="E2004">
        <v>3308</v>
      </c>
      <c r="F2004">
        <v>70.56</v>
      </c>
      <c r="G2004">
        <v>63.62</v>
      </c>
      <c r="H2004">
        <v>70.56</v>
      </c>
      <c r="I2004">
        <v>1428</v>
      </c>
      <c r="J2004">
        <v>62</v>
      </c>
      <c r="K2004" s="17">
        <f t="shared" si="249"/>
        <v>2951.2000000000003</v>
      </c>
      <c r="L2004" t="str">
        <f t="shared" si="250"/>
        <v>Sufficuent Stock</v>
      </c>
      <c r="P2004" s="19">
        <f t="shared" si="251"/>
        <v>0</v>
      </c>
      <c r="R2004" s="19">
        <f t="shared" si="248"/>
        <v>0</v>
      </c>
      <c r="T2004" s="19">
        <f t="shared" si="252"/>
        <v>90849.36</v>
      </c>
      <c r="U2004" s="19">
        <f t="shared" si="253"/>
        <v>100759.68000000001</v>
      </c>
      <c r="V2004" s="21">
        <f t="shared" si="254"/>
        <v>9910.320000000007</v>
      </c>
      <c r="W2004" s="18">
        <f t="shared" si="255"/>
        <v>0.10908519333542918</v>
      </c>
    </row>
    <row r="2005" spans="1:23" x14ac:dyDescent="0.3">
      <c r="A2005" t="s">
        <v>262</v>
      </c>
      <c r="B2005" t="s">
        <v>2553</v>
      </c>
      <c r="C2005" t="s">
        <v>12</v>
      </c>
      <c r="D2005" t="s">
        <v>13</v>
      </c>
      <c r="E2005">
        <v>3308</v>
      </c>
      <c r="F2005">
        <v>48.45</v>
      </c>
      <c r="G2005">
        <v>47.59</v>
      </c>
      <c r="H2005">
        <v>48.45</v>
      </c>
      <c r="I2005">
        <v>85</v>
      </c>
      <c r="J2005">
        <v>37</v>
      </c>
      <c r="K2005" s="17">
        <f t="shared" si="249"/>
        <v>104.83333333333334</v>
      </c>
      <c r="L2005" t="str">
        <f t="shared" si="250"/>
        <v>Sufficuent Stock</v>
      </c>
      <c r="P2005" s="19">
        <f t="shared" si="251"/>
        <v>0</v>
      </c>
      <c r="R2005" s="19">
        <f t="shared" si="248"/>
        <v>0</v>
      </c>
      <c r="T2005" s="19">
        <f t="shared" si="252"/>
        <v>4045.15</v>
      </c>
      <c r="U2005" s="19">
        <f t="shared" si="253"/>
        <v>4118.25</v>
      </c>
      <c r="V2005" s="21">
        <f t="shared" si="254"/>
        <v>73.099999999999909</v>
      </c>
      <c r="W2005" s="18">
        <f t="shared" si="255"/>
        <v>1.8071023324227758E-2</v>
      </c>
    </row>
    <row r="2006" spans="1:23" x14ac:dyDescent="0.3">
      <c r="A2006" t="s">
        <v>472</v>
      </c>
      <c r="B2006" t="s">
        <v>473</v>
      </c>
      <c r="C2006" t="s">
        <v>12</v>
      </c>
      <c r="D2006" t="s">
        <v>13</v>
      </c>
      <c r="E2006">
        <v>3311</v>
      </c>
      <c r="F2006">
        <v>98.9</v>
      </c>
      <c r="G2006">
        <v>102.16</v>
      </c>
      <c r="H2006">
        <v>98.9</v>
      </c>
      <c r="I2006">
        <v>3276</v>
      </c>
      <c r="J2006">
        <v>16</v>
      </c>
      <c r="K2006" s="17">
        <f t="shared" si="249"/>
        <v>1747.2</v>
      </c>
      <c r="L2006" t="str">
        <f t="shared" si="250"/>
        <v>Sufficuent Stock</v>
      </c>
      <c r="P2006" s="19">
        <f t="shared" si="251"/>
        <v>0</v>
      </c>
      <c r="R2006" s="19">
        <f t="shared" si="248"/>
        <v>0</v>
      </c>
      <c r="T2006" s="19">
        <f t="shared" si="252"/>
        <v>334676.15999999997</v>
      </c>
      <c r="U2006" s="19">
        <f t="shared" si="253"/>
        <v>323996.40000000002</v>
      </c>
      <c r="V2006" s="21">
        <f t="shared" si="254"/>
        <v>-10679.759999999951</v>
      </c>
      <c r="W2006" s="18">
        <f t="shared" si="255"/>
        <v>-3.1910728269381218E-2</v>
      </c>
    </row>
    <row r="2007" spans="1:23" x14ac:dyDescent="0.3">
      <c r="A2007" t="s">
        <v>1240</v>
      </c>
      <c r="B2007" t="s">
        <v>1347</v>
      </c>
      <c r="C2007" t="s">
        <v>12</v>
      </c>
      <c r="D2007" t="s">
        <v>17</v>
      </c>
      <c r="E2007">
        <v>3311</v>
      </c>
      <c r="F2007">
        <v>69.48</v>
      </c>
      <c r="G2007">
        <v>76.09</v>
      </c>
      <c r="H2007">
        <v>69.48</v>
      </c>
      <c r="I2007">
        <v>3708</v>
      </c>
      <c r="J2007">
        <v>78</v>
      </c>
      <c r="K2007" s="17">
        <f t="shared" si="249"/>
        <v>9640.7999999999993</v>
      </c>
      <c r="L2007" t="str">
        <f t="shared" si="250"/>
        <v>High Risk</v>
      </c>
      <c r="P2007" s="19">
        <f t="shared" si="251"/>
        <v>6330</v>
      </c>
      <c r="R2007" s="19">
        <f t="shared" si="248"/>
        <v>439808.4</v>
      </c>
      <c r="T2007" s="19">
        <f t="shared" si="252"/>
        <v>282141.72000000003</v>
      </c>
      <c r="U2007" s="19">
        <f t="shared" si="253"/>
        <v>257631.84000000003</v>
      </c>
      <c r="V2007" s="21">
        <f t="shared" si="254"/>
        <v>-24509.880000000005</v>
      </c>
      <c r="W2007" s="18">
        <f t="shared" si="255"/>
        <v>-8.6870810881850447E-2</v>
      </c>
    </row>
    <row r="2008" spans="1:23" x14ac:dyDescent="0.3">
      <c r="A2008" t="s">
        <v>1542</v>
      </c>
      <c r="B2008" t="s">
        <v>2047</v>
      </c>
      <c r="C2008" t="s">
        <v>16</v>
      </c>
      <c r="D2008" t="s">
        <v>20</v>
      </c>
      <c r="E2008">
        <v>3312</v>
      </c>
      <c r="F2008">
        <v>63.16</v>
      </c>
      <c r="G2008">
        <v>53.69</v>
      </c>
      <c r="H2008">
        <v>63.16</v>
      </c>
      <c r="I2008">
        <v>1482</v>
      </c>
      <c r="J2008">
        <v>47</v>
      </c>
      <c r="K2008" s="17">
        <f t="shared" si="249"/>
        <v>2321.7999999999997</v>
      </c>
      <c r="L2008" t="str">
        <f t="shared" si="250"/>
        <v>Sufficuent Stock</v>
      </c>
      <c r="P2008" s="19">
        <f t="shared" si="251"/>
        <v>0</v>
      </c>
      <c r="R2008" s="19">
        <f t="shared" si="248"/>
        <v>0</v>
      </c>
      <c r="T2008" s="19">
        <f t="shared" si="252"/>
        <v>79568.58</v>
      </c>
      <c r="U2008" s="19">
        <f t="shared" si="253"/>
        <v>93603.12</v>
      </c>
      <c r="V2008" s="21">
        <f t="shared" si="254"/>
        <v>14034.539999999994</v>
      </c>
      <c r="W2008" s="18">
        <f t="shared" si="255"/>
        <v>0.1763829390948034</v>
      </c>
    </row>
    <row r="2009" spans="1:23" x14ac:dyDescent="0.3">
      <c r="A2009" t="s">
        <v>38</v>
      </c>
      <c r="B2009" t="s">
        <v>3187</v>
      </c>
      <c r="C2009" t="s">
        <v>37</v>
      </c>
      <c r="D2009" t="s">
        <v>17</v>
      </c>
      <c r="E2009">
        <v>3314</v>
      </c>
      <c r="F2009">
        <v>175.55</v>
      </c>
      <c r="G2009">
        <v>146.5</v>
      </c>
      <c r="H2009">
        <v>175.55</v>
      </c>
      <c r="I2009">
        <v>826</v>
      </c>
      <c r="J2009">
        <v>56</v>
      </c>
      <c r="K2009" s="17">
        <f t="shared" si="249"/>
        <v>1541.8666666666668</v>
      </c>
      <c r="L2009" t="str">
        <f t="shared" si="250"/>
        <v>Sufficuent Stock</v>
      </c>
      <c r="P2009" s="19">
        <f t="shared" si="251"/>
        <v>0</v>
      </c>
      <c r="R2009" s="19">
        <f t="shared" si="248"/>
        <v>0</v>
      </c>
      <c r="T2009" s="19">
        <f t="shared" si="252"/>
        <v>121009</v>
      </c>
      <c r="U2009" s="19">
        <f t="shared" si="253"/>
        <v>145004.30000000002</v>
      </c>
      <c r="V2009" s="21">
        <f t="shared" si="254"/>
        <v>23995.300000000017</v>
      </c>
      <c r="W2009" s="18">
        <f t="shared" si="255"/>
        <v>0.19829351535836193</v>
      </c>
    </row>
    <row r="2010" spans="1:23" x14ac:dyDescent="0.3">
      <c r="A2010" t="s">
        <v>629</v>
      </c>
      <c r="B2010" t="s">
        <v>3177</v>
      </c>
      <c r="C2010" t="s">
        <v>23</v>
      </c>
      <c r="D2010" t="s">
        <v>20</v>
      </c>
      <c r="E2010">
        <v>3314</v>
      </c>
      <c r="F2010">
        <v>142.04</v>
      </c>
      <c r="G2010">
        <v>123.24</v>
      </c>
      <c r="H2010">
        <v>142.04</v>
      </c>
      <c r="I2010">
        <v>3393</v>
      </c>
      <c r="J2010">
        <v>20</v>
      </c>
      <c r="K2010" s="17">
        <f t="shared" si="249"/>
        <v>2262</v>
      </c>
      <c r="L2010" t="str">
        <f t="shared" si="250"/>
        <v>Sufficuent Stock</v>
      </c>
      <c r="P2010" s="19">
        <f t="shared" si="251"/>
        <v>0</v>
      </c>
      <c r="R2010" s="19">
        <f t="shared" si="248"/>
        <v>0</v>
      </c>
      <c r="T2010" s="19">
        <f t="shared" si="252"/>
        <v>418153.32</v>
      </c>
      <c r="U2010" s="19">
        <f t="shared" si="253"/>
        <v>481941.72</v>
      </c>
      <c r="V2010" s="21">
        <f t="shared" si="254"/>
        <v>63788.399999999965</v>
      </c>
      <c r="W2010" s="18">
        <f t="shared" si="255"/>
        <v>0.15254787406686132</v>
      </c>
    </row>
    <row r="2011" spans="1:23" x14ac:dyDescent="0.3">
      <c r="A2011" t="s">
        <v>1102</v>
      </c>
      <c r="B2011" t="s">
        <v>1734</v>
      </c>
      <c r="C2011" t="s">
        <v>50</v>
      </c>
      <c r="D2011" t="s">
        <v>13</v>
      </c>
      <c r="E2011">
        <v>3322</v>
      </c>
      <c r="F2011">
        <v>241.35</v>
      </c>
      <c r="G2011">
        <v>259.83</v>
      </c>
      <c r="H2011">
        <v>241.35</v>
      </c>
      <c r="I2011">
        <v>1821</v>
      </c>
      <c r="J2011">
        <v>61</v>
      </c>
      <c r="K2011" s="17">
        <f t="shared" si="249"/>
        <v>3702.7000000000003</v>
      </c>
      <c r="L2011" t="str">
        <f t="shared" si="250"/>
        <v>High Risk</v>
      </c>
      <c r="P2011" s="19">
        <f t="shared" si="251"/>
        <v>381</v>
      </c>
      <c r="R2011" s="19">
        <f t="shared" si="248"/>
        <v>91954.349999999991</v>
      </c>
      <c r="T2011" s="19">
        <f t="shared" si="252"/>
        <v>473150.43</v>
      </c>
      <c r="U2011" s="19">
        <f t="shared" si="253"/>
        <v>439498.35</v>
      </c>
      <c r="V2011" s="21">
        <f t="shared" si="254"/>
        <v>-33652.080000000016</v>
      </c>
      <c r="W2011" s="18">
        <f t="shared" si="255"/>
        <v>-7.1123426856021285E-2</v>
      </c>
    </row>
    <row r="2012" spans="1:23" x14ac:dyDescent="0.3">
      <c r="A2012" t="s">
        <v>352</v>
      </c>
      <c r="B2012" t="s">
        <v>3081</v>
      </c>
      <c r="C2012" t="s">
        <v>12</v>
      </c>
      <c r="D2012" t="s">
        <v>17</v>
      </c>
      <c r="E2012">
        <v>3322</v>
      </c>
      <c r="F2012">
        <v>271.2</v>
      </c>
      <c r="G2012">
        <v>260.94</v>
      </c>
      <c r="H2012">
        <v>271.2</v>
      </c>
      <c r="I2012">
        <v>748</v>
      </c>
      <c r="J2012">
        <v>28</v>
      </c>
      <c r="K2012" s="17">
        <f t="shared" si="249"/>
        <v>698.13333333333333</v>
      </c>
      <c r="L2012" t="str">
        <f t="shared" si="250"/>
        <v>Sufficuent Stock</v>
      </c>
      <c r="P2012" s="19">
        <f t="shared" si="251"/>
        <v>0</v>
      </c>
      <c r="R2012" s="19">
        <f t="shared" si="248"/>
        <v>0</v>
      </c>
      <c r="T2012" s="19">
        <f t="shared" si="252"/>
        <v>195183.12</v>
      </c>
      <c r="U2012" s="19">
        <f t="shared" si="253"/>
        <v>202857.60000000001</v>
      </c>
      <c r="V2012" s="21">
        <f t="shared" si="254"/>
        <v>7674.4800000000105</v>
      </c>
      <c r="W2012" s="18">
        <f t="shared" si="255"/>
        <v>3.931938376638313E-2</v>
      </c>
    </row>
    <row r="2013" spans="1:23" x14ac:dyDescent="0.3">
      <c r="A2013" t="s">
        <v>1273</v>
      </c>
      <c r="B2013" t="s">
        <v>1882</v>
      </c>
      <c r="C2013" t="s">
        <v>16</v>
      </c>
      <c r="D2013" t="s">
        <v>26</v>
      </c>
      <c r="E2013">
        <v>3325</v>
      </c>
      <c r="F2013">
        <v>290.04000000000002</v>
      </c>
      <c r="G2013">
        <v>275.58</v>
      </c>
      <c r="H2013">
        <v>290.04000000000002</v>
      </c>
      <c r="I2013">
        <v>1475</v>
      </c>
      <c r="J2013">
        <v>87</v>
      </c>
      <c r="K2013" s="17">
        <f t="shared" si="249"/>
        <v>4277.5</v>
      </c>
      <c r="L2013" t="str">
        <f t="shared" si="250"/>
        <v>High Risk</v>
      </c>
      <c r="P2013" s="19">
        <f t="shared" si="251"/>
        <v>953</v>
      </c>
      <c r="R2013" s="19">
        <f t="shared" si="248"/>
        <v>276408.12</v>
      </c>
      <c r="T2013" s="19">
        <f t="shared" si="252"/>
        <v>406480.5</v>
      </c>
      <c r="U2013" s="19">
        <f t="shared" si="253"/>
        <v>427809.00000000006</v>
      </c>
      <c r="V2013" s="21">
        <f t="shared" si="254"/>
        <v>21328.500000000058</v>
      </c>
      <c r="W2013" s="18">
        <f t="shared" si="255"/>
        <v>5.2471151752667249E-2</v>
      </c>
    </row>
    <row r="2014" spans="1:23" x14ac:dyDescent="0.3">
      <c r="A2014" t="s">
        <v>105</v>
      </c>
      <c r="B2014" t="s">
        <v>1659</v>
      </c>
      <c r="C2014" t="s">
        <v>50</v>
      </c>
      <c r="D2014" t="s">
        <v>17</v>
      </c>
      <c r="E2014">
        <v>3326</v>
      </c>
      <c r="F2014">
        <v>304.68</v>
      </c>
      <c r="G2014">
        <v>311.02999999999997</v>
      </c>
      <c r="H2014">
        <v>304.68</v>
      </c>
      <c r="I2014">
        <v>2782</v>
      </c>
      <c r="J2014">
        <v>22</v>
      </c>
      <c r="K2014" s="17">
        <f t="shared" si="249"/>
        <v>2040.1333333333334</v>
      </c>
      <c r="L2014" t="str">
        <f t="shared" si="250"/>
        <v>Sufficuent Stock</v>
      </c>
      <c r="P2014" s="19">
        <f t="shared" si="251"/>
        <v>0</v>
      </c>
      <c r="R2014" s="19">
        <f t="shared" si="248"/>
        <v>0</v>
      </c>
      <c r="T2014" s="19">
        <f t="shared" si="252"/>
        <v>865285.46</v>
      </c>
      <c r="U2014" s="19">
        <f t="shared" si="253"/>
        <v>847619.76</v>
      </c>
      <c r="V2014" s="21">
        <f t="shared" si="254"/>
        <v>-17665.699999999953</v>
      </c>
      <c r="W2014" s="18">
        <f t="shared" si="255"/>
        <v>-2.041603703822777E-2</v>
      </c>
    </row>
    <row r="2015" spans="1:23" x14ac:dyDescent="0.3">
      <c r="A2015" t="s">
        <v>668</v>
      </c>
      <c r="B2015" t="s">
        <v>669</v>
      </c>
      <c r="C2015" t="s">
        <v>23</v>
      </c>
      <c r="D2015" t="s">
        <v>17</v>
      </c>
      <c r="E2015">
        <v>3327</v>
      </c>
      <c r="F2015">
        <v>249.69</v>
      </c>
      <c r="G2015">
        <v>270.49</v>
      </c>
      <c r="H2015">
        <v>249.69</v>
      </c>
      <c r="I2015">
        <v>150</v>
      </c>
      <c r="J2015">
        <v>78</v>
      </c>
      <c r="K2015" s="17">
        <f t="shared" si="249"/>
        <v>390</v>
      </c>
      <c r="L2015" t="str">
        <f t="shared" si="250"/>
        <v>Sufficuent Stock</v>
      </c>
      <c r="P2015" s="19">
        <f t="shared" si="251"/>
        <v>0</v>
      </c>
      <c r="R2015" s="19">
        <f t="shared" si="248"/>
        <v>0</v>
      </c>
      <c r="T2015" s="19">
        <f t="shared" si="252"/>
        <v>40573.5</v>
      </c>
      <c r="U2015" s="19">
        <f t="shared" si="253"/>
        <v>37453.5</v>
      </c>
      <c r="V2015" s="21">
        <f t="shared" si="254"/>
        <v>-3120</v>
      </c>
      <c r="W2015" s="18">
        <f t="shared" si="255"/>
        <v>-7.6897482346852009E-2</v>
      </c>
    </row>
    <row r="2016" spans="1:23" x14ac:dyDescent="0.3">
      <c r="A2016" t="s">
        <v>288</v>
      </c>
      <c r="B2016" t="s">
        <v>532</v>
      </c>
      <c r="C2016" t="s">
        <v>37</v>
      </c>
      <c r="D2016" t="s">
        <v>17</v>
      </c>
      <c r="E2016">
        <v>3330</v>
      </c>
      <c r="F2016">
        <v>208.97</v>
      </c>
      <c r="G2016">
        <v>182.98</v>
      </c>
      <c r="H2016">
        <v>208.97</v>
      </c>
      <c r="I2016">
        <v>3844</v>
      </c>
      <c r="J2016">
        <v>24</v>
      </c>
      <c r="K2016" s="17">
        <f t="shared" si="249"/>
        <v>3075.2</v>
      </c>
      <c r="L2016" t="str">
        <f t="shared" si="250"/>
        <v>Sufficuent Stock</v>
      </c>
      <c r="P2016" s="19">
        <f t="shared" si="251"/>
        <v>0</v>
      </c>
      <c r="R2016" s="19">
        <f t="shared" si="248"/>
        <v>0</v>
      </c>
      <c r="T2016" s="19">
        <f t="shared" si="252"/>
        <v>703375.12</v>
      </c>
      <c r="U2016" s="19">
        <f t="shared" si="253"/>
        <v>803280.68</v>
      </c>
      <c r="V2016" s="21">
        <f t="shared" si="254"/>
        <v>99905.560000000056</v>
      </c>
      <c r="W2016" s="18">
        <f t="shared" si="255"/>
        <v>0.14203738113455031</v>
      </c>
    </row>
    <row r="2017" spans="1:23" x14ac:dyDescent="0.3">
      <c r="A2017" t="s">
        <v>737</v>
      </c>
      <c r="B2017" t="s">
        <v>2662</v>
      </c>
      <c r="C2017" t="s">
        <v>12</v>
      </c>
      <c r="D2017" t="s">
        <v>20</v>
      </c>
      <c r="E2017">
        <v>3330</v>
      </c>
      <c r="F2017">
        <v>389.33</v>
      </c>
      <c r="G2017">
        <v>360.41</v>
      </c>
      <c r="H2017">
        <v>389.33</v>
      </c>
      <c r="I2017">
        <v>2254</v>
      </c>
      <c r="J2017">
        <v>18</v>
      </c>
      <c r="K2017" s="17">
        <f t="shared" si="249"/>
        <v>1352.4</v>
      </c>
      <c r="L2017" t="str">
        <f t="shared" si="250"/>
        <v>Sufficuent Stock</v>
      </c>
      <c r="P2017" s="19">
        <f t="shared" si="251"/>
        <v>0</v>
      </c>
      <c r="R2017" s="19">
        <f t="shared" si="248"/>
        <v>0</v>
      </c>
      <c r="T2017" s="19">
        <f t="shared" si="252"/>
        <v>812364.14</v>
      </c>
      <c r="U2017" s="19">
        <f t="shared" si="253"/>
        <v>877549.82</v>
      </c>
      <c r="V2017" s="21">
        <f t="shared" si="254"/>
        <v>65185.679999999935</v>
      </c>
      <c r="W2017" s="18">
        <f t="shared" si="255"/>
        <v>8.0241946671845865E-2</v>
      </c>
    </row>
    <row r="2018" spans="1:23" x14ac:dyDescent="0.3">
      <c r="A2018" t="s">
        <v>33</v>
      </c>
      <c r="B2018" t="s">
        <v>34</v>
      </c>
      <c r="C2018" t="s">
        <v>16</v>
      </c>
      <c r="D2018" t="s">
        <v>20</v>
      </c>
      <c r="E2018">
        <v>3335</v>
      </c>
      <c r="F2018">
        <v>295.52</v>
      </c>
      <c r="G2018">
        <v>301.25</v>
      </c>
      <c r="H2018">
        <v>295.52</v>
      </c>
      <c r="I2018">
        <v>3269</v>
      </c>
      <c r="J2018">
        <v>15</v>
      </c>
      <c r="K2018" s="17">
        <f t="shared" si="249"/>
        <v>1634.5</v>
      </c>
      <c r="L2018" t="str">
        <f t="shared" si="250"/>
        <v>Sufficuent Stock</v>
      </c>
      <c r="P2018" s="19">
        <f t="shared" si="251"/>
        <v>0</v>
      </c>
      <c r="R2018" s="19">
        <f t="shared" si="248"/>
        <v>0</v>
      </c>
      <c r="T2018" s="19">
        <f t="shared" si="252"/>
        <v>984786.25</v>
      </c>
      <c r="U2018" s="19">
        <f t="shared" si="253"/>
        <v>966054.87999999989</v>
      </c>
      <c r="V2018" s="21">
        <f t="shared" si="254"/>
        <v>-18731.370000000112</v>
      </c>
      <c r="W2018" s="18">
        <f t="shared" si="255"/>
        <v>-1.9020746887966917E-2</v>
      </c>
    </row>
    <row r="2019" spans="1:23" x14ac:dyDescent="0.3">
      <c r="A2019" t="s">
        <v>18</v>
      </c>
      <c r="B2019" t="s">
        <v>3024</v>
      </c>
      <c r="C2019" t="s">
        <v>50</v>
      </c>
      <c r="D2019" t="s">
        <v>26</v>
      </c>
      <c r="E2019">
        <v>3335</v>
      </c>
      <c r="F2019">
        <v>444.28</v>
      </c>
      <c r="G2019">
        <v>419.43</v>
      </c>
      <c r="H2019">
        <v>444.28</v>
      </c>
      <c r="I2019">
        <v>3245</v>
      </c>
      <c r="J2019">
        <v>54</v>
      </c>
      <c r="K2019" s="17">
        <f t="shared" si="249"/>
        <v>5841</v>
      </c>
      <c r="L2019" t="str">
        <f t="shared" si="250"/>
        <v>High Risk</v>
      </c>
      <c r="P2019" s="19">
        <f t="shared" si="251"/>
        <v>2506</v>
      </c>
      <c r="R2019" s="19">
        <f t="shared" si="248"/>
        <v>1113365.68</v>
      </c>
      <c r="T2019" s="19">
        <f t="shared" si="252"/>
        <v>1361050.35</v>
      </c>
      <c r="U2019" s="19">
        <f t="shared" si="253"/>
        <v>1441688.5999999999</v>
      </c>
      <c r="V2019" s="21">
        <f t="shared" si="254"/>
        <v>80638.249999999767</v>
      </c>
      <c r="W2019" s="18">
        <f t="shared" si="255"/>
        <v>5.9247073409150336E-2</v>
      </c>
    </row>
    <row r="2020" spans="1:23" x14ac:dyDescent="0.3">
      <c r="A2020" t="s">
        <v>1074</v>
      </c>
      <c r="B2020" t="s">
        <v>2760</v>
      </c>
      <c r="C2020" t="s">
        <v>23</v>
      </c>
      <c r="D2020" t="s">
        <v>69</v>
      </c>
      <c r="E2020">
        <v>3336</v>
      </c>
      <c r="F2020">
        <v>202.7</v>
      </c>
      <c r="G2020">
        <v>219.45</v>
      </c>
      <c r="H2020">
        <v>202.7</v>
      </c>
      <c r="I2020">
        <v>2698</v>
      </c>
      <c r="J2020">
        <v>41</v>
      </c>
      <c r="K2020" s="17">
        <f t="shared" si="249"/>
        <v>3687.2666666666669</v>
      </c>
      <c r="L2020" t="str">
        <f t="shared" si="250"/>
        <v>High Risk</v>
      </c>
      <c r="P2020" s="19">
        <f t="shared" si="251"/>
        <v>352</v>
      </c>
      <c r="R2020" s="19">
        <f t="shared" si="248"/>
        <v>71350.399999999994</v>
      </c>
      <c r="T2020" s="19">
        <f t="shared" si="252"/>
        <v>592076.1</v>
      </c>
      <c r="U2020" s="19">
        <f t="shared" si="253"/>
        <v>546884.6</v>
      </c>
      <c r="V2020" s="21">
        <f t="shared" si="254"/>
        <v>-45191.5</v>
      </c>
      <c r="W2020" s="18">
        <f t="shared" si="255"/>
        <v>-7.6327181590339493E-2</v>
      </c>
    </row>
    <row r="2021" spans="1:23" x14ac:dyDescent="0.3">
      <c r="A2021" t="s">
        <v>320</v>
      </c>
      <c r="B2021" t="s">
        <v>640</v>
      </c>
      <c r="C2021" t="s">
        <v>37</v>
      </c>
      <c r="D2021" t="s">
        <v>17</v>
      </c>
      <c r="E2021">
        <v>3337</v>
      </c>
      <c r="F2021">
        <v>413.24</v>
      </c>
      <c r="G2021">
        <v>363.95</v>
      </c>
      <c r="H2021">
        <v>413.24</v>
      </c>
      <c r="I2021">
        <v>1521</v>
      </c>
      <c r="J2021">
        <v>33</v>
      </c>
      <c r="K2021" s="17">
        <f t="shared" si="249"/>
        <v>1673.1000000000001</v>
      </c>
      <c r="L2021" t="str">
        <f t="shared" si="250"/>
        <v>Sufficuent Stock</v>
      </c>
      <c r="P2021" s="19">
        <f t="shared" si="251"/>
        <v>0</v>
      </c>
      <c r="R2021" s="19">
        <f t="shared" si="248"/>
        <v>0</v>
      </c>
      <c r="T2021" s="19">
        <f t="shared" si="252"/>
        <v>553567.94999999995</v>
      </c>
      <c r="U2021" s="19">
        <f t="shared" si="253"/>
        <v>628538.04</v>
      </c>
      <c r="V2021" s="21">
        <f t="shared" si="254"/>
        <v>74970.090000000084</v>
      </c>
      <c r="W2021" s="18">
        <f t="shared" si="255"/>
        <v>0.13543069102898767</v>
      </c>
    </row>
    <row r="2022" spans="1:23" x14ac:dyDescent="0.3">
      <c r="A2022" t="s">
        <v>915</v>
      </c>
      <c r="B2022" t="s">
        <v>1883</v>
      </c>
      <c r="C2022" t="s">
        <v>12</v>
      </c>
      <c r="D2022" t="s">
        <v>17</v>
      </c>
      <c r="E2022">
        <v>3337</v>
      </c>
      <c r="F2022">
        <v>466.6</v>
      </c>
      <c r="G2022">
        <v>423.93</v>
      </c>
      <c r="H2022">
        <v>466.6</v>
      </c>
      <c r="I2022">
        <v>2508</v>
      </c>
      <c r="J2022">
        <v>78</v>
      </c>
      <c r="K2022" s="17">
        <f t="shared" si="249"/>
        <v>6520.7999999999993</v>
      </c>
      <c r="L2022" t="str">
        <f t="shared" si="250"/>
        <v>High Risk</v>
      </c>
      <c r="P2022" s="19">
        <f t="shared" si="251"/>
        <v>3184</v>
      </c>
      <c r="R2022" s="19">
        <f t="shared" si="248"/>
        <v>1485654.4000000001</v>
      </c>
      <c r="T2022" s="19">
        <f t="shared" si="252"/>
        <v>1063216.44</v>
      </c>
      <c r="U2022" s="19">
        <f t="shared" si="253"/>
        <v>1170232.8</v>
      </c>
      <c r="V2022" s="21">
        <f t="shared" si="254"/>
        <v>107016.3600000001</v>
      </c>
      <c r="W2022" s="18">
        <f t="shared" si="255"/>
        <v>0.10065340976104556</v>
      </c>
    </row>
    <row r="2023" spans="1:23" x14ac:dyDescent="0.3">
      <c r="A2023" t="s">
        <v>180</v>
      </c>
      <c r="B2023" t="s">
        <v>764</v>
      </c>
      <c r="C2023" t="s">
        <v>12</v>
      </c>
      <c r="D2023" t="s">
        <v>13</v>
      </c>
      <c r="E2023">
        <v>3341</v>
      </c>
      <c r="F2023">
        <v>85.61</v>
      </c>
      <c r="G2023">
        <v>76.77</v>
      </c>
      <c r="H2023">
        <v>85.61</v>
      </c>
      <c r="I2023">
        <v>197</v>
      </c>
      <c r="J2023">
        <v>46</v>
      </c>
      <c r="K2023" s="17">
        <f t="shared" si="249"/>
        <v>302.06666666666666</v>
      </c>
      <c r="L2023" t="str">
        <f t="shared" si="250"/>
        <v>Sufficuent Stock</v>
      </c>
      <c r="P2023" s="19">
        <f t="shared" si="251"/>
        <v>0</v>
      </c>
      <c r="R2023" s="19">
        <f t="shared" si="248"/>
        <v>0</v>
      </c>
      <c r="T2023" s="19">
        <f t="shared" si="252"/>
        <v>15123.689999999999</v>
      </c>
      <c r="U2023" s="19">
        <f t="shared" si="253"/>
        <v>16865.169999999998</v>
      </c>
      <c r="V2023" s="21">
        <f t="shared" si="254"/>
        <v>1741.4799999999996</v>
      </c>
      <c r="W2023" s="18">
        <f t="shared" si="255"/>
        <v>0.11514914680213623</v>
      </c>
    </row>
    <row r="2024" spans="1:23" x14ac:dyDescent="0.3">
      <c r="A2024" t="s">
        <v>368</v>
      </c>
      <c r="B2024" t="s">
        <v>496</v>
      </c>
      <c r="C2024" t="s">
        <v>23</v>
      </c>
      <c r="D2024" t="s">
        <v>69</v>
      </c>
      <c r="E2024">
        <v>3344</v>
      </c>
      <c r="F2024">
        <v>110.37</v>
      </c>
      <c r="G2024">
        <v>100.11</v>
      </c>
      <c r="H2024">
        <v>110.37</v>
      </c>
      <c r="I2024">
        <v>2166</v>
      </c>
      <c r="J2024">
        <v>52</v>
      </c>
      <c r="K2024" s="17">
        <f t="shared" si="249"/>
        <v>3754.4</v>
      </c>
      <c r="L2024" t="str">
        <f t="shared" si="250"/>
        <v>High Risk</v>
      </c>
      <c r="P2024" s="19">
        <f t="shared" si="251"/>
        <v>411</v>
      </c>
      <c r="R2024" s="19">
        <f t="shared" si="248"/>
        <v>45362.07</v>
      </c>
      <c r="T2024" s="19">
        <f t="shared" si="252"/>
        <v>216838.26</v>
      </c>
      <c r="U2024" s="19">
        <f t="shared" si="253"/>
        <v>239061.42</v>
      </c>
      <c r="V2024" s="21">
        <f t="shared" si="254"/>
        <v>22223.160000000003</v>
      </c>
      <c r="W2024" s="18">
        <f t="shared" si="255"/>
        <v>0.10248726400958946</v>
      </c>
    </row>
    <row r="2025" spans="1:23" x14ac:dyDescent="0.3">
      <c r="A2025" t="s">
        <v>673</v>
      </c>
      <c r="B2025" t="s">
        <v>1796</v>
      </c>
      <c r="C2025" t="s">
        <v>37</v>
      </c>
      <c r="D2025" t="s">
        <v>13</v>
      </c>
      <c r="E2025">
        <v>3346</v>
      </c>
      <c r="F2025">
        <v>416.57</v>
      </c>
      <c r="G2025">
        <v>388.84</v>
      </c>
      <c r="H2025">
        <v>416.57</v>
      </c>
      <c r="I2025">
        <v>3472</v>
      </c>
      <c r="J2025">
        <v>25</v>
      </c>
      <c r="K2025" s="17">
        <f t="shared" si="249"/>
        <v>2893.3333333333335</v>
      </c>
      <c r="L2025" t="str">
        <f t="shared" si="250"/>
        <v>Sufficuent Stock</v>
      </c>
      <c r="P2025" s="19">
        <f t="shared" si="251"/>
        <v>0</v>
      </c>
      <c r="R2025" s="19">
        <f t="shared" si="248"/>
        <v>0</v>
      </c>
      <c r="T2025" s="19">
        <f t="shared" si="252"/>
        <v>1350052.48</v>
      </c>
      <c r="U2025" s="19">
        <f t="shared" si="253"/>
        <v>1446331.04</v>
      </c>
      <c r="V2025" s="21">
        <f t="shared" si="254"/>
        <v>96278.560000000056</v>
      </c>
      <c r="W2025" s="18">
        <f t="shared" si="255"/>
        <v>7.1314679559716126E-2</v>
      </c>
    </row>
    <row r="2026" spans="1:23" x14ac:dyDescent="0.3">
      <c r="A2026" t="s">
        <v>404</v>
      </c>
      <c r="B2026" t="s">
        <v>676</v>
      </c>
      <c r="C2026" t="s">
        <v>23</v>
      </c>
      <c r="D2026" t="s">
        <v>13</v>
      </c>
      <c r="E2026">
        <v>3346</v>
      </c>
      <c r="F2026">
        <v>253.9</v>
      </c>
      <c r="G2026">
        <v>259.82</v>
      </c>
      <c r="H2026">
        <v>253.9</v>
      </c>
      <c r="I2026">
        <v>3414</v>
      </c>
      <c r="J2026">
        <v>58</v>
      </c>
      <c r="K2026" s="17">
        <f t="shared" si="249"/>
        <v>6600.4</v>
      </c>
      <c r="L2026" t="str">
        <f t="shared" si="250"/>
        <v>High Risk</v>
      </c>
      <c r="P2026" s="19">
        <f t="shared" si="251"/>
        <v>3255</v>
      </c>
      <c r="R2026" s="19">
        <f t="shared" si="248"/>
        <v>826444.5</v>
      </c>
      <c r="T2026" s="19">
        <f t="shared" si="252"/>
        <v>887025.48</v>
      </c>
      <c r="U2026" s="19">
        <f t="shared" si="253"/>
        <v>866814.6</v>
      </c>
      <c r="V2026" s="21">
        <f t="shared" si="254"/>
        <v>-20210.880000000005</v>
      </c>
      <c r="W2026" s="18">
        <f t="shared" si="255"/>
        <v>-2.2785005003463941E-2</v>
      </c>
    </row>
    <row r="2027" spans="1:23" x14ac:dyDescent="0.3">
      <c r="A2027" t="s">
        <v>642</v>
      </c>
      <c r="B2027" t="s">
        <v>3200</v>
      </c>
      <c r="C2027" t="s">
        <v>16</v>
      </c>
      <c r="D2027" t="s">
        <v>13</v>
      </c>
      <c r="E2027">
        <v>3346</v>
      </c>
      <c r="F2027">
        <v>163.33000000000001</v>
      </c>
      <c r="G2027">
        <v>137.91</v>
      </c>
      <c r="H2027">
        <v>163.33000000000001</v>
      </c>
      <c r="I2027">
        <v>2639</v>
      </c>
      <c r="J2027">
        <v>59</v>
      </c>
      <c r="K2027" s="17">
        <f t="shared" si="249"/>
        <v>5190.0333333333338</v>
      </c>
      <c r="L2027" t="str">
        <f t="shared" si="250"/>
        <v>High Risk</v>
      </c>
      <c r="P2027" s="19">
        <f t="shared" si="251"/>
        <v>1845</v>
      </c>
      <c r="R2027" s="19">
        <f t="shared" si="248"/>
        <v>301343.85000000003</v>
      </c>
      <c r="T2027" s="19">
        <f t="shared" si="252"/>
        <v>363944.49</v>
      </c>
      <c r="U2027" s="19">
        <f t="shared" si="253"/>
        <v>431027.87000000005</v>
      </c>
      <c r="V2027" s="21">
        <f t="shared" si="254"/>
        <v>67083.380000000063</v>
      </c>
      <c r="W2027" s="18">
        <f t="shared" si="255"/>
        <v>0.18432310927416448</v>
      </c>
    </row>
    <row r="2028" spans="1:23" x14ac:dyDescent="0.3">
      <c r="A2028" t="s">
        <v>74</v>
      </c>
      <c r="B2028" t="s">
        <v>1487</v>
      </c>
      <c r="C2028" t="s">
        <v>23</v>
      </c>
      <c r="D2028" t="s">
        <v>13</v>
      </c>
      <c r="E2028">
        <v>3349</v>
      </c>
      <c r="F2028">
        <v>400.08</v>
      </c>
      <c r="G2028">
        <v>394.22</v>
      </c>
      <c r="H2028">
        <v>400.08</v>
      </c>
      <c r="I2028">
        <v>783</v>
      </c>
      <c r="J2028">
        <v>10</v>
      </c>
      <c r="K2028" s="17">
        <f t="shared" si="249"/>
        <v>261</v>
      </c>
      <c r="L2028" t="str">
        <f t="shared" si="250"/>
        <v>Sufficuent Stock</v>
      </c>
      <c r="P2028" s="19">
        <f t="shared" si="251"/>
        <v>0</v>
      </c>
      <c r="R2028" s="19">
        <f t="shared" si="248"/>
        <v>0</v>
      </c>
      <c r="T2028" s="19">
        <f t="shared" si="252"/>
        <v>308674.26</v>
      </c>
      <c r="U2028" s="19">
        <f t="shared" si="253"/>
        <v>313262.64</v>
      </c>
      <c r="V2028" s="21">
        <f t="shared" si="254"/>
        <v>4588.3800000000047</v>
      </c>
      <c r="W2028" s="18">
        <f t="shared" si="255"/>
        <v>1.486479630663083E-2</v>
      </c>
    </row>
    <row r="2029" spans="1:23" x14ac:dyDescent="0.3">
      <c r="A2029" t="s">
        <v>566</v>
      </c>
      <c r="B2029" t="s">
        <v>2096</v>
      </c>
      <c r="C2029" t="s">
        <v>16</v>
      </c>
      <c r="D2029" t="s">
        <v>20</v>
      </c>
      <c r="E2029">
        <v>3350</v>
      </c>
      <c r="F2029">
        <v>67.069999999999993</v>
      </c>
      <c r="G2029">
        <v>63.41</v>
      </c>
      <c r="H2029">
        <v>67.069999999999993</v>
      </c>
      <c r="I2029">
        <v>2527</v>
      </c>
      <c r="J2029">
        <v>50</v>
      </c>
      <c r="K2029" s="17">
        <f t="shared" si="249"/>
        <v>4211.666666666667</v>
      </c>
      <c r="L2029" t="str">
        <f t="shared" si="250"/>
        <v>High Risk</v>
      </c>
      <c r="P2029" s="19">
        <f t="shared" si="251"/>
        <v>862</v>
      </c>
      <c r="R2029" s="19">
        <f t="shared" si="248"/>
        <v>57814.34</v>
      </c>
      <c r="T2029" s="19">
        <f t="shared" si="252"/>
        <v>160237.06999999998</v>
      </c>
      <c r="U2029" s="19">
        <f t="shared" si="253"/>
        <v>169485.88999999998</v>
      </c>
      <c r="V2029" s="21">
        <f t="shared" si="254"/>
        <v>9248.820000000007</v>
      </c>
      <c r="W2029" s="18">
        <f t="shared" si="255"/>
        <v>5.77196025863429E-2</v>
      </c>
    </row>
    <row r="2030" spans="1:23" x14ac:dyDescent="0.3">
      <c r="A2030" t="s">
        <v>748</v>
      </c>
      <c r="B2030" t="s">
        <v>1203</v>
      </c>
      <c r="C2030" t="s">
        <v>50</v>
      </c>
      <c r="D2030" t="s">
        <v>13</v>
      </c>
      <c r="E2030">
        <v>3350</v>
      </c>
      <c r="F2030">
        <v>282.25</v>
      </c>
      <c r="G2030">
        <v>251.27</v>
      </c>
      <c r="H2030">
        <v>282.25</v>
      </c>
      <c r="I2030">
        <v>2788</v>
      </c>
      <c r="J2030">
        <v>49</v>
      </c>
      <c r="K2030" s="17">
        <f t="shared" si="249"/>
        <v>4553.7333333333336</v>
      </c>
      <c r="L2030" t="str">
        <f t="shared" si="250"/>
        <v>High Risk</v>
      </c>
      <c r="P2030" s="19">
        <f t="shared" si="251"/>
        <v>1204</v>
      </c>
      <c r="R2030" s="19">
        <f t="shared" si="248"/>
        <v>339829</v>
      </c>
      <c r="T2030" s="19">
        <f t="shared" si="252"/>
        <v>700540.76</v>
      </c>
      <c r="U2030" s="19">
        <f t="shared" si="253"/>
        <v>786913</v>
      </c>
      <c r="V2030" s="21">
        <f t="shared" si="254"/>
        <v>86372.239999999991</v>
      </c>
      <c r="W2030" s="18">
        <f t="shared" si="255"/>
        <v>0.12329366816571814</v>
      </c>
    </row>
    <row r="2031" spans="1:23" x14ac:dyDescent="0.3">
      <c r="A2031" t="s">
        <v>751</v>
      </c>
      <c r="B2031" t="s">
        <v>2713</v>
      </c>
      <c r="C2031" t="s">
        <v>12</v>
      </c>
      <c r="D2031" t="s">
        <v>17</v>
      </c>
      <c r="E2031">
        <v>3351</v>
      </c>
      <c r="F2031">
        <v>38.19</v>
      </c>
      <c r="G2031">
        <v>39.78</v>
      </c>
      <c r="H2031">
        <v>38.19</v>
      </c>
      <c r="I2031">
        <v>942</v>
      </c>
      <c r="J2031">
        <v>16</v>
      </c>
      <c r="K2031" s="17">
        <f t="shared" si="249"/>
        <v>502.4</v>
      </c>
      <c r="L2031" t="str">
        <f t="shared" si="250"/>
        <v>Sufficuent Stock</v>
      </c>
      <c r="P2031" s="19">
        <f t="shared" si="251"/>
        <v>0</v>
      </c>
      <c r="R2031" s="19">
        <f t="shared" si="248"/>
        <v>0</v>
      </c>
      <c r="T2031" s="19">
        <f t="shared" si="252"/>
        <v>37472.76</v>
      </c>
      <c r="U2031" s="19">
        <f t="shared" si="253"/>
        <v>35974.979999999996</v>
      </c>
      <c r="V2031" s="21">
        <f t="shared" si="254"/>
        <v>-1497.7800000000061</v>
      </c>
      <c r="W2031" s="18">
        <f t="shared" si="255"/>
        <v>-3.996983408748131E-2</v>
      </c>
    </row>
    <row r="2032" spans="1:23" x14ac:dyDescent="0.3">
      <c r="A2032" t="s">
        <v>1333</v>
      </c>
      <c r="B2032" t="s">
        <v>1742</v>
      </c>
      <c r="C2032" t="s">
        <v>23</v>
      </c>
      <c r="D2032" t="s">
        <v>26</v>
      </c>
      <c r="E2032">
        <v>3352</v>
      </c>
      <c r="F2032">
        <v>473.98</v>
      </c>
      <c r="G2032">
        <v>434.02</v>
      </c>
      <c r="H2032">
        <v>473.98</v>
      </c>
      <c r="I2032">
        <v>2077</v>
      </c>
      <c r="J2032">
        <v>83</v>
      </c>
      <c r="K2032" s="17">
        <f t="shared" si="249"/>
        <v>5746.3666666666668</v>
      </c>
      <c r="L2032" t="str">
        <f t="shared" si="250"/>
        <v>High Risk</v>
      </c>
      <c r="P2032" s="19">
        <f t="shared" si="251"/>
        <v>2395</v>
      </c>
      <c r="R2032" s="19">
        <f t="shared" si="248"/>
        <v>1135182.1000000001</v>
      </c>
      <c r="T2032" s="19">
        <f t="shared" si="252"/>
        <v>901459.53999999992</v>
      </c>
      <c r="U2032" s="19">
        <f t="shared" si="253"/>
        <v>984456.46000000008</v>
      </c>
      <c r="V2032" s="21">
        <f t="shared" si="254"/>
        <v>82996.920000000158</v>
      </c>
      <c r="W2032" s="18">
        <f t="shared" si="255"/>
        <v>9.2069489885258926E-2</v>
      </c>
    </row>
    <row r="2033" spans="1:23" x14ac:dyDescent="0.3">
      <c r="A2033" t="s">
        <v>27</v>
      </c>
      <c r="B2033" t="s">
        <v>1626</v>
      </c>
      <c r="C2033" t="s">
        <v>23</v>
      </c>
      <c r="D2033" t="s">
        <v>26</v>
      </c>
      <c r="E2033">
        <v>3352</v>
      </c>
      <c r="F2033">
        <v>264.14999999999998</v>
      </c>
      <c r="G2033">
        <v>221.13</v>
      </c>
      <c r="H2033">
        <v>264.14999999999998</v>
      </c>
      <c r="I2033">
        <v>2237</v>
      </c>
      <c r="J2033">
        <v>32</v>
      </c>
      <c r="K2033" s="17">
        <f t="shared" si="249"/>
        <v>2386.1333333333332</v>
      </c>
      <c r="L2033" t="str">
        <f t="shared" si="250"/>
        <v>Sufficuent Stock</v>
      </c>
      <c r="P2033" s="19">
        <f t="shared" si="251"/>
        <v>0</v>
      </c>
      <c r="R2033" s="19">
        <f t="shared" si="248"/>
        <v>0</v>
      </c>
      <c r="T2033" s="19">
        <f t="shared" si="252"/>
        <v>494667.81</v>
      </c>
      <c r="U2033" s="19">
        <f t="shared" si="253"/>
        <v>590903.54999999993</v>
      </c>
      <c r="V2033" s="21">
        <f t="shared" si="254"/>
        <v>96235.739999999932</v>
      </c>
      <c r="W2033" s="18">
        <f t="shared" si="255"/>
        <v>0.1945461945461944</v>
      </c>
    </row>
    <row r="2034" spans="1:23" x14ac:dyDescent="0.3">
      <c r="A2034" t="s">
        <v>422</v>
      </c>
      <c r="B2034" t="s">
        <v>1272</v>
      </c>
      <c r="C2034" t="s">
        <v>37</v>
      </c>
      <c r="D2034" t="s">
        <v>20</v>
      </c>
      <c r="E2034">
        <v>3355</v>
      </c>
      <c r="F2034">
        <v>71.06</v>
      </c>
      <c r="G2034">
        <v>59.6</v>
      </c>
      <c r="H2034">
        <v>71.06</v>
      </c>
      <c r="I2034">
        <v>1973</v>
      </c>
      <c r="J2034">
        <v>9</v>
      </c>
      <c r="K2034" s="17">
        <f t="shared" si="249"/>
        <v>591.9</v>
      </c>
      <c r="L2034" t="str">
        <f t="shared" si="250"/>
        <v>Sufficuent Stock</v>
      </c>
      <c r="P2034" s="19">
        <f t="shared" si="251"/>
        <v>0</v>
      </c>
      <c r="R2034" s="19">
        <f t="shared" si="248"/>
        <v>0</v>
      </c>
      <c r="T2034" s="19">
        <f t="shared" si="252"/>
        <v>117590.8</v>
      </c>
      <c r="U2034" s="19">
        <f t="shared" si="253"/>
        <v>140201.38</v>
      </c>
      <c r="V2034" s="21">
        <f t="shared" si="254"/>
        <v>22610.58</v>
      </c>
      <c r="W2034" s="18">
        <f t="shared" si="255"/>
        <v>0.19228187919463088</v>
      </c>
    </row>
    <row r="2035" spans="1:23" x14ac:dyDescent="0.3">
      <c r="A2035" t="s">
        <v>855</v>
      </c>
      <c r="B2035" t="s">
        <v>2687</v>
      </c>
      <c r="C2035" t="s">
        <v>16</v>
      </c>
      <c r="D2035" t="s">
        <v>26</v>
      </c>
      <c r="E2035">
        <v>3356</v>
      </c>
      <c r="F2035">
        <v>517.72</v>
      </c>
      <c r="G2035">
        <v>438.13</v>
      </c>
      <c r="H2035">
        <v>517.72</v>
      </c>
      <c r="I2035">
        <v>2400</v>
      </c>
      <c r="J2035">
        <v>48</v>
      </c>
      <c r="K2035" s="17">
        <f t="shared" si="249"/>
        <v>3840</v>
      </c>
      <c r="L2035" t="str">
        <f t="shared" si="250"/>
        <v>High Risk</v>
      </c>
      <c r="P2035" s="19">
        <f t="shared" si="251"/>
        <v>484</v>
      </c>
      <c r="R2035" s="19">
        <f t="shared" si="248"/>
        <v>250576.48</v>
      </c>
      <c r="T2035" s="19">
        <f t="shared" si="252"/>
        <v>1051512</v>
      </c>
      <c r="U2035" s="19">
        <f t="shared" si="253"/>
        <v>1242528</v>
      </c>
      <c r="V2035" s="21">
        <f t="shared" si="254"/>
        <v>191016</v>
      </c>
      <c r="W2035" s="18">
        <f t="shared" si="255"/>
        <v>0.18165841188688289</v>
      </c>
    </row>
    <row r="2036" spans="1:23" x14ac:dyDescent="0.3">
      <c r="A2036" t="s">
        <v>470</v>
      </c>
      <c r="B2036" t="s">
        <v>677</v>
      </c>
      <c r="C2036" t="s">
        <v>16</v>
      </c>
      <c r="D2036" t="s">
        <v>13</v>
      </c>
      <c r="E2036">
        <v>3357</v>
      </c>
      <c r="F2036">
        <v>44.73</v>
      </c>
      <c r="G2036">
        <v>48.9</v>
      </c>
      <c r="H2036">
        <v>44.73</v>
      </c>
      <c r="I2036">
        <v>1166</v>
      </c>
      <c r="J2036">
        <v>37</v>
      </c>
      <c r="K2036" s="17">
        <f t="shared" si="249"/>
        <v>1438.0666666666666</v>
      </c>
      <c r="L2036" t="str">
        <f t="shared" si="250"/>
        <v>Sufficuent Stock</v>
      </c>
      <c r="P2036" s="19">
        <f t="shared" si="251"/>
        <v>0</v>
      </c>
      <c r="R2036" s="19">
        <f t="shared" si="248"/>
        <v>0</v>
      </c>
      <c r="T2036" s="19">
        <f t="shared" si="252"/>
        <v>57017.4</v>
      </c>
      <c r="U2036" s="19">
        <f t="shared" si="253"/>
        <v>52155.179999999993</v>
      </c>
      <c r="V2036" s="21">
        <f t="shared" si="254"/>
        <v>-4862.2200000000084</v>
      </c>
      <c r="W2036" s="18">
        <f t="shared" si="255"/>
        <v>-8.5276073619632048E-2</v>
      </c>
    </row>
    <row r="2037" spans="1:23" x14ac:dyDescent="0.3">
      <c r="A2037" t="s">
        <v>231</v>
      </c>
      <c r="B2037" t="s">
        <v>3006</v>
      </c>
      <c r="C2037" t="s">
        <v>50</v>
      </c>
      <c r="D2037" t="s">
        <v>20</v>
      </c>
      <c r="E2037">
        <v>3358</v>
      </c>
      <c r="F2037">
        <v>532.14</v>
      </c>
      <c r="G2037">
        <v>445.73</v>
      </c>
      <c r="H2037">
        <v>532.14</v>
      </c>
      <c r="I2037">
        <v>2968</v>
      </c>
      <c r="J2037">
        <v>25</v>
      </c>
      <c r="K2037" s="17">
        <f t="shared" si="249"/>
        <v>2473.3333333333335</v>
      </c>
      <c r="L2037" t="str">
        <f t="shared" si="250"/>
        <v>Sufficuent Stock</v>
      </c>
      <c r="P2037" s="19">
        <f t="shared" si="251"/>
        <v>0</v>
      </c>
      <c r="R2037" s="19">
        <f t="shared" si="248"/>
        <v>0</v>
      </c>
      <c r="T2037" s="19">
        <f t="shared" si="252"/>
        <v>1322926.6400000001</v>
      </c>
      <c r="U2037" s="19">
        <f t="shared" si="253"/>
        <v>1579391.52</v>
      </c>
      <c r="V2037" s="21">
        <f t="shared" si="254"/>
        <v>256464.87999999989</v>
      </c>
      <c r="W2037" s="18">
        <f t="shared" si="255"/>
        <v>0.19386175487402676</v>
      </c>
    </row>
    <row r="2038" spans="1:23" x14ac:dyDescent="0.3">
      <c r="A2038" t="s">
        <v>896</v>
      </c>
      <c r="B2038" t="s">
        <v>1993</v>
      </c>
      <c r="C2038" t="s">
        <v>23</v>
      </c>
      <c r="D2038" t="s">
        <v>20</v>
      </c>
      <c r="E2038">
        <v>3364</v>
      </c>
      <c r="F2038">
        <v>101.77</v>
      </c>
      <c r="G2038">
        <v>96.56</v>
      </c>
      <c r="H2038">
        <v>101.77</v>
      </c>
      <c r="I2038">
        <v>2914</v>
      </c>
      <c r="J2038">
        <v>32</v>
      </c>
      <c r="K2038" s="17">
        <f t="shared" si="249"/>
        <v>3108.2666666666669</v>
      </c>
      <c r="L2038" t="str">
        <f t="shared" si="250"/>
        <v>Sufficuent Stock</v>
      </c>
      <c r="P2038" s="19">
        <f t="shared" si="251"/>
        <v>0</v>
      </c>
      <c r="R2038" s="19">
        <f t="shared" si="248"/>
        <v>0</v>
      </c>
      <c r="T2038" s="19">
        <f t="shared" si="252"/>
        <v>281375.84000000003</v>
      </c>
      <c r="U2038" s="19">
        <f t="shared" si="253"/>
        <v>296557.77999999997</v>
      </c>
      <c r="V2038" s="21">
        <f t="shared" si="254"/>
        <v>15181.939999999944</v>
      </c>
      <c r="W2038" s="18">
        <f t="shared" si="255"/>
        <v>5.3956089478044533E-2</v>
      </c>
    </row>
    <row r="2039" spans="1:23" x14ac:dyDescent="0.3">
      <c r="A2039" t="s">
        <v>352</v>
      </c>
      <c r="B2039" t="s">
        <v>1246</v>
      </c>
      <c r="C2039" t="s">
        <v>16</v>
      </c>
      <c r="D2039" t="s">
        <v>13</v>
      </c>
      <c r="E2039">
        <v>3365</v>
      </c>
      <c r="F2039">
        <v>394.48</v>
      </c>
      <c r="G2039">
        <v>365.47</v>
      </c>
      <c r="H2039">
        <v>394.48</v>
      </c>
      <c r="I2039">
        <v>2106</v>
      </c>
      <c r="J2039">
        <v>73</v>
      </c>
      <c r="K2039" s="17">
        <f t="shared" si="249"/>
        <v>5124.6000000000004</v>
      </c>
      <c r="L2039" t="str">
        <f t="shared" si="250"/>
        <v>High Risk</v>
      </c>
      <c r="P2039" s="19">
        <f t="shared" si="251"/>
        <v>1760</v>
      </c>
      <c r="R2039" s="19">
        <f t="shared" si="248"/>
        <v>694284.80000000005</v>
      </c>
      <c r="T2039" s="19">
        <f t="shared" si="252"/>
        <v>769679.82000000007</v>
      </c>
      <c r="U2039" s="19">
        <f t="shared" si="253"/>
        <v>830774.88</v>
      </c>
      <c r="V2039" s="21">
        <f t="shared" si="254"/>
        <v>61095.059999999939</v>
      </c>
      <c r="W2039" s="18">
        <f t="shared" si="255"/>
        <v>7.9377240265958812E-2</v>
      </c>
    </row>
    <row r="2040" spans="1:23" x14ac:dyDescent="0.3">
      <c r="A2040" t="s">
        <v>326</v>
      </c>
      <c r="B2040" t="s">
        <v>1387</v>
      </c>
      <c r="C2040" t="s">
        <v>16</v>
      </c>
      <c r="D2040" t="s">
        <v>17</v>
      </c>
      <c r="E2040">
        <v>3366</v>
      </c>
      <c r="F2040">
        <v>461.83</v>
      </c>
      <c r="G2040">
        <v>427.44</v>
      </c>
      <c r="H2040">
        <v>461.83</v>
      </c>
      <c r="I2040">
        <v>783</v>
      </c>
      <c r="J2040">
        <v>63</v>
      </c>
      <c r="K2040" s="17">
        <f t="shared" si="249"/>
        <v>1644.3000000000002</v>
      </c>
      <c r="L2040" t="str">
        <f t="shared" si="250"/>
        <v>Sufficuent Stock</v>
      </c>
      <c r="P2040" s="19">
        <f t="shared" si="251"/>
        <v>0</v>
      </c>
      <c r="R2040" s="19">
        <f t="shared" si="248"/>
        <v>0</v>
      </c>
      <c r="T2040" s="19">
        <f t="shared" si="252"/>
        <v>334685.52</v>
      </c>
      <c r="U2040" s="19">
        <f t="shared" si="253"/>
        <v>361612.89</v>
      </c>
      <c r="V2040" s="21">
        <f t="shared" si="254"/>
        <v>26927.369999999995</v>
      </c>
      <c r="W2040" s="18">
        <f t="shared" si="255"/>
        <v>8.0455736477634265E-2</v>
      </c>
    </row>
    <row r="2041" spans="1:23" x14ac:dyDescent="0.3">
      <c r="A2041" t="s">
        <v>393</v>
      </c>
      <c r="B2041" t="s">
        <v>394</v>
      </c>
      <c r="C2041" t="s">
        <v>50</v>
      </c>
      <c r="D2041" t="s">
        <v>17</v>
      </c>
      <c r="E2041">
        <v>3369</v>
      </c>
      <c r="F2041">
        <v>258.93</v>
      </c>
      <c r="G2041">
        <v>254.52</v>
      </c>
      <c r="H2041">
        <v>258.93</v>
      </c>
      <c r="I2041">
        <v>3731</v>
      </c>
      <c r="J2041">
        <v>79</v>
      </c>
      <c r="K2041" s="17">
        <f t="shared" si="249"/>
        <v>9824.9666666666653</v>
      </c>
      <c r="L2041" t="str">
        <f t="shared" si="250"/>
        <v>High Risk</v>
      </c>
      <c r="P2041" s="19">
        <f t="shared" si="251"/>
        <v>6456</v>
      </c>
      <c r="R2041" s="19">
        <f t="shared" si="248"/>
        <v>1671652.08</v>
      </c>
      <c r="T2041" s="19">
        <f t="shared" si="252"/>
        <v>949614.12</v>
      </c>
      <c r="U2041" s="19">
        <f t="shared" si="253"/>
        <v>966067.83000000007</v>
      </c>
      <c r="V2041" s="21">
        <f t="shared" si="254"/>
        <v>16453.710000000079</v>
      </c>
      <c r="W2041" s="18">
        <f t="shared" si="255"/>
        <v>1.7326732673267412E-2</v>
      </c>
    </row>
    <row r="2042" spans="1:23" x14ac:dyDescent="0.3">
      <c r="A2042" t="s">
        <v>253</v>
      </c>
      <c r="B2042" t="s">
        <v>3040</v>
      </c>
      <c r="C2042" t="s">
        <v>16</v>
      </c>
      <c r="D2042" t="s">
        <v>13</v>
      </c>
      <c r="E2042">
        <v>3369</v>
      </c>
      <c r="F2042">
        <v>80.150000000000006</v>
      </c>
      <c r="G2042">
        <v>76.599999999999994</v>
      </c>
      <c r="H2042">
        <v>80.150000000000006</v>
      </c>
      <c r="I2042">
        <v>1117</v>
      </c>
      <c r="J2042">
        <v>52</v>
      </c>
      <c r="K2042" s="17">
        <f t="shared" si="249"/>
        <v>1936.1333333333334</v>
      </c>
      <c r="L2042" t="str">
        <f t="shared" si="250"/>
        <v>Sufficuent Stock</v>
      </c>
      <c r="P2042" s="19">
        <f t="shared" si="251"/>
        <v>0</v>
      </c>
      <c r="R2042" s="19">
        <f t="shared" si="248"/>
        <v>0</v>
      </c>
      <c r="T2042" s="19">
        <f t="shared" si="252"/>
        <v>85562.2</v>
      </c>
      <c r="U2042" s="19">
        <f t="shared" si="253"/>
        <v>89527.55</v>
      </c>
      <c r="V2042" s="21">
        <f t="shared" si="254"/>
        <v>3965.3500000000058</v>
      </c>
      <c r="W2042" s="18">
        <f t="shared" si="255"/>
        <v>4.6344647519582317E-2</v>
      </c>
    </row>
    <row r="2043" spans="1:23" x14ac:dyDescent="0.3">
      <c r="A2043" t="s">
        <v>24</v>
      </c>
      <c r="B2043" t="s">
        <v>25</v>
      </c>
      <c r="C2043" t="s">
        <v>12</v>
      </c>
      <c r="D2043" t="s">
        <v>26</v>
      </c>
      <c r="E2043">
        <v>3371</v>
      </c>
      <c r="F2043">
        <v>505.72</v>
      </c>
      <c r="G2043">
        <v>453.8</v>
      </c>
      <c r="H2043">
        <v>505.72</v>
      </c>
      <c r="I2043">
        <v>912</v>
      </c>
      <c r="J2043">
        <v>40</v>
      </c>
      <c r="K2043" s="17">
        <f t="shared" si="249"/>
        <v>1216</v>
      </c>
      <c r="L2043" t="str">
        <f t="shared" si="250"/>
        <v>Sufficuent Stock</v>
      </c>
      <c r="P2043" s="19">
        <f t="shared" si="251"/>
        <v>0</v>
      </c>
      <c r="R2043" s="19">
        <f t="shared" si="248"/>
        <v>0</v>
      </c>
      <c r="T2043" s="19">
        <f t="shared" si="252"/>
        <v>413865.60000000003</v>
      </c>
      <c r="U2043" s="19">
        <f t="shared" si="253"/>
        <v>461216.64</v>
      </c>
      <c r="V2043" s="21">
        <f t="shared" si="254"/>
        <v>47351.039999999979</v>
      </c>
      <c r="W2043" s="18">
        <f t="shared" si="255"/>
        <v>0.11441163508153365</v>
      </c>
    </row>
    <row r="2044" spans="1:23" x14ac:dyDescent="0.3">
      <c r="A2044" t="s">
        <v>40</v>
      </c>
      <c r="B2044" t="s">
        <v>41</v>
      </c>
      <c r="C2044" t="s">
        <v>12</v>
      </c>
      <c r="D2044" t="s">
        <v>26</v>
      </c>
      <c r="E2044">
        <v>3377</v>
      </c>
      <c r="F2044">
        <v>275.64</v>
      </c>
      <c r="G2044">
        <v>284.43</v>
      </c>
      <c r="H2044">
        <v>275.64</v>
      </c>
      <c r="I2044">
        <v>1689</v>
      </c>
      <c r="J2044">
        <v>32</v>
      </c>
      <c r="K2044" s="17">
        <f t="shared" si="249"/>
        <v>1801.6</v>
      </c>
      <c r="L2044" t="str">
        <f t="shared" si="250"/>
        <v>Sufficuent Stock</v>
      </c>
      <c r="P2044" s="19">
        <f t="shared" si="251"/>
        <v>0</v>
      </c>
      <c r="R2044" s="19">
        <f t="shared" si="248"/>
        <v>0</v>
      </c>
      <c r="T2044" s="19">
        <f t="shared" si="252"/>
        <v>480402.27</v>
      </c>
      <c r="U2044" s="19">
        <f t="shared" si="253"/>
        <v>465555.95999999996</v>
      </c>
      <c r="V2044" s="21">
        <f t="shared" si="254"/>
        <v>-14846.310000000056</v>
      </c>
      <c r="W2044" s="18">
        <f t="shared" si="255"/>
        <v>-3.0903913089336682E-2</v>
      </c>
    </row>
    <row r="2045" spans="1:23" x14ac:dyDescent="0.3">
      <c r="A2045" t="s">
        <v>55</v>
      </c>
      <c r="B2045" t="s">
        <v>1166</v>
      </c>
      <c r="C2045" t="s">
        <v>50</v>
      </c>
      <c r="D2045" t="s">
        <v>17</v>
      </c>
      <c r="E2045">
        <v>3379</v>
      </c>
      <c r="F2045">
        <v>82.39</v>
      </c>
      <c r="G2045">
        <v>86.2</v>
      </c>
      <c r="H2045">
        <v>82.39</v>
      </c>
      <c r="I2045">
        <v>2380</v>
      </c>
      <c r="J2045">
        <v>58</v>
      </c>
      <c r="K2045" s="17">
        <f t="shared" si="249"/>
        <v>4601.333333333333</v>
      </c>
      <c r="L2045" t="str">
        <f t="shared" si="250"/>
        <v>High Risk</v>
      </c>
      <c r="P2045" s="19">
        <f t="shared" si="251"/>
        <v>1223</v>
      </c>
      <c r="R2045" s="19">
        <f t="shared" si="248"/>
        <v>100762.97</v>
      </c>
      <c r="T2045" s="19">
        <f t="shared" si="252"/>
        <v>205156</v>
      </c>
      <c r="U2045" s="19">
        <f t="shared" si="253"/>
        <v>196088.2</v>
      </c>
      <c r="V2045" s="21">
        <f t="shared" si="254"/>
        <v>-9067.7999999999884</v>
      </c>
      <c r="W2045" s="18">
        <f t="shared" si="255"/>
        <v>-4.4199535962876971E-2</v>
      </c>
    </row>
    <row r="2046" spans="1:23" x14ac:dyDescent="0.3">
      <c r="A2046" t="s">
        <v>143</v>
      </c>
      <c r="B2046" t="s">
        <v>2782</v>
      </c>
      <c r="C2046" t="s">
        <v>50</v>
      </c>
      <c r="D2046" t="s">
        <v>17</v>
      </c>
      <c r="E2046">
        <v>3380</v>
      </c>
      <c r="F2046">
        <v>415.06</v>
      </c>
      <c r="G2046">
        <v>455.08</v>
      </c>
      <c r="H2046">
        <v>415.06</v>
      </c>
      <c r="I2046">
        <v>1156</v>
      </c>
      <c r="J2046">
        <v>36</v>
      </c>
      <c r="K2046" s="17">
        <f t="shared" si="249"/>
        <v>1387.1999999999998</v>
      </c>
      <c r="L2046" t="str">
        <f t="shared" si="250"/>
        <v>Sufficuent Stock</v>
      </c>
      <c r="P2046" s="19">
        <f t="shared" si="251"/>
        <v>0</v>
      </c>
      <c r="R2046" s="19">
        <f t="shared" si="248"/>
        <v>0</v>
      </c>
      <c r="T2046" s="19">
        <f t="shared" si="252"/>
        <v>526072.48</v>
      </c>
      <c r="U2046" s="19">
        <f t="shared" si="253"/>
        <v>479809.36</v>
      </c>
      <c r="V2046" s="21">
        <f t="shared" si="254"/>
        <v>-46263.119999999995</v>
      </c>
      <c r="W2046" s="18">
        <f t="shared" si="255"/>
        <v>-8.7940581875714158E-2</v>
      </c>
    </row>
    <row r="2047" spans="1:23" x14ac:dyDescent="0.3">
      <c r="A2047" t="s">
        <v>173</v>
      </c>
      <c r="B2047" t="s">
        <v>2908</v>
      </c>
      <c r="C2047" t="s">
        <v>37</v>
      </c>
      <c r="D2047" t="s">
        <v>13</v>
      </c>
      <c r="E2047">
        <v>3383</v>
      </c>
      <c r="F2047">
        <v>366.06</v>
      </c>
      <c r="G2047">
        <v>338.55</v>
      </c>
      <c r="H2047">
        <v>366.06</v>
      </c>
      <c r="I2047">
        <v>262</v>
      </c>
      <c r="J2047">
        <v>56</v>
      </c>
      <c r="K2047" s="17">
        <f t="shared" si="249"/>
        <v>489.06666666666661</v>
      </c>
      <c r="L2047" t="str">
        <f t="shared" si="250"/>
        <v>Sufficuent Stock</v>
      </c>
      <c r="P2047" s="19">
        <f t="shared" si="251"/>
        <v>0</v>
      </c>
      <c r="R2047" s="19">
        <f t="shared" si="248"/>
        <v>0</v>
      </c>
      <c r="T2047" s="19">
        <f t="shared" si="252"/>
        <v>88700.1</v>
      </c>
      <c r="U2047" s="19">
        <f t="shared" si="253"/>
        <v>95907.72</v>
      </c>
      <c r="V2047" s="21">
        <f t="shared" si="254"/>
        <v>7207.6199999999953</v>
      </c>
      <c r="W2047" s="18">
        <f t="shared" si="255"/>
        <v>8.1258307487815623E-2</v>
      </c>
    </row>
    <row r="2048" spans="1:23" x14ac:dyDescent="0.3">
      <c r="A2048" t="s">
        <v>455</v>
      </c>
      <c r="B2048" t="s">
        <v>904</v>
      </c>
      <c r="C2048" t="s">
        <v>16</v>
      </c>
      <c r="D2048" t="s">
        <v>26</v>
      </c>
      <c r="E2048">
        <v>3383</v>
      </c>
      <c r="F2048">
        <v>359.54</v>
      </c>
      <c r="G2048">
        <v>335.39</v>
      </c>
      <c r="H2048">
        <v>359.54</v>
      </c>
      <c r="I2048">
        <v>3524</v>
      </c>
      <c r="J2048">
        <v>75</v>
      </c>
      <c r="K2048" s="17">
        <f t="shared" si="249"/>
        <v>8810</v>
      </c>
      <c r="L2048" t="str">
        <f t="shared" si="250"/>
        <v>High Risk</v>
      </c>
      <c r="P2048" s="19">
        <f t="shared" si="251"/>
        <v>5427</v>
      </c>
      <c r="R2048" s="19">
        <f t="shared" si="248"/>
        <v>1951223.58</v>
      </c>
      <c r="T2048" s="19">
        <f t="shared" si="252"/>
        <v>1181914.3599999999</v>
      </c>
      <c r="U2048" s="19">
        <f t="shared" si="253"/>
        <v>1267018.96</v>
      </c>
      <c r="V2048" s="21">
        <f t="shared" si="254"/>
        <v>85104.600000000093</v>
      </c>
      <c r="W2048" s="18">
        <f t="shared" si="255"/>
        <v>7.2005724678732314E-2</v>
      </c>
    </row>
    <row r="2049" spans="1:23" x14ac:dyDescent="0.3">
      <c r="A2049" t="s">
        <v>201</v>
      </c>
      <c r="B2049" t="s">
        <v>1874</v>
      </c>
      <c r="C2049" t="s">
        <v>37</v>
      </c>
      <c r="D2049" t="s">
        <v>17</v>
      </c>
      <c r="E2049">
        <v>3385</v>
      </c>
      <c r="F2049">
        <v>250.9</v>
      </c>
      <c r="G2049">
        <v>227.94</v>
      </c>
      <c r="H2049">
        <v>250.9</v>
      </c>
      <c r="I2049">
        <v>3039</v>
      </c>
      <c r="J2049">
        <v>77</v>
      </c>
      <c r="K2049" s="17">
        <f t="shared" si="249"/>
        <v>7800.0999999999995</v>
      </c>
      <c r="L2049" t="str">
        <f t="shared" si="250"/>
        <v>High Risk</v>
      </c>
      <c r="P2049" s="19">
        <f t="shared" si="251"/>
        <v>4416</v>
      </c>
      <c r="R2049" s="19">
        <f t="shared" si="248"/>
        <v>1107974.4000000001</v>
      </c>
      <c r="T2049" s="19">
        <f t="shared" si="252"/>
        <v>692709.66</v>
      </c>
      <c r="U2049" s="19">
        <f t="shared" si="253"/>
        <v>762485.1</v>
      </c>
      <c r="V2049" s="21">
        <f t="shared" si="254"/>
        <v>69775.439999999944</v>
      </c>
      <c r="W2049" s="18">
        <f t="shared" si="255"/>
        <v>0.10072826182328674</v>
      </c>
    </row>
    <row r="2050" spans="1:23" x14ac:dyDescent="0.3">
      <c r="A2050" t="s">
        <v>2107</v>
      </c>
      <c r="B2050" t="s">
        <v>2347</v>
      </c>
      <c r="C2050" t="s">
        <v>37</v>
      </c>
      <c r="D2050" t="s">
        <v>69</v>
      </c>
      <c r="E2050">
        <v>3387</v>
      </c>
      <c r="F2050">
        <v>281.23</v>
      </c>
      <c r="G2050">
        <v>243.83</v>
      </c>
      <c r="H2050">
        <v>281.23</v>
      </c>
      <c r="I2050">
        <v>196</v>
      </c>
      <c r="J2050">
        <v>83</v>
      </c>
      <c r="K2050" s="17">
        <f t="shared" si="249"/>
        <v>542.26666666666665</v>
      </c>
      <c r="L2050" t="str">
        <f t="shared" si="250"/>
        <v>Sufficuent Stock</v>
      </c>
      <c r="P2050" s="19">
        <f t="shared" si="251"/>
        <v>0</v>
      </c>
      <c r="R2050" s="19">
        <f t="shared" ref="R2050:R2113" si="256">P2050*H2050</f>
        <v>0</v>
      </c>
      <c r="T2050" s="19">
        <f t="shared" si="252"/>
        <v>47790.68</v>
      </c>
      <c r="U2050" s="19">
        <f t="shared" si="253"/>
        <v>55121.08</v>
      </c>
      <c r="V2050" s="21">
        <f t="shared" si="254"/>
        <v>7330.4000000000015</v>
      </c>
      <c r="W2050" s="18">
        <f t="shared" si="255"/>
        <v>0.1533855555099865</v>
      </c>
    </row>
    <row r="2051" spans="1:23" x14ac:dyDescent="0.3">
      <c r="A2051" t="s">
        <v>1132</v>
      </c>
      <c r="B2051" t="s">
        <v>1135</v>
      </c>
      <c r="C2051" t="s">
        <v>12</v>
      </c>
      <c r="D2051" t="s">
        <v>20</v>
      </c>
      <c r="E2051">
        <v>3388</v>
      </c>
      <c r="F2051">
        <v>322.88</v>
      </c>
      <c r="G2051">
        <v>275.85000000000002</v>
      </c>
      <c r="H2051">
        <v>322.88</v>
      </c>
      <c r="I2051">
        <v>1784</v>
      </c>
      <c r="J2051">
        <v>82</v>
      </c>
      <c r="K2051" s="17">
        <f t="shared" ref="K2051:K2114" si="257">(I2051/30)*J2051</f>
        <v>4876.2666666666664</v>
      </c>
      <c r="L2051" t="str">
        <f t="shared" ref="L2051:L2114" si="258">IF(E2051&lt;K2051,"High Risk","Sufficuent Stock")</f>
        <v>High Risk</v>
      </c>
      <c r="P2051" s="19">
        <f t="shared" ref="P2051:P2114" si="259">ROUNDUP(MAX(0,K2051-E2051),0)</f>
        <v>1489</v>
      </c>
      <c r="R2051" s="19">
        <f t="shared" si="256"/>
        <v>480768.32</v>
      </c>
      <c r="T2051" s="19">
        <f t="shared" ref="T2051:T2114" si="260">I2051*G2051</f>
        <v>492116.4</v>
      </c>
      <c r="U2051" s="19">
        <f t="shared" ref="U2051:U2114" si="261">I2051*H2051</f>
        <v>576017.92000000004</v>
      </c>
      <c r="V2051" s="21">
        <f t="shared" ref="V2051:V2114" si="262">U2051-T2051</f>
        <v>83901.520000000019</v>
      </c>
      <c r="W2051" s="18">
        <f t="shared" ref="W2051:W2114" si="263">IFERROR(V2051/T2051,0)</f>
        <v>0.17049120899039336</v>
      </c>
    </row>
    <row r="2052" spans="1:23" x14ac:dyDescent="0.3">
      <c r="A2052" t="s">
        <v>76</v>
      </c>
      <c r="B2052" t="s">
        <v>538</v>
      </c>
      <c r="C2052" t="s">
        <v>37</v>
      </c>
      <c r="D2052" t="s">
        <v>26</v>
      </c>
      <c r="E2052">
        <v>3394</v>
      </c>
      <c r="F2052">
        <v>477.9</v>
      </c>
      <c r="G2052">
        <v>438.56</v>
      </c>
      <c r="H2052">
        <v>477.9</v>
      </c>
      <c r="I2052">
        <v>381</v>
      </c>
      <c r="J2052">
        <v>29</v>
      </c>
      <c r="K2052" s="17">
        <f t="shared" si="257"/>
        <v>368.29999999999995</v>
      </c>
      <c r="L2052" t="str">
        <f t="shared" si="258"/>
        <v>Sufficuent Stock</v>
      </c>
      <c r="P2052" s="19">
        <f t="shared" si="259"/>
        <v>0</v>
      </c>
      <c r="R2052" s="19">
        <f t="shared" si="256"/>
        <v>0</v>
      </c>
      <c r="T2052" s="19">
        <f t="shared" si="260"/>
        <v>167091.36000000002</v>
      </c>
      <c r="U2052" s="19">
        <f t="shared" si="261"/>
        <v>182079.9</v>
      </c>
      <c r="V2052" s="21">
        <f t="shared" si="262"/>
        <v>14988.539999999979</v>
      </c>
      <c r="W2052" s="18">
        <f t="shared" si="263"/>
        <v>8.9702663261583229E-2</v>
      </c>
    </row>
    <row r="2053" spans="1:23" x14ac:dyDescent="0.3">
      <c r="A2053" t="s">
        <v>328</v>
      </c>
      <c r="B2053" t="s">
        <v>2044</v>
      </c>
      <c r="C2053" t="s">
        <v>16</v>
      </c>
      <c r="D2053" t="s">
        <v>13</v>
      </c>
      <c r="E2053">
        <v>3395</v>
      </c>
      <c r="F2053">
        <v>169.57</v>
      </c>
      <c r="G2053">
        <v>150.22</v>
      </c>
      <c r="H2053">
        <v>169.57</v>
      </c>
      <c r="I2053">
        <v>3423</v>
      </c>
      <c r="J2053">
        <v>27</v>
      </c>
      <c r="K2053" s="17">
        <f t="shared" si="257"/>
        <v>3080.7</v>
      </c>
      <c r="L2053" t="str">
        <f t="shared" si="258"/>
        <v>Sufficuent Stock</v>
      </c>
      <c r="P2053" s="19">
        <f t="shared" si="259"/>
        <v>0</v>
      </c>
      <c r="R2053" s="19">
        <f t="shared" si="256"/>
        <v>0</v>
      </c>
      <c r="T2053" s="19">
        <f t="shared" si="260"/>
        <v>514203.06</v>
      </c>
      <c r="U2053" s="19">
        <f t="shared" si="261"/>
        <v>580438.11</v>
      </c>
      <c r="V2053" s="21">
        <f t="shared" si="262"/>
        <v>66235.049999999988</v>
      </c>
      <c r="W2053" s="18">
        <f t="shared" si="263"/>
        <v>0.12881107708693915</v>
      </c>
    </row>
    <row r="2054" spans="1:23" x14ac:dyDescent="0.3">
      <c r="A2054" t="s">
        <v>113</v>
      </c>
      <c r="B2054" t="s">
        <v>3358</v>
      </c>
      <c r="C2054" t="s">
        <v>16</v>
      </c>
      <c r="D2054" t="s">
        <v>26</v>
      </c>
      <c r="E2054">
        <v>3397</v>
      </c>
      <c r="F2054">
        <v>343.82</v>
      </c>
      <c r="G2054">
        <v>300.77</v>
      </c>
      <c r="H2054">
        <v>343.82</v>
      </c>
      <c r="I2054">
        <v>977</v>
      </c>
      <c r="J2054">
        <v>63</v>
      </c>
      <c r="K2054" s="17">
        <f t="shared" si="257"/>
        <v>2051.7000000000003</v>
      </c>
      <c r="L2054" t="str">
        <f t="shared" si="258"/>
        <v>Sufficuent Stock</v>
      </c>
      <c r="P2054" s="19">
        <f t="shared" si="259"/>
        <v>0</v>
      </c>
      <c r="R2054" s="19">
        <f t="shared" si="256"/>
        <v>0</v>
      </c>
      <c r="T2054" s="19">
        <f t="shared" si="260"/>
        <v>293852.28999999998</v>
      </c>
      <c r="U2054" s="19">
        <f t="shared" si="261"/>
        <v>335912.14</v>
      </c>
      <c r="V2054" s="21">
        <f t="shared" si="262"/>
        <v>42059.850000000035</v>
      </c>
      <c r="W2054" s="18">
        <f t="shared" si="263"/>
        <v>0.14313262625926801</v>
      </c>
    </row>
    <row r="2055" spans="1:23" x14ac:dyDescent="0.3">
      <c r="A2055" t="s">
        <v>53</v>
      </c>
      <c r="B2055" t="s">
        <v>2253</v>
      </c>
      <c r="C2055" t="s">
        <v>50</v>
      </c>
      <c r="D2055" t="s">
        <v>17</v>
      </c>
      <c r="E2055">
        <v>3402</v>
      </c>
      <c r="F2055">
        <v>517.21</v>
      </c>
      <c r="G2055">
        <v>455.12</v>
      </c>
      <c r="H2055">
        <v>517.21</v>
      </c>
      <c r="I2055">
        <v>2728</v>
      </c>
      <c r="J2055">
        <v>31</v>
      </c>
      <c r="K2055" s="17">
        <f t="shared" si="257"/>
        <v>2818.9333333333334</v>
      </c>
      <c r="L2055" t="str">
        <f t="shared" si="258"/>
        <v>Sufficuent Stock</v>
      </c>
      <c r="P2055" s="19">
        <f t="shared" si="259"/>
        <v>0</v>
      </c>
      <c r="R2055" s="19">
        <f t="shared" si="256"/>
        <v>0</v>
      </c>
      <c r="T2055" s="19">
        <f t="shared" si="260"/>
        <v>1241567.3600000001</v>
      </c>
      <c r="U2055" s="19">
        <f t="shared" si="261"/>
        <v>1410948.8800000001</v>
      </c>
      <c r="V2055" s="21">
        <f t="shared" si="262"/>
        <v>169381.52000000002</v>
      </c>
      <c r="W2055" s="18">
        <f t="shared" si="263"/>
        <v>0.13642555809456847</v>
      </c>
    </row>
    <row r="2056" spans="1:23" x14ac:dyDescent="0.3">
      <c r="A2056" t="s">
        <v>666</v>
      </c>
      <c r="B2056" t="s">
        <v>1082</v>
      </c>
      <c r="C2056" t="s">
        <v>16</v>
      </c>
      <c r="D2056" t="s">
        <v>69</v>
      </c>
      <c r="E2056">
        <v>3402</v>
      </c>
      <c r="F2056">
        <v>42.22</v>
      </c>
      <c r="G2056">
        <v>45.13</v>
      </c>
      <c r="H2056">
        <v>42.22</v>
      </c>
      <c r="I2056">
        <v>2061</v>
      </c>
      <c r="J2056">
        <v>66</v>
      </c>
      <c r="K2056" s="17">
        <f t="shared" si="257"/>
        <v>4534.2</v>
      </c>
      <c r="L2056" t="str">
        <f t="shared" si="258"/>
        <v>High Risk</v>
      </c>
      <c r="P2056" s="19">
        <f t="shared" si="259"/>
        <v>1133</v>
      </c>
      <c r="R2056" s="19">
        <f t="shared" si="256"/>
        <v>47835.26</v>
      </c>
      <c r="T2056" s="19">
        <f t="shared" si="260"/>
        <v>93012.930000000008</v>
      </c>
      <c r="U2056" s="19">
        <f t="shared" si="261"/>
        <v>87015.42</v>
      </c>
      <c r="V2056" s="21">
        <f t="shared" si="262"/>
        <v>-5997.5100000000093</v>
      </c>
      <c r="W2056" s="18">
        <f t="shared" si="263"/>
        <v>-6.448038998448935E-2</v>
      </c>
    </row>
    <row r="2057" spans="1:23" x14ac:dyDescent="0.3">
      <c r="A2057" t="s">
        <v>896</v>
      </c>
      <c r="B2057" t="s">
        <v>2893</v>
      </c>
      <c r="C2057" t="s">
        <v>50</v>
      </c>
      <c r="D2057" t="s">
        <v>13</v>
      </c>
      <c r="E2057">
        <v>3402</v>
      </c>
      <c r="F2057">
        <v>262.95999999999998</v>
      </c>
      <c r="G2057">
        <v>267.10000000000002</v>
      </c>
      <c r="H2057">
        <v>262.95999999999998</v>
      </c>
      <c r="I2057">
        <v>1106</v>
      </c>
      <c r="J2057">
        <v>42</v>
      </c>
      <c r="K2057" s="17">
        <f t="shared" si="257"/>
        <v>1548.4</v>
      </c>
      <c r="L2057" t="str">
        <f t="shared" si="258"/>
        <v>Sufficuent Stock</v>
      </c>
      <c r="P2057" s="19">
        <f t="shared" si="259"/>
        <v>0</v>
      </c>
      <c r="R2057" s="19">
        <f t="shared" si="256"/>
        <v>0</v>
      </c>
      <c r="T2057" s="19">
        <f t="shared" si="260"/>
        <v>295412.60000000003</v>
      </c>
      <c r="U2057" s="19">
        <f t="shared" si="261"/>
        <v>290833.75999999995</v>
      </c>
      <c r="V2057" s="21">
        <f t="shared" si="262"/>
        <v>-4578.8400000000838</v>
      </c>
      <c r="W2057" s="18">
        <f t="shared" si="263"/>
        <v>-1.5499812804193469E-2</v>
      </c>
    </row>
    <row r="2058" spans="1:23" x14ac:dyDescent="0.3">
      <c r="A2058" t="s">
        <v>2115</v>
      </c>
      <c r="B2058" t="s">
        <v>2306</v>
      </c>
      <c r="C2058" t="s">
        <v>16</v>
      </c>
      <c r="D2058" t="s">
        <v>13</v>
      </c>
      <c r="E2058">
        <v>3404</v>
      </c>
      <c r="F2058">
        <v>236.07</v>
      </c>
      <c r="G2058">
        <v>240.91</v>
      </c>
      <c r="H2058">
        <v>236.07</v>
      </c>
      <c r="I2058">
        <v>1770</v>
      </c>
      <c r="J2058">
        <v>12</v>
      </c>
      <c r="K2058" s="17">
        <f t="shared" si="257"/>
        <v>708</v>
      </c>
      <c r="L2058" t="str">
        <f t="shared" si="258"/>
        <v>Sufficuent Stock</v>
      </c>
      <c r="P2058" s="19">
        <f t="shared" si="259"/>
        <v>0</v>
      </c>
      <c r="R2058" s="19">
        <f t="shared" si="256"/>
        <v>0</v>
      </c>
      <c r="T2058" s="19">
        <f t="shared" si="260"/>
        <v>426410.7</v>
      </c>
      <c r="U2058" s="19">
        <f t="shared" si="261"/>
        <v>417843.89999999997</v>
      </c>
      <c r="V2058" s="21">
        <f t="shared" si="262"/>
        <v>-8566.8000000000466</v>
      </c>
      <c r="W2058" s="18">
        <f t="shared" si="263"/>
        <v>-2.0090490224565299E-2</v>
      </c>
    </row>
    <row r="2059" spans="1:23" x14ac:dyDescent="0.3">
      <c r="A2059" t="s">
        <v>347</v>
      </c>
      <c r="B2059" t="s">
        <v>2753</v>
      </c>
      <c r="C2059" t="s">
        <v>23</v>
      </c>
      <c r="D2059" t="s">
        <v>69</v>
      </c>
      <c r="E2059">
        <v>3406</v>
      </c>
      <c r="F2059">
        <v>477.92</v>
      </c>
      <c r="G2059">
        <v>415.27</v>
      </c>
      <c r="H2059">
        <v>477.92</v>
      </c>
      <c r="I2059">
        <v>2216</v>
      </c>
      <c r="J2059">
        <v>18</v>
      </c>
      <c r="K2059" s="17">
        <f t="shared" si="257"/>
        <v>1329.6</v>
      </c>
      <c r="L2059" t="str">
        <f t="shared" si="258"/>
        <v>Sufficuent Stock</v>
      </c>
      <c r="P2059" s="19">
        <f t="shared" si="259"/>
        <v>0</v>
      </c>
      <c r="R2059" s="19">
        <f t="shared" si="256"/>
        <v>0</v>
      </c>
      <c r="T2059" s="19">
        <f t="shared" si="260"/>
        <v>920238.32</v>
      </c>
      <c r="U2059" s="19">
        <f t="shared" si="261"/>
        <v>1059070.72</v>
      </c>
      <c r="V2059" s="21">
        <f t="shared" si="262"/>
        <v>138832.40000000002</v>
      </c>
      <c r="W2059" s="18">
        <f t="shared" si="263"/>
        <v>0.15086570183254272</v>
      </c>
    </row>
    <row r="2060" spans="1:23" x14ac:dyDescent="0.3">
      <c r="A2060" t="s">
        <v>773</v>
      </c>
      <c r="B2060" t="s">
        <v>774</v>
      </c>
      <c r="C2060" t="s">
        <v>12</v>
      </c>
      <c r="D2060" t="s">
        <v>17</v>
      </c>
      <c r="E2060">
        <v>3408</v>
      </c>
      <c r="F2060">
        <v>265.25</v>
      </c>
      <c r="G2060">
        <v>228.86</v>
      </c>
      <c r="H2060">
        <v>265.25</v>
      </c>
      <c r="I2060">
        <v>3279</v>
      </c>
      <c r="J2060">
        <v>16</v>
      </c>
      <c r="K2060" s="17">
        <f t="shared" si="257"/>
        <v>1748.8</v>
      </c>
      <c r="L2060" t="str">
        <f t="shared" si="258"/>
        <v>Sufficuent Stock</v>
      </c>
      <c r="P2060" s="19">
        <f t="shared" si="259"/>
        <v>0</v>
      </c>
      <c r="R2060" s="19">
        <f t="shared" si="256"/>
        <v>0</v>
      </c>
      <c r="T2060" s="19">
        <f t="shared" si="260"/>
        <v>750431.94000000006</v>
      </c>
      <c r="U2060" s="19">
        <f t="shared" si="261"/>
        <v>869754.75</v>
      </c>
      <c r="V2060" s="21">
        <f t="shared" si="262"/>
        <v>119322.80999999994</v>
      </c>
      <c r="W2060" s="18">
        <f t="shared" si="263"/>
        <v>0.15900550554924398</v>
      </c>
    </row>
    <row r="2061" spans="1:23" x14ac:dyDescent="0.3">
      <c r="A2061" t="s">
        <v>387</v>
      </c>
      <c r="B2061" t="s">
        <v>577</v>
      </c>
      <c r="C2061" t="s">
        <v>16</v>
      </c>
      <c r="D2061" t="s">
        <v>13</v>
      </c>
      <c r="E2061">
        <v>3412</v>
      </c>
      <c r="F2061">
        <v>274.74</v>
      </c>
      <c r="G2061">
        <v>274.04000000000002</v>
      </c>
      <c r="H2061">
        <v>274.74</v>
      </c>
      <c r="I2061">
        <v>1931</v>
      </c>
      <c r="J2061">
        <v>21</v>
      </c>
      <c r="K2061" s="17">
        <f t="shared" si="257"/>
        <v>1351.6999999999998</v>
      </c>
      <c r="L2061" t="str">
        <f t="shared" si="258"/>
        <v>Sufficuent Stock</v>
      </c>
      <c r="P2061" s="19">
        <f t="shared" si="259"/>
        <v>0</v>
      </c>
      <c r="R2061" s="19">
        <f t="shared" si="256"/>
        <v>0</v>
      </c>
      <c r="T2061" s="19">
        <f t="shared" si="260"/>
        <v>529171.24</v>
      </c>
      <c r="U2061" s="19">
        <f t="shared" si="261"/>
        <v>530522.94000000006</v>
      </c>
      <c r="V2061" s="21">
        <f t="shared" si="262"/>
        <v>1351.7000000000698</v>
      </c>
      <c r="W2061" s="18">
        <f t="shared" si="263"/>
        <v>2.5543716245804851E-3</v>
      </c>
    </row>
    <row r="2062" spans="1:23" x14ac:dyDescent="0.3">
      <c r="A2062" t="s">
        <v>755</v>
      </c>
      <c r="B2062" t="s">
        <v>2269</v>
      </c>
      <c r="C2062" t="s">
        <v>12</v>
      </c>
      <c r="D2062" t="s">
        <v>17</v>
      </c>
      <c r="E2062">
        <v>3415</v>
      </c>
      <c r="F2062">
        <v>103.28</v>
      </c>
      <c r="G2062">
        <v>100.67</v>
      </c>
      <c r="H2062">
        <v>103.28</v>
      </c>
      <c r="I2062">
        <v>2161</v>
      </c>
      <c r="J2062">
        <v>88</v>
      </c>
      <c r="K2062" s="17">
        <f t="shared" si="257"/>
        <v>6338.9333333333334</v>
      </c>
      <c r="L2062" t="str">
        <f t="shared" si="258"/>
        <v>High Risk</v>
      </c>
      <c r="P2062" s="19">
        <f t="shared" si="259"/>
        <v>2924</v>
      </c>
      <c r="R2062" s="19">
        <f t="shared" si="256"/>
        <v>301990.72000000003</v>
      </c>
      <c r="T2062" s="19">
        <f t="shared" si="260"/>
        <v>217547.87</v>
      </c>
      <c r="U2062" s="19">
        <f t="shared" si="261"/>
        <v>223188.08000000002</v>
      </c>
      <c r="V2062" s="21">
        <f t="shared" si="262"/>
        <v>5640.210000000021</v>
      </c>
      <c r="W2062" s="18">
        <f t="shared" si="263"/>
        <v>2.5926293831330185E-2</v>
      </c>
    </row>
    <row r="2063" spans="1:23" x14ac:dyDescent="0.3">
      <c r="A2063" t="s">
        <v>796</v>
      </c>
      <c r="B2063" t="s">
        <v>1879</v>
      </c>
      <c r="C2063" t="s">
        <v>23</v>
      </c>
      <c r="D2063" t="s">
        <v>13</v>
      </c>
      <c r="E2063">
        <v>3418</v>
      </c>
      <c r="F2063">
        <v>259.13</v>
      </c>
      <c r="G2063">
        <v>277.37</v>
      </c>
      <c r="H2063">
        <v>259.13</v>
      </c>
      <c r="I2063">
        <v>1530</v>
      </c>
      <c r="J2063">
        <v>72</v>
      </c>
      <c r="K2063" s="17">
        <f t="shared" si="257"/>
        <v>3672</v>
      </c>
      <c r="L2063" t="str">
        <f t="shared" si="258"/>
        <v>High Risk</v>
      </c>
      <c r="P2063" s="19">
        <f t="shared" si="259"/>
        <v>254</v>
      </c>
      <c r="R2063" s="19">
        <f t="shared" si="256"/>
        <v>65819.02</v>
      </c>
      <c r="T2063" s="19">
        <f t="shared" si="260"/>
        <v>424376.10000000003</v>
      </c>
      <c r="U2063" s="19">
        <f t="shared" si="261"/>
        <v>396468.89999999997</v>
      </c>
      <c r="V2063" s="21">
        <f t="shared" si="262"/>
        <v>-27907.20000000007</v>
      </c>
      <c r="W2063" s="18">
        <f t="shared" si="263"/>
        <v>-6.5760536467534506E-2</v>
      </c>
    </row>
    <row r="2064" spans="1:23" x14ac:dyDescent="0.3">
      <c r="A2064" t="s">
        <v>434</v>
      </c>
      <c r="B2064" t="s">
        <v>558</v>
      </c>
      <c r="C2064" t="s">
        <v>37</v>
      </c>
      <c r="D2064" t="s">
        <v>69</v>
      </c>
      <c r="E2064">
        <v>3423</v>
      </c>
      <c r="F2064">
        <v>465.32</v>
      </c>
      <c r="G2064">
        <v>427.8</v>
      </c>
      <c r="H2064">
        <v>465.32</v>
      </c>
      <c r="I2064">
        <v>2300</v>
      </c>
      <c r="J2064">
        <v>46</v>
      </c>
      <c r="K2064" s="17">
        <f t="shared" si="257"/>
        <v>3526.666666666667</v>
      </c>
      <c r="L2064" t="str">
        <f t="shared" si="258"/>
        <v>High Risk</v>
      </c>
      <c r="P2064" s="19">
        <f t="shared" si="259"/>
        <v>104</v>
      </c>
      <c r="R2064" s="19">
        <f t="shared" si="256"/>
        <v>48393.279999999999</v>
      </c>
      <c r="T2064" s="19">
        <f t="shared" si="260"/>
        <v>983940</v>
      </c>
      <c r="U2064" s="19">
        <f t="shared" si="261"/>
        <v>1070236</v>
      </c>
      <c r="V2064" s="21">
        <f t="shared" si="262"/>
        <v>86296</v>
      </c>
      <c r="W2064" s="18">
        <f t="shared" si="263"/>
        <v>8.7704534829359512E-2</v>
      </c>
    </row>
    <row r="2065" spans="1:23" x14ac:dyDescent="0.3">
      <c r="A2065" t="s">
        <v>393</v>
      </c>
      <c r="B2065" t="s">
        <v>1710</v>
      </c>
      <c r="C2065" t="s">
        <v>16</v>
      </c>
      <c r="D2065" t="s">
        <v>13</v>
      </c>
      <c r="E2065">
        <v>3423</v>
      </c>
      <c r="F2065">
        <v>256.55</v>
      </c>
      <c r="G2065">
        <v>244.36</v>
      </c>
      <c r="H2065">
        <v>256.55</v>
      </c>
      <c r="I2065">
        <v>238</v>
      </c>
      <c r="J2065">
        <v>35</v>
      </c>
      <c r="K2065" s="17">
        <f t="shared" si="257"/>
        <v>277.66666666666669</v>
      </c>
      <c r="L2065" t="str">
        <f t="shared" si="258"/>
        <v>Sufficuent Stock</v>
      </c>
      <c r="P2065" s="19">
        <f t="shared" si="259"/>
        <v>0</v>
      </c>
      <c r="R2065" s="19">
        <f t="shared" si="256"/>
        <v>0</v>
      </c>
      <c r="T2065" s="19">
        <f t="shared" si="260"/>
        <v>58157.68</v>
      </c>
      <c r="U2065" s="19">
        <f t="shared" si="261"/>
        <v>61058.9</v>
      </c>
      <c r="V2065" s="21">
        <f t="shared" si="262"/>
        <v>2901.2200000000012</v>
      </c>
      <c r="W2065" s="18">
        <f t="shared" si="263"/>
        <v>4.9885414961532183E-2</v>
      </c>
    </row>
    <row r="2066" spans="1:23" x14ac:dyDescent="0.3">
      <c r="A2066" t="s">
        <v>393</v>
      </c>
      <c r="B2066" t="s">
        <v>2401</v>
      </c>
      <c r="C2066" t="s">
        <v>12</v>
      </c>
      <c r="D2066" t="s">
        <v>26</v>
      </c>
      <c r="E2066">
        <v>3425</v>
      </c>
      <c r="F2066">
        <v>183.1</v>
      </c>
      <c r="G2066">
        <v>181.34</v>
      </c>
      <c r="H2066">
        <v>183.1</v>
      </c>
      <c r="I2066">
        <v>3934</v>
      </c>
      <c r="J2066">
        <v>75</v>
      </c>
      <c r="K2066" s="17">
        <f t="shared" si="257"/>
        <v>9835</v>
      </c>
      <c r="L2066" t="str">
        <f t="shared" si="258"/>
        <v>High Risk</v>
      </c>
      <c r="P2066" s="19">
        <f t="shared" si="259"/>
        <v>6410</v>
      </c>
      <c r="R2066" s="19">
        <f t="shared" si="256"/>
        <v>1173671</v>
      </c>
      <c r="T2066" s="19">
        <f t="shared" si="260"/>
        <v>713391.56</v>
      </c>
      <c r="U2066" s="19">
        <f t="shared" si="261"/>
        <v>720315.4</v>
      </c>
      <c r="V2066" s="21">
        <f t="shared" si="262"/>
        <v>6923.8399999999674</v>
      </c>
      <c r="W2066" s="18">
        <f t="shared" si="263"/>
        <v>9.7055255321495063E-3</v>
      </c>
    </row>
    <row r="2067" spans="1:23" x14ac:dyDescent="0.3">
      <c r="A2067" t="s">
        <v>988</v>
      </c>
      <c r="B2067" t="s">
        <v>1173</v>
      </c>
      <c r="C2067" t="s">
        <v>23</v>
      </c>
      <c r="D2067" t="s">
        <v>26</v>
      </c>
      <c r="E2067">
        <v>3427</v>
      </c>
      <c r="F2067">
        <v>331.09</v>
      </c>
      <c r="G2067">
        <v>332.29</v>
      </c>
      <c r="H2067">
        <v>331.09</v>
      </c>
      <c r="I2067">
        <v>1762</v>
      </c>
      <c r="J2067">
        <v>83</v>
      </c>
      <c r="K2067" s="17">
        <f t="shared" si="257"/>
        <v>4874.8666666666668</v>
      </c>
      <c r="L2067" t="str">
        <f t="shared" si="258"/>
        <v>High Risk</v>
      </c>
      <c r="P2067" s="19">
        <f t="shared" si="259"/>
        <v>1448</v>
      </c>
      <c r="R2067" s="19">
        <f t="shared" si="256"/>
        <v>479418.31999999995</v>
      </c>
      <c r="T2067" s="19">
        <f t="shared" si="260"/>
        <v>585494.98</v>
      </c>
      <c r="U2067" s="19">
        <f t="shared" si="261"/>
        <v>583380.57999999996</v>
      </c>
      <c r="V2067" s="21">
        <f t="shared" si="262"/>
        <v>-2114.4000000000233</v>
      </c>
      <c r="W2067" s="18">
        <f t="shared" si="263"/>
        <v>-3.6113033795781191E-3</v>
      </c>
    </row>
    <row r="2068" spans="1:23" x14ac:dyDescent="0.3">
      <c r="A2068" t="s">
        <v>374</v>
      </c>
      <c r="B2068" t="s">
        <v>2610</v>
      </c>
      <c r="C2068" t="s">
        <v>50</v>
      </c>
      <c r="D2068" t="s">
        <v>13</v>
      </c>
      <c r="E2068">
        <v>3428</v>
      </c>
      <c r="F2068">
        <v>470.8</v>
      </c>
      <c r="G2068">
        <v>469.74</v>
      </c>
      <c r="H2068">
        <v>470.8</v>
      </c>
      <c r="I2068">
        <v>1181</v>
      </c>
      <c r="J2068">
        <v>39</v>
      </c>
      <c r="K2068" s="17">
        <f t="shared" si="257"/>
        <v>1535.3</v>
      </c>
      <c r="L2068" t="str">
        <f t="shared" si="258"/>
        <v>Sufficuent Stock</v>
      </c>
      <c r="P2068" s="19">
        <f t="shared" si="259"/>
        <v>0</v>
      </c>
      <c r="R2068" s="19">
        <f t="shared" si="256"/>
        <v>0</v>
      </c>
      <c r="T2068" s="19">
        <f t="shared" si="260"/>
        <v>554762.94000000006</v>
      </c>
      <c r="U2068" s="19">
        <f t="shared" si="261"/>
        <v>556014.80000000005</v>
      </c>
      <c r="V2068" s="21">
        <f t="shared" si="262"/>
        <v>1251.859999999986</v>
      </c>
      <c r="W2068" s="18">
        <f t="shared" si="263"/>
        <v>2.2565674628517648E-3</v>
      </c>
    </row>
    <row r="2069" spans="1:23" x14ac:dyDescent="0.3">
      <c r="A2069" t="s">
        <v>597</v>
      </c>
      <c r="B2069" t="s">
        <v>966</v>
      </c>
      <c r="C2069" t="s">
        <v>16</v>
      </c>
      <c r="D2069" t="s">
        <v>20</v>
      </c>
      <c r="E2069">
        <v>3429</v>
      </c>
      <c r="F2069">
        <v>80.959999999999994</v>
      </c>
      <c r="G2069">
        <v>79.010000000000005</v>
      </c>
      <c r="H2069">
        <v>80.959999999999994</v>
      </c>
      <c r="I2069">
        <v>1691</v>
      </c>
      <c r="J2069">
        <v>48</v>
      </c>
      <c r="K2069" s="17">
        <f t="shared" si="257"/>
        <v>2705.6</v>
      </c>
      <c r="L2069" t="str">
        <f t="shared" si="258"/>
        <v>Sufficuent Stock</v>
      </c>
      <c r="P2069" s="19">
        <f t="shared" si="259"/>
        <v>0</v>
      </c>
      <c r="R2069" s="19">
        <f t="shared" si="256"/>
        <v>0</v>
      </c>
      <c r="T2069" s="19">
        <f t="shared" si="260"/>
        <v>133605.91</v>
      </c>
      <c r="U2069" s="19">
        <f t="shared" si="261"/>
        <v>136903.35999999999</v>
      </c>
      <c r="V2069" s="21">
        <f t="shared" si="262"/>
        <v>3297.4499999999825</v>
      </c>
      <c r="W2069" s="18">
        <f t="shared" si="263"/>
        <v>2.4680420199974556E-2</v>
      </c>
    </row>
    <row r="2070" spans="1:23" x14ac:dyDescent="0.3">
      <c r="A2070" t="s">
        <v>607</v>
      </c>
      <c r="B2070" t="s">
        <v>991</v>
      </c>
      <c r="C2070" t="s">
        <v>23</v>
      </c>
      <c r="D2070" t="s">
        <v>17</v>
      </c>
      <c r="E2070">
        <v>3430</v>
      </c>
      <c r="F2070">
        <v>88.95</v>
      </c>
      <c r="G2070">
        <v>78.88</v>
      </c>
      <c r="H2070">
        <v>88.95</v>
      </c>
      <c r="I2070">
        <v>1341</v>
      </c>
      <c r="J2070">
        <v>41</v>
      </c>
      <c r="K2070" s="17">
        <f t="shared" si="257"/>
        <v>1832.7</v>
      </c>
      <c r="L2070" t="str">
        <f t="shared" si="258"/>
        <v>Sufficuent Stock</v>
      </c>
      <c r="P2070" s="19">
        <f t="shared" si="259"/>
        <v>0</v>
      </c>
      <c r="R2070" s="19">
        <f t="shared" si="256"/>
        <v>0</v>
      </c>
      <c r="T2070" s="19">
        <f t="shared" si="260"/>
        <v>105778.07999999999</v>
      </c>
      <c r="U2070" s="19">
        <f t="shared" si="261"/>
        <v>119281.95</v>
      </c>
      <c r="V2070" s="21">
        <f t="shared" si="262"/>
        <v>13503.87000000001</v>
      </c>
      <c r="W2070" s="18">
        <f t="shared" si="263"/>
        <v>0.12766227180527395</v>
      </c>
    </row>
    <row r="2071" spans="1:23" x14ac:dyDescent="0.3">
      <c r="A2071" t="s">
        <v>251</v>
      </c>
      <c r="B2071" t="s">
        <v>2236</v>
      </c>
      <c r="C2071" t="s">
        <v>50</v>
      </c>
      <c r="D2071" t="s">
        <v>17</v>
      </c>
      <c r="E2071">
        <v>3434</v>
      </c>
      <c r="F2071">
        <v>171.26</v>
      </c>
      <c r="G2071">
        <v>171.7</v>
      </c>
      <c r="H2071">
        <v>171.26</v>
      </c>
      <c r="I2071">
        <v>116</v>
      </c>
      <c r="J2071">
        <v>47</v>
      </c>
      <c r="K2071" s="17">
        <f t="shared" si="257"/>
        <v>181.73333333333335</v>
      </c>
      <c r="L2071" t="str">
        <f t="shared" si="258"/>
        <v>Sufficuent Stock</v>
      </c>
      <c r="P2071" s="19">
        <f t="shared" si="259"/>
        <v>0</v>
      </c>
      <c r="R2071" s="19">
        <f t="shared" si="256"/>
        <v>0</v>
      </c>
      <c r="T2071" s="19">
        <f t="shared" si="260"/>
        <v>19917.199999999997</v>
      </c>
      <c r="U2071" s="19">
        <f t="shared" si="261"/>
        <v>19866.16</v>
      </c>
      <c r="V2071" s="21">
        <f t="shared" si="262"/>
        <v>-51.039999999997235</v>
      </c>
      <c r="W2071" s="18">
        <f t="shared" si="263"/>
        <v>-2.5626092020965417E-3</v>
      </c>
    </row>
    <row r="2072" spans="1:23" x14ac:dyDescent="0.3">
      <c r="A2072" t="s">
        <v>270</v>
      </c>
      <c r="B2072" t="s">
        <v>1179</v>
      </c>
      <c r="C2072" t="s">
        <v>37</v>
      </c>
      <c r="D2072" t="s">
        <v>20</v>
      </c>
      <c r="E2072">
        <v>3436</v>
      </c>
      <c r="F2072">
        <v>253.52</v>
      </c>
      <c r="G2072">
        <v>227.39</v>
      </c>
      <c r="H2072">
        <v>253.52</v>
      </c>
      <c r="I2072">
        <v>2973</v>
      </c>
      <c r="J2072">
        <v>71</v>
      </c>
      <c r="K2072" s="17">
        <f t="shared" si="257"/>
        <v>7036.0999999999995</v>
      </c>
      <c r="L2072" t="str">
        <f t="shared" si="258"/>
        <v>High Risk</v>
      </c>
      <c r="P2072" s="19">
        <f t="shared" si="259"/>
        <v>3601</v>
      </c>
      <c r="R2072" s="19">
        <f t="shared" si="256"/>
        <v>912925.52</v>
      </c>
      <c r="T2072" s="19">
        <f t="shared" si="260"/>
        <v>676030.47</v>
      </c>
      <c r="U2072" s="19">
        <f t="shared" si="261"/>
        <v>753714.96000000008</v>
      </c>
      <c r="V2072" s="21">
        <f t="shared" si="262"/>
        <v>77684.490000000107</v>
      </c>
      <c r="W2072" s="18">
        <f t="shared" si="263"/>
        <v>0.11491270504419736</v>
      </c>
    </row>
    <row r="2073" spans="1:23" x14ac:dyDescent="0.3">
      <c r="A2073" t="s">
        <v>1410</v>
      </c>
      <c r="B2073" t="s">
        <v>3137</v>
      </c>
      <c r="C2073" t="s">
        <v>23</v>
      </c>
      <c r="D2073" t="s">
        <v>13</v>
      </c>
      <c r="E2073">
        <v>3438</v>
      </c>
      <c r="F2073">
        <v>436.54</v>
      </c>
      <c r="G2073">
        <v>383.42</v>
      </c>
      <c r="H2073">
        <v>436.54</v>
      </c>
      <c r="I2073">
        <v>792</v>
      </c>
      <c r="J2073">
        <v>73</v>
      </c>
      <c r="K2073" s="17">
        <f t="shared" si="257"/>
        <v>1927.1999999999998</v>
      </c>
      <c r="L2073" t="str">
        <f t="shared" si="258"/>
        <v>Sufficuent Stock</v>
      </c>
      <c r="P2073" s="19">
        <f t="shared" si="259"/>
        <v>0</v>
      </c>
      <c r="R2073" s="19">
        <f t="shared" si="256"/>
        <v>0</v>
      </c>
      <c r="T2073" s="19">
        <f t="shared" si="260"/>
        <v>303668.64</v>
      </c>
      <c r="U2073" s="19">
        <f t="shared" si="261"/>
        <v>345739.68</v>
      </c>
      <c r="V2073" s="21">
        <f t="shared" si="262"/>
        <v>42071.039999999979</v>
      </c>
      <c r="W2073" s="18">
        <f t="shared" si="263"/>
        <v>0.1385425903708726</v>
      </c>
    </row>
    <row r="2074" spans="1:23" x14ac:dyDescent="0.3">
      <c r="A2074" t="s">
        <v>240</v>
      </c>
      <c r="B2074" t="s">
        <v>3078</v>
      </c>
      <c r="C2074" t="s">
        <v>12</v>
      </c>
      <c r="D2074" t="s">
        <v>17</v>
      </c>
      <c r="E2074">
        <v>3438</v>
      </c>
      <c r="F2074">
        <v>22.07</v>
      </c>
      <c r="G2074">
        <v>19.309999999999999</v>
      </c>
      <c r="H2074">
        <v>22.07</v>
      </c>
      <c r="I2074">
        <v>2111</v>
      </c>
      <c r="J2074">
        <v>89</v>
      </c>
      <c r="K2074" s="17">
        <f t="shared" si="257"/>
        <v>6262.6333333333323</v>
      </c>
      <c r="L2074" t="str">
        <f t="shared" si="258"/>
        <v>High Risk</v>
      </c>
      <c r="P2074" s="19">
        <f t="shared" si="259"/>
        <v>2825</v>
      </c>
      <c r="R2074" s="19">
        <f t="shared" si="256"/>
        <v>62347.75</v>
      </c>
      <c r="T2074" s="19">
        <f t="shared" si="260"/>
        <v>40763.409999999996</v>
      </c>
      <c r="U2074" s="19">
        <f t="shared" si="261"/>
        <v>46589.770000000004</v>
      </c>
      <c r="V2074" s="21">
        <f t="shared" si="262"/>
        <v>5826.3600000000079</v>
      </c>
      <c r="W2074" s="18">
        <f t="shared" si="263"/>
        <v>0.14293112377006753</v>
      </c>
    </row>
    <row r="2075" spans="1:23" x14ac:dyDescent="0.3">
      <c r="A2075" t="s">
        <v>340</v>
      </c>
      <c r="B2075" t="s">
        <v>1357</v>
      </c>
      <c r="C2075" t="s">
        <v>23</v>
      </c>
      <c r="D2075" t="s">
        <v>26</v>
      </c>
      <c r="E2075">
        <v>3439</v>
      </c>
      <c r="F2075">
        <v>223.72</v>
      </c>
      <c r="G2075">
        <v>188.05</v>
      </c>
      <c r="H2075">
        <v>223.72</v>
      </c>
      <c r="I2075">
        <v>2514</v>
      </c>
      <c r="J2075">
        <v>35</v>
      </c>
      <c r="K2075" s="17">
        <f t="shared" si="257"/>
        <v>2933</v>
      </c>
      <c r="L2075" t="str">
        <f t="shared" si="258"/>
        <v>Sufficuent Stock</v>
      </c>
      <c r="P2075" s="19">
        <f t="shared" si="259"/>
        <v>0</v>
      </c>
      <c r="R2075" s="19">
        <f t="shared" si="256"/>
        <v>0</v>
      </c>
      <c r="T2075" s="19">
        <f t="shared" si="260"/>
        <v>472757.7</v>
      </c>
      <c r="U2075" s="19">
        <f t="shared" si="261"/>
        <v>562432.07999999996</v>
      </c>
      <c r="V2075" s="21">
        <f t="shared" si="262"/>
        <v>89674.379999999946</v>
      </c>
      <c r="W2075" s="18">
        <f t="shared" si="263"/>
        <v>0.18968359478861993</v>
      </c>
    </row>
    <row r="2076" spans="1:23" x14ac:dyDescent="0.3">
      <c r="A2076" t="s">
        <v>743</v>
      </c>
      <c r="B2076" t="s">
        <v>1570</v>
      </c>
      <c r="C2076" t="s">
        <v>50</v>
      </c>
      <c r="D2076" t="s">
        <v>17</v>
      </c>
      <c r="E2076">
        <v>3439</v>
      </c>
      <c r="F2076">
        <v>373.35</v>
      </c>
      <c r="G2076">
        <v>369.28</v>
      </c>
      <c r="H2076">
        <v>373.35</v>
      </c>
      <c r="I2076">
        <v>2427</v>
      </c>
      <c r="J2076">
        <v>22</v>
      </c>
      <c r="K2076" s="17">
        <f t="shared" si="257"/>
        <v>1779.8000000000002</v>
      </c>
      <c r="L2076" t="str">
        <f t="shared" si="258"/>
        <v>Sufficuent Stock</v>
      </c>
      <c r="P2076" s="19">
        <f t="shared" si="259"/>
        <v>0</v>
      </c>
      <c r="R2076" s="19">
        <f t="shared" si="256"/>
        <v>0</v>
      </c>
      <c r="T2076" s="19">
        <f t="shared" si="260"/>
        <v>896242.55999999994</v>
      </c>
      <c r="U2076" s="19">
        <f t="shared" si="261"/>
        <v>906120.45000000007</v>
      </c>
      <c r="V2076" s="21">
        <f t="shared" si="262"/>
        <v>9877.8900000001304</v>
      </c>
      <c r="W2076" s="18">
        <f t="shared" si="263"/>
        <v>1.1021447140381429E-2</v>
      </c>
    </row>
    <row r="2077" spans="1:23" x14ac:dyDescent="0.3">
      <c r="A2077" t="s">
        <v>84</v>
      </c>
      <c r="B2077" t="s">
        <v>1174</v>
      </c>
      <c r="C2077" t="s">
        <v>50</v>
      </c>
      <c r="D2077" t="s">
        <v>69</v>
      </c>
      <c r="E2077">
        <v>3447</v>
      </c>
      <c r="F2077">
        <v>340.66</v>
      </c>
      <c r="G2077">
        <v>330.97</v>
      </c>
      <c r="H2077">
        <v>340.66</v>
      </c>
      <c r="I2077">
        <v>1371</v>
      </c>
      <c r="J2077">
        <v>12</v>
      </c>
      <c r="K2077" s="17">
        <f t="shared" si="257"/>
        <v>548.40000000000009</v>
      </c>
      <c r="L2077" t="str">
        <f t="shared" si="258"/>
        <v>Sufficuent Stock</v>
      </c>
      <c r="P2077" s="19">
        <f t="shared" si="259"/>
        <v>0</v>
      </c>
      <c r="R2077" s="19">
        <f t="shared" si="256"/>
        <v>0</v>
      </c>
      <c r="T2077" s="19">
        <f t="shared" si="260"/>
        <v>453759.87000000005</v>
      </c>
      <c r="U2077" s="19">
        <f t="shared" si="261"/>
        <v>467044.86000000004</v>
      </c>
      <c r="V2077" s="21">
        <f t="shared" si="262"/>
        <v>13284.989999999991</v>
      </c>
      <c r="W2077" s="18">
        <f t="shared" si="263"/>
        <v>2.9277578028220057E-2</v>
      </c>
    </row>
    <row r="2078" spans="1:23" x14ac:dyDescent="0.3">
      <c r="A2078" t="s">
        <v>161</v>
      </c>
      <c r="B2078" t="s">
        <v>255</v>
      </c>
      <c r="C2078" t="s">
        <v>23</v>
      </c>
      <c r="D2078" t="s">
        <v>20</v>
      </c>
      <c r="E2078">
        <v>3448</v>
      </c>
      <c r="F2078">
        <v>136.04</v>
      </c>
      <c r="G2078">
        <v>131.05000000000001</v>
      </c>
      <c r="H2078">
        <v>136.04</v>
      </c>
      <c r="I2078">
        <v>3624</v>
      </c>
      <c r="J2078">
        <v>10</v>
      </c>
      <c r="K2078" s="17">
        <f t="shared" si="257"/>
        <v>1208</v>
      </c>
      <c r="L2078" t="str">
        <f t="shared" si="258"/>
        <v>Sufficuent Stock</v>
      </c>
      <c r="P2078" s="19">
        <f t="shared" si="259"/>
        <v>0</v>
      </c>
      <c r="R2078" s="19">
        <f t="shared" si="256"/>
        <v>0</v>
      </c>
      <c r="T2078" s="19">
        <f t="shared" si="260"/>
        <v>474925.20000000007</v>
      </c>
      <c r="U2078" s="19">
        <f t="shared" si="261"/>
        <v>493008.95999999996</v>
      </c>
      <c r="V2078" s="21">
        <f t="shared" si="262"/>
        <v>18083.759999999893</v>
      </c>
      <c r="W2078" s="18">
        <f t="shared" si="263"/>
        <v>3.8077069820678898E-2</v>
      </c>
    </row>
    <row r="2079" spans="1:23" x14ac:dyDescent="0.3">
      <c r="A2079" t="s">
        <v>472</v>
      </c>
      <c r="B2079" t="s">
        <v>2879</v>
      </c>
      <c r="C2079" t="s">
        <v>12</v>
      </c>
      <c r="D2079" t="s">
        <v>20</v>
      </c>
      <c r="E2079">
        <v>3453</v>
      </c>
      <c r="F2079">
        <v>490.83</v>
      </c>
      <c r="G2079">
        <v>480.53</v>
      </c>
      <c r="H2079">
        <v>490.83</v>
      </c>
      <c r="I2079">
        <v>1620</v>
      </c>
      <c r="J2079">
        <v>73</v>
      </c>
      <c r="K2079" s="17">
        <f t="shared" si="257"/>
        <v>3942</v>
      </c>
      <c r="L2079" t="str">
        <f t="shared" si="258"/>
        <v>High Risk</v>
      </c>
      <c r="P2079" s="19">
        <f t="shared" si="259"/>
        <v>489</v>
      </c>
      <c r="R2079" s="19">
        <f t="shared" si="256"/>
        <v>240015.87</v>
      </c>
      <c r="T2079" s="19">
        <f t="shared" si="260"/>
        <v>778458.6</v>
      </c>
      <c r="U2079" s="19">
        <f t="shared" si="261"/>
        <v>795144.6</v>
      </c>
      <c r="V2079" s="21">
        <f t="shared" si="262"/>
        <v>16686</v>
      </c>
      <c r="W2079" s="18">
        <f t="shared" si="263"/>
        <v>2.143466588974674E-2</v>
      </c>
    </row>
    <row r="2080" spans="1:23" x14ac:dyDescent="0.3">
      <c r="A2080" t="s">
        <v>896</v>
      </c>
      <c r="B2080" t="s">
        <v>1183</v>
      </c>
      <c r="C2080" t="s">
        <v>12</v>
      </c>
      <c r="D2080" t="s">
        <v>13</v>
      </c>
      <c r="E2080">
        <v>3453</v>
      </c>
      <c r="F2080">
        <v>272.77</v>
      </c>
      <c r="G2080">
        <v>232.73</v>
      </c>
      <c r="H2080">
        <v>272.77</v>
      </c>
      <c r="I2080">
        <v>3574</v>
      </c>
      <c r="J2080">
        <v>68</v>
      </c>
      <c r="K2080" s="17">
        <f t="shared" si="257"/>
        <v>8101.0666666666675</v>
      </c>
      <c r="L2080" t="str">
        <f t="shared" si="258"/>
        <v>High Risk</v>
      </c>
      <c r="P2080" s="19">
        <f t="shared" si="259"/>
        <v>4649</v>
      </c>
      <c r="R2080" s="19">
        <f t="shared" si="256"/>
        <v>1268107.73</v>
      </c>
      <c r="T2080" s="19">
        <f t="shared" si="260"/>
        <v>831777.02</v>
      </c>
      <c r="U2080" s="19">
        <f t="shared" si="261"/>
        <v>974879.98</v>
      </c>
      <c r="V2080" s="21">
        <f t="shared" si="262"/>
        <v>143102.95999999996</v>
      </c>
      <c r="W2080" s="18">
        <f t="shared" si="263"/>
        <v>0.17204485884931031</v>
      </c>
    </row>
    <row r="2081" spans="1:23" x14ac:dyDescent="0.3">
      <c r="A2081" t="s">
        <v>398</v>
      </c>
      <c r="B2081" t="s">
        <v>2934</v>
      </c>
      <c r="C2081" t="s">
        <v>12</v>
      </c>
      <c r="D2081" t="s">
        <v>20</v>
      </c>
      <c r="E2081">
        <v>3454</v>
      </c>
      <c r="F2081">
        <v>12.79</v>
      </c>
      <c r="G2081">
        <v>12.88</v>
      </c>
      <c r="H2081">
        <v>12.79</v>
      </c>
      <c r="I2081">
        <v>1027</v>
      </c>
      <c r="J2081">
        <v>23</v>
      </c>
      <c r="K2081" s="17">
        <f t="shared" si="257"/>
        <v>787.36666666666667</v>
      </c>
      <c r="L2081" t="str">
        <f t="shared" si="258"/>
        <v>Sufficuent Stock</v>
      </c>
      <c r="P2081" s="19">
        <f t="shared" si="259"/>
        <v>0</v>
      </c>
      <c r="R2081" s="19">
        <f t="shared" si="256"/>
        <v>0</v>
      </c>
      <c r="T2081" s="19">
        <f t="shared" si="260"/>
        <v>13227.76</v>
      </c>
      <c r="U2081" s="19">
        <f t="shared" si="261"/>
        <v>13135.33</v>
      </c>
      <c r="V2081" s="21">
        <f t="shared" si="262"/>
        <v>-92.430000000000291</v>
      </c>
      <c r="W2081" s="18">
        <f t="shared" si="263"/>
        <v>-6.9875776397515747E-3</v>
      </c>
    </row>
    <row r="2082" spans="1:23" x14ac:dyDescent="0.3">
      <c r="A2082" t="s">
        <v>113</v>
      </c>
      <c r="B2082" t="s">
        <v>114</v>
      </c>
      <c r="C2082" t="s">
        <v>37</v>
      </c>
      <c r="D2082" t="s">
        <v>69</v>
      </c>
      <c r="E2082">
        <v>3457</v>
      </c>
      <c r="F2082">
        <v>373.23</v>
      </c>
      <c r="G2082">
        <v>351.24</v>
      </c>
      <c r="H2082">
        <v>373.23</v>
      </c>
      <c r="I2082">
        <v>119</v>
      </c>
      <c r="J2082">
        <v>24</v>
      </c>
      <c r="K2082" s="17">
        <f t="shared" si="257"/>
        <v>95.2</v>
      </c>
      <c r="L2082" t="str">
        <f t="shared" si="258"/>
        <v>Sufficuent Stock</v>
      </c>
      <c r="P2082" s="19">
        <f t="shared" si="259"/>
        <v>0</v>
      </c>
      <c r="R2082" s="19">
        <f t="shared" si="256"/>
        <v>0</v>
      </c>
      <c r="T2082" s="19">
        <f t="shared" si="260"/>
        <v>41797.56</v>
      </c>
      <c r="U2082" s="19">
        <f t="shared" si="261"/>
        <v>44414.37</v>
      </c>
      <c r="V2082" s="21">
        <f t="shared" si="262"/>
        <v>2616.8100000000049</v>
      </c>
      <c r="W2082" s="18">
        <f t="shared" si="263"/>
        <v>6.2606764605398144E-2</v>
      </c>
    </row>
    <row r="2083" spans="1:23" x14ac:dyDescent="0.3">
      <c r="A2083" t="s">
        <v>213</v>
      </c>
      <c r="B2083" t="s">
        <v>3052</v>
      </c>
      <c r="C2083" t="s">
        <v>37</v>
      </c>
      <c r="D2083" t="s">
        <v>20</v>
      </c>
      <c r="E2083">
        <v>3458</v>
      </c>
      <c r="F2083">
        <v>371.16</v>
      </c>
      <c r="G2083">
        <v>373.83</v>
      </c>
      <c r="H2083">
        <v>371.16</v>
      </c>
      <c r="I2083">
        <v>2134</v>
      </c>
      <c r="J2083">
        <v>71</v>
      </c>
      <c r="K2083" s="17">
        <f t="shared" si="257"/>
        <v>5050.4666666666672</v>
      </c>
      <c r="L2083" t="str">
        <f t="shared" si="258"/>
        <v>High Risk</v>
      </c>
      <c r="P2083" s="19">
        <f t="shared" si="259"/>
        <v>1593</v>
      </c>
      <c r="R2083" s="19">
        <f t="shared" si="256"/>
        <v>591257.88</v>
      </c>
      <c r="T2083" s="19">
        <f t="shared" si="260"/>
        <v>797753.22</v>
      </c>
      <c r="U2083" s="19">
        <f t="shared" si="261"/>
        <v>792055.44000000006</v>
      </c>
      <c r="V2083" s="21">
        <f t="shared" si="262"/>
        <v>-5697.7799999999115</v>
      </c>
      <c r="W2083" s="18">
        <f t="shared" si="263"/>
        <v>-7.1422839258485369E-3</v>
      </c>
    </row>
    <row r="2084" spans="1:23" x14ac:dyDescent="0.3">
      <c r="A2084" t="s">
        <v>335</v>
      </c>
      <c r="B2084" t="s">
        <v>2902</v>
      </c>
      <c r="C2084" t="s">
        <v>12</v>
      </c>
      <c r="D2084" t="s">
        <v>20</v>
      </c>
      <c r="E2084">
        <v>3460</v>
      </c>
      <c r="F2084">
        <v>237.98</v>
      </c>
      <c r="G2084">
        <v>221.36</v>
      </c>
      <c r="H2084">
        <v>237.98</v>
      </c>
      <c r="I2084">
        <v>3909</v>
      </c>
      <c r="J2084">
        <v>85</v>
      </c>
      <c r="K2084" s="17">
        <f t="shared" si="257"/>
        <v>11075.500000000002</v>
      </c>
      <c r="L2084" t="str">
        <f t="shared" si="258"/>
        <v>High Risk</v>
      </c>
      <c r="P2084" s="19">
        <f t="shared" si="259"/>
        <v>7616</v>
      </c>
      <c r="R2084" s="19">
        <f t="shared" si="256"/>
        <v>1812455.68</v>
      </c>
      <c r="T2084" s="19">
        <f t="shared" si="260"/>
        <v>865296.24000000011</v>
      </c>
      <c r="U2084" s="19">
        <f t="shared" si="261"/>
        <v>930263.82</v>
      </c>
      <c r="V2084" s="21">
        <f t="shared" si="262"/>
        <v>64967.579999999842</v>
      </c>
      <c r="W2084" s="18">
        <f t="shared" si="263"/>
        <v>7.5081315504155935E-2</v>
      </c>
    </row>
    <row r="2085" spans="1:23" x14ac:dyDescent="0.3">
      <c r="A2085" t="s">
        <v>1467</v>
      </c>
      <c r="B2085" t="s">
        <v>2271</v>
      </c>
      <c r="C2085" t="s">
        <v>16</v>
      </c>
      <c r="D2085" t="s">
        <v>13</v>
      </c>
      <c r="E2085">
        <v>3461</v>
      </c>
      <c r="F2085">
        <v>196.65</v>
      </c>
      <c r="G2085">
        <v>169.94</v>
      </c>
      <c r="H2085">
        <v>196.65</v>
      </c>
      <c r="I2085">
        <v>2884</v>
      </c>
      <c r="J2085">
        <v>54</v>
      </c>
      <c r="K2085" s="17">
        <f t="shared" si="257"/>
        <v>5191.2000000000007</v>
      </c>
      <c r="L2085" t="str">
        <f t="shared" si="258"/>
        <v>High Risk</v>
      </c>
      <c r="P2085" s="19">
        <f t="shared" si="259"/>
        <v>1731</v>
      </c>
      <c r="R2085" s="19">
        <f t="shared" si="256"/>
        <v>340401.15</v>
      </c>
      <c r="T2085" s="19">
        <f t="shared" si="260"/>
        <v>490106.96</v>
      </c>
      <c r="U2085" s="19">
        <f t="shared" si="261"/>
        <v>567138.6</v>
      </c>
      <c r="V2085" s="21">
        <f t="shared" si="262"/>
        <v>77031.639999999956</v>
      </c>
      <c r="W2085" s="18">
        <f t="shared" si="263"/>
        <v>0.15717311992467919</v>
      </c>
    </row>
    <row r="2086" spans="1:23" x14ac:dyDescent="0.3">
      <c r="A2086" t="s">
        <v>943</v>
      </c>
      <c r="B2086" t="s">
        <v>2807</v>
      </c>
      <c r="C2086" t="s">
        <v>37</v>
      </c>
      <c r="D2086" t="s">
        <v>26</v>
      </c>
      <c r="E2086">
        <v>3465</v>
      </c>
      <c r="F2086">
        <v>302.13</v>
      </c>
      <c r="G2086">
        <v>306.39</v>
      </c>
      <c r="H2086">
        <v>302.13</v>
      </c>
      <c r="I2086">
        <v>3792</v>
      </c>
      <c r="J2086">
        <v>33</v>
      </c>
      <c r="K2086" s="17">
        <f t="shared" si="257"/>
        <v>4171.2</v>
      </c>
      <c r="L2086" t="str">
        <f t="shared" si="258"/>
        <v>High Risk</v>
      </c>
      <c r="P2086" s="19">
        <f t="shared" si="259"/>
        <v>707</v>
      </c>
      <c r="R2086" s="19">
        <f t="shared" si="256"/>
        <v>213605.91</v>
      </c>
      <c r="T2086" s="19">
        <f t="shared" si="260"/>
        <v>1161830.8799999999</v>
      </c>
      <c r="U2086" s="19">
        <f t="shared" si="261"/>
        <v>1145676.96</v>
      </c>
      <c r="V2086" s="21">
        <f t="shared" si="262"/>
        <v>-16153.919999999925</v>
      </c>
      <c r="W2086" s="18">
        <f t="shared" si="263"/>
        <v>-1.390384803681576E-2</v>
      </c>
    </row>
    <row r="2087" spans="1:23" x14ac:dyDescent="0.3">
      <c r="A2087" t="s">
        <v>199</v>
      </c>
      <c r="B2087" t="s">
        <v>750</v>
      </c>
      <c r="C2087" t="s">
        <v>50</v>
      </c>
      <c r="D2087" t="s">
        <v>26</v>
      </c>
      <c r="E2087">
        <v>3469</v>
      </c>
      <c r="F2087">
        <v>47.13</v>
      </c>
      <c r="G2087">
        <v>46.29</v>
      </c>
      <c r="H2087">
        <v>47.13</v>
      </c>
      <c r="I2087">
        <v>2719</v>
      </c>
      <c r="J2087">
        <v>17</v>
      </c>
      <c r="K2087" s="17">
        <f t="shared" si="257"/>
        <v>1540.7666666666669</v>
      </c>
      <c r="L2087" t="str">
        <f t="shared" si="258"/>
        <v>Sufficuent Stock</v>
      </c>
      <c r="P2087" s="19">
        <f t="shared" si="259"/>
        <v>0</v>
      </c>
      <c r="R2087" s="19">
        <f t="shared" si="256"/>
        <v>0</v>
      </c>
      <c r="T2087" s="19">
        <f t="shared" si="260"/>
        <v>125862.51</v>
      </c>
      <c r="U2087" s="19">
        <f t="shared" si="261"/>
        <v>128146.47</v>
      </c>
      <c r="V2087" s="21">
        <f t="shared" si="262"/>
        <v>2283.9600000000064</v>
      </c>
      <c r="W2087" s="18">
        <f t="shared" si="263"/>
        <v>1.8146467919637123E-2</v>
      </c>
    </row>
    <row r="2088" spans="1:23" x14ac:dyDescent="0.3">
      <c r="A2088" t="s">
        <v>525</v>
      </c>
      <c r="B2088" t="s">
        <v>526</v>
      </c>
      <c r="C2088" t="s">
        <v>16</v>
      </c>
      <c r="D2088" t="s">
        <v>17</v>
      </c>
      <c r="E2088">
        <v>3471</v>
      </c>
      <c r="F2088">
        <v>524.22</v>
      </c>
      <c r="G2088">
        <v>475.26</v>
      </c>
      <c r="H2088">
        <v>524.22</v>
      </c>
      <c r="I2088">
        <v>274</v>
      </c>
      <c r="J2088">
        <v>39</v>
      </c>
      <c r="K2088" s="17">
        <f t="shared" si="257"/>
        <v>356.2</v>
      </c>
      <c r="L2088" t="str">
        <f t="shared" si="258"/>
        <v>Sufficuent Stock</v>
      </c>
      <c r="P2088" s="19">
        <f t="shared" si="259"/>
        <v>0</v>
      </c>
      <c r="R2088" s="19">
        <f t="shared" si="256"/>
        <v>0</v>
      </c>
      <c r="T2088" s="19">
        <f t="shared" si="260"/>
        <v>130221.23999999999</v>
      </c>
      <c r="U2088" s="19">
        <f t="shared" si="261"/>
        <v>143636.28</v>
      </c>
      <c r="V2088" s="21">
        <f t="shared" si="262"/>
        <v>13415.040000000008</v>
      </c>
      <c r="W2088" s="18">
        <f t="shared" si="263"/>
        <v>0.10301729579598543</v>
      </c>
    </row>
    <row r="2089" spans="1:23" x14ac:dyDescent="0.3">
      <c r="A2089" t="s">
        <v>600</v>
      </c>
      <c r="B2089" t="s">
        <v>2601</v>
      </c>
      <c r="C2089" t="s">
        <v>37</v>
      </c>
      <c r="D2089" t="s">
        <v>69</v>
      </c>
      <c r="E2089">
        <v>3474</v>
      </c>
      <c r="F2089">
        <v>223.65</v>
      </c>
      <c r="G2089">
        <v>190.77</v>
      </c>
      <c r="H2089">
        <v>223.65</v>
      </c>
      <c r="I2089">
        <v>898</v>
      </c>
      <c r="J2089">
        <v>90</v>
      </c>
      <c r="K2089" s="17">
        <f t="shared" si="257"/>
        <v>2694</v>
      </c>
      <c r="L2089" t="str">
        <f t="shared" si="258"/>
        <v>Sufficuent Stock</v>
      </c>
      <c r="P2089" s="19">
        <f t="shared" si="259"/>
        <v>0</v>
      </c>
      <c r="R2089" s="19">
        <f t="shared" si="256"/>
        <v>0</v>
      </c>
      <c r="T2089" s="19">
        <f t="shared" si="260"/>
        <v>171311.46000000002</v>
      </c>
      <c r="U2089" s="19">
        <f t="shared" si="261"/>
        <v>200837.7</v>
      </c>
      <c r="V2089" s="21">
        <f t="shared" si="262"/>
        <v>29526.239999999991</v>
      </c>
      <c r="W2089" s="18">
        <f t="shared" si="263"/>
        <v>0.17235414373329133</v>
      </c>
    </row>
    <row r="2090" spans="1:23" x14ac:dyDescent="0.3">
      <c r="A2090" t="s">
        <v>714</v>
      </c>
      <c r="B2090" t="s">
        <v>2798</v>
      </c>
      <c r="C2090" t="s">
        <v>50</v>
      </c>
      <c r="D2090" t="s">
        <v>13</v>
      </c>
      <c r="E2090">
        <v>3475</v>
      </c>
      <c r="F2090">
        <v>110.54</v>
      </c>
      <c r="G2090">
        <v>103.55</v>
      </c>
      <c r="H2090">
        <v>110.54</v>
      </c>
      <c r="I2090">
        <v>2199</v>
      </c>
      <c r="J2090">
        <v>30</v>
      </c>
      <c r="K2090" s="17">
        <f t="shared" si="257"/>
        <v>2199</v>
      </c>
      <c r="L2090" t="str">
        <f t="shared" si="258"/>
        <v>Sufficuent Stock</v>
      </c>
      <c r="P2090" s="19">
        <f t="shared" si="259"/>
        <v>0</v>
      </c>
      <c r="R2090" s="19">
        <f t="shared" si="256"/>
        <v>0</v>
      </c>
      <c r="T2090" s="19">
        <f t="shared" si="260"/>
        <v>227706.44999999998</v>
      </c>
      <c r="U2090" s="19">
        <f t="shared" si="261"/>
        <v>243077.46000000002</v>
      </c>
      <c r="V2090" s="21">
        <f t="shared" si="262"/>
        <v>15371.010000000038</v>
      </c>
      <c r="W2090" s="18">
        <f t="shared" si="263"/>
        <v>6.7503621438918568E-2</v>
      </c>
    </row>
    <row r="2091" spans="1:23" x14ac:dyDescent="0.3">
      <c r="A2091" t="s">
        <v>1939</v>
      </c>
      <c r="B2091" t="s">
        <v>3271</v>
      </c>
      <c r="C2091" t="s">
        <v>23</v>
      </c>
      <c r="D2091" t="s">
        <v>20</v>
      </c>
      <c r="E2091">
        <v>3477</v>
      </c>
      <c r="F2091">
        <v>171.77</v>
      </c>
      <c r="G2091">
        <v>180.56</v>
      </c>
      <c r="H2091">
        <v>171.77</v>
      </c>
      <c r="I2091">
        <v>3849</v>
      </c>
      <c r="J2091">
        <v>52</v>
      </c>
      <c r="K2091" s="17">
        <f t="shared" si="257"/>
        <v>6671.6</v>
      </c>
      <c r="L2091" t="str">
        <f t="shared" si="258"/>
        <v>High Risk</v>
      </c>
      <c r="P2091" s="19">
        <f t="shared" si="259"/>
        <v>3195</v>
      </c>
      <c r="R2091" s="19">
        <f t="shared" si="256"/>
        <v>548805.15</v>
      </c>
      <c r="T2091" s="19">
        <f t="shared" si="260"/>
        <v>694975.44000000006</v>
      </c>
      <c r="U2091" s="19">
        <f t="shared" si="261"/>
        <v>661142.73</v>
      </c>
      <c r="V2091" s="21">
        <f t="shared" si="262"/>
        <v>-33832.710000000079</v>
      </c>
      <c r="W2091" s="18">
        <f t="shared" si="263"/>
        <v>-4.8681878599911493E-2</v>
      </c>
    </row>
    <row r="2092" spans="1:23" x14ac:dyDescent="0.3">
      <c r="A2092" t="s">
        <v>1132</v>
      </c>
      <c r="B2092" t="s">
        <v>1765</v>
      </c>
      <c r="C2092" t="s">
        <v>50</v>
      </c>
      <c r="D2092" t="s">
        <v>13</v>
      </c>
      <c r="E2092">
        <v>3479</v>
      </c>
      <c r="F2092">
        <v>275.77</v>
      </c>
      <c r="G2092">
        <v>277.25</v>
      </c>
      <c r="H2092">
        <v>275.77</v>
      </c>
      <c r="I2092">
        <v>269</v>
      </c>
      <c r="J2092">
        <v>12</v>
      </c>
      <c r="K2092" s="17">
        <f t="shared" si="257"/>
        <v>107.6</v>
      </c>
      <c r="L2092" t="str">
        <f t="shared" si="258"/>
        <v>Sufficuent Stock</v>
      </c>
      <c r="P2092" s="19">
        <f t="shared" si="259"/>
        <v>0</v>
      </c>
      <c r="R2092" s="19">
        <f t="shared" si="256"/>
        <v>0</v>
      </c>
      <c r="T2092" s="19">
        <f t="shared" si="260"/>
        <v>74580.25</v>
      </c>
      <c r="U2092" s="19">
        <f t="shared" si="261"/>
        <v>74182.12999999999</v>
      </c>
      <c r="V2092" s="21">
        <f t="shared" si="262"/>
        <v>-398.1200000000099</v>
      </c>
      <c r="W2092" s="18">
        <f t="shared" si="263"/>
        <v>-5.3381424706944519E-3</v>
      </c>
    </row>
    <row r="2093" spans="1:23" x14ac:dyDescent="0.3">
      <c r="A2093" t="s">
        <v>159</v>
      </c>
      <c r="B2093" t="s">
        <v>2013</v>
      </c>
      <c r="C2093" t="s">
        <v>50</v>
      </c>
      <c r="D2093" t="s">
        <v>17</v>
      </c>
      <c r="E2093">
        <v>3482</v>
      </c>
      <c r="F2093">
        <v>146.77000000000001</v>
      </c>
      <c r="G2093">
        <v>144.84</v>
      </c>
      <c r="H2093">
        <v>146.77000000000001</v>
      </c>
      <c r="I2093">
        <v>3897</v>
      </c>
      <c r="J2093">
        <v>25</v>
      </c>
      <c r="K2093" s="17">
        <f t="shared" si="257"/>
        <v>3247.5</v>
      </c>
      <c r="L2093" t="str">
        <f t="shared" si="258"/>
        <v>Sufficuent Stock</v>
      </c>
      <c r="P2093" s="19">
        <f t="shared" si="259"/>
        <v>0</v>
      </c>
      <c r="R2093" s="19">
        <f t="shared" si="256"/>
        <v>0</v>
      </c>
      <c r="T2093" s="19">
        <f t="shared" si="260"/>
        <v>564441.48</v>
      </c>
      <c r="U2093" s="19">
        <f t="shared" si="261"/>
        <v>571962.69000000006</v>
      </c>
      <c r="V2093" s="21">
        <f t="shared" si="262"/>
        <v>7521.2100000000792</v>
      </c>
      <c r="W2093" s="18">
        <f t="shared" si="263"/>
        <v>1.3325048329190972E-2</v>
      </c>
    </row>
    <row r="2094" spans="1:23" x14ac:dyDescent="0.3">
      <c r="A2094" t="s">
        <v>335</v>
      </c>
      <c r="B2094" t="s">
        <v>1412</v>
      </c>
      <c r="C2094" t="s">
        <v>16</v>
      </c>
      <c r="D2094" t="s">
        <v>17</v>
      </c>
      <c r="E2094">
        <v>3482</v>
      </c>
      <c r="F2094">
        <v>49.16</v>
      </c>
      <c r="G2094">
        <v>46.35</v>
      </c>
      <c r="H2094">
        <v>49.16</v>
      </c>
      <c r="I2094">
        <v>1731</v>
      </c>
      <c r="J2094">
        <v>79</v>
      </c>
      <c r="K2094" s="17">
        <f t="shared" si="257"/>
        <v>4558.3</v>
      </c>
      <c r="L2094" t="str">
        <f t="shared" si="258"/>
        <v>High Risk</v>
      </c>
      <c r="P2094" s="19">
        <f t="shared" si="259"/>
        <v>1077</v>
      </c>
      <c r="R2094" s="19">
        <f t="shared" si="256"/>
        <v>52945.32</v>
      </c>
      <c r="T2094" s="19">
        <f t="shared" si="260"/>
        <v>80231.850000000006</v>
      </c>
      <c r="U2094" s="19">
        <f t="shared" si="261"/>
        <v>85095.959999999992</v>
      </c>
      <c r="V2094" s="21">
        <f t="shared" si="262"/>
        <v>4864.109999999986</v>
      </c>
      <c r="W2094" s="18">
        <f t="shared" si="263"/>
        <v>6.0625674217907051E-2</v>
      </c>
    </row>
    <row r="2095" spans="1:23" x14ac:dyDescent="0.3">
      <c r="A2095" t="s">
        <v>541</v>
      </c>
      <c r="B2095" t="s">
        <v>957</v>
      </c>
      <c r="C2095" t="s">
        <v>16</v>
      </c>
      <c r="D2095" t="s">
        <v>26</v>
      </c>
      <c r="E2095">
        <v>3483</v>
      </c>
      <c r="F2095">
        <v>485.68</v>
      </c>
      <c r="G2095">
        <v>460.31</v>
      </c>
      <c r="H2095">
        <v>485.68</v>
      </c>
      <c r="I2095">
        <v>526</v>
      </c>
      <c r="J2095">
        <v>32</v>
      </c>
      <c r="K2095" s="17">
        <f t="shared" si="257"/>
        <v>561.06666666666672</v>
      </c>
      <c r="L2095" t="str">
        <f t="shared" si="258"/>
        <v>Sufficuent Stock</v>
      </c>
      <c r="P2095" s="19">
        <f t="shared" si="259"/>
        <v>0</v>
      </c>
      <c r="R2095" s="19">
        <f t="shared" si="256"/>
        <v>0</v>
      </c>
      <c r="T2095" s="19">
        <f t="shared" si="260"/>
        <v>242123.06</v>
      </c>
      <c r="U2095" s="19">
        <f t="shared" si="261"/>
        <v>255467.68</v>
      </c>
      <c r="V2095" s="21">
        <f t="shared" si="262"/>
        <v>13344.619999999995</v>
      </c>
      <c r="W2095" s="18">
        <f t="shared" si="263"/>
        <v>5.5115031174643156E-2</v>
      </c>
    </row>
    <row r="2096" spans="1:23" x14ac:dyDescent="0.3">
      <c r="A2096" t="s">
        <v>143</v>
      </c>
      <c r="B2096" t="s">
        <v>864</v>
      </c>
      <c r="C2096" t="s">
        <v>23</v>
      </c>
      <c r="D2096" t="s">
        <v>13</v>
      </c>
      <c r="E2096">
        <v>3483</v>
      </c>
      <c r="F2096">
        <v>455.42</v>
      </c>
      <c r="G2096">
        <v>452.37</v>
      </c>
      <c r="H2096">
        <v>455.42</v>
      </c>
      <c r="I2096">
        <v>764</v>
      </c>
      <c r="J2096">
        <v>65</v>
      </c>
      <c r="K2096" s="17">
        <f t="shared" si="257"/>
        <v>1655.3333333333333</v>
      </c>
      <c r="L2096" t="str">
        <f t="shared" si="258"/>
        <v>Sufficuent Stock</v>
      </c>
      <c r="P2096" s="19">
        <f t="shared" si="259"/>
        <v>0</v>
      </c>
      <c r="R2096" s="19">
        <f t="shared" si="256"/>
        <v>0</v>
      </c>
      <c r="T2096" s="19">
        <f t="shared" si="260"/>
        <v>345610.68</v>
      </c>
      <c r="U2096" s="19">
        <f t="shared" si="261"/>
        <v>347940.88</v>
      </c>
      <c r="V2096" s="21">
        <f t="shared" si="262"/>
        <v>2330.2000000000116</v>
      </c>
      <c r="W2096" s="18">
        <f t="shared" si="263"/>
        <v>6.7422684970268043E-3</v>
      </c>
    </row>
    <row r="2097" spans="1:23" x14ac:dyDescent="0.3">
      <c r="A2097" t="s">
        <v>657</v>
      </c>
      <c r="B2097" t="s">
        <v>2252</v>
      </c>
      <c r="C2097" t="s">
        <v>37</v>
      </c>
      <c r="D2097" t="s">
        <v>13</v>
      </c>
      <c r="E2097">
        <v>3484</v>
      </c>
      <c r="F2097">
        <v>190.65</v>
      </c>
      <c r="G2097">
        <v>193.86</v>
      </c>
      <c r="H2097">
        <v>190.65</v>
      </c>
      <c r="I2097">
        <v>163</v>
      </c>
      <c r="J2097">
        <v>12</v>
      </c>
      <c r="K2097" s="17">
        <f t="shared" si="257"/>
        <v>65.2</v>
      </c>
      <c r="L2097" t="str">
        <f t="shared" si="258"/>
        <v>Sufficuent Stock</v>
      </c>
      <c r="P2097" s="19">
        <f t="shared" si="259"/>
        <v>0</v>
      </c>
      <c r="R2097" s="19">
        <f t="shared" si="256"/>
        <v>0</v>
      </c>
      <c r="T2097" s="19">
        <f t="shared" si="260"/>
        <v>31599.180000000004</v>
      </c>
      <c r="U2097" s="19">
        <f t="shared" si="261"/>
        <v>31075.95</v>
      </c>
      <c r="V2097" s="21">
        <f t="shared" si="262"/>
        <v>-523.2300000000032</v>
      </c>
      <c r="W2097" s="18">
        <f t="shared" si="263"/>
        <v>-1.655834107087599E-2</v>
      </c>
    </row>
    <row r="2098" spans="1:23" x14ac:dyDescent="0.3">
      <c r="A2098" t="s">
        <v>115</v>
      </c>
      <c r="B2098" t="s">
        <v>1262</v>
      </c>
      <c r="C2098" t="s">
        <v>16</v>
      </c>
      <c r="D2098" t="s">
        <v>20</v>
      </c>
      <c r="E2098">
        <v>3484</v>
      </c>
      <c r="F2098">
        <v>421.68</v>
      </c>
      <c r="G2098">
        <v>438.74</v>
      </c>
      <c r="H2098">
        <v>421.68</v>
      </c>
      <c r="I2098">
        <v>1354</v>
      </c>
      <c r="J2098">
        <v>18</v>
      </c>
      <c r="K2098" s="17">
        <f t="shared" si="257"/>
        <v>812.4</v>
      </c>
      <c r="L2098" t="str">
        <f t="shared" si="258"/>
        <v>Sufficuent Stock</v>
      </c>
      <c r="P2098" s="19">
        <f t="shared" si="259"/>
        <v>0</v>
      </c>
      <c r="R2098" s="19">
        <f t="shared" si="256"/>
        <v>0</v>
      </c>
      <c r="T2098" s="19">
        <f t="shared" si="260"/>
        <v>594053.96</v>
      </c>
      <c r="U2098" s="19">
        <f t="shared" si="261"/>
        <v>570954.72</v>
      </c>
      <c r="V2098" s="21">
        <f t="shared" si="262"/>
        <v>-23099.239999999991</v>
      </c>
      <c r="W2098" s="18">
        <f t="shared" si="263"/>
        <v>-3.8884077129963064E-2</v>
      </c>
    </row>
    <row r="2099" spans="1:23" x14ac:dyDescent="0.3">
      <c r="A2099" t="s">
        <v>18</v>
      </c>
      <c r="B2099" t="s">
        <v>19</v>
      </c>
      <c r="C2099" t="s">
        <v>16</v>
      </c>
      <c r="D2099" t="s">
        <v>20</v>
      </c>
      <c r="E2099">
        <v>3485</v>
      </c>
      <c r="F2099">
        <v>425.89</v>
      </c>
      <c r="G2099">
        <v>432.88</v>
      </c>
      <c r="H2099">
        <v>425.89</v>
      </c>
      <c r="I2099">
        <v>255</v>
      </c>
      <c r="J2099">
        <v>32</v>
      </c>
      <c r="K2099" s="17">
        <f t="shared" si="257"/>
        <v>272</v>
      </c>
      <c r="L2099" t="str">
        <f t="shared" si="258"/>
        <v>Sufficuent Stock</v>
      </c>
      <c r="P2099" s="19">
        <f t="shared" si="259"/>
        <v>0</v>
      </c>
      <c r="R2099" s="19">
        <f t="shared" si="256"/>
        <v>0</v>
      </c>
      <c r="T2099" s="19">
        <f t="shared" si="260"/>
        <v>110384.4</v>
      </c>
      <c r="U2099" s="19">
        <f t="shared" si="261"/>
        <v>108601.95</v>
      </c>
      <c r="V2099" s="21">
        <f t="shared" si="262"/>
        <v>-1782.4499999999971</v>
      </c>
      <c r="W2099" s="18">
        <f t="shared" si="263"/>
        <v>-1.6147662169654381E-2</v>
      </c>
    </row>
    <row r="2100" spans="1:23" x14ac:dyDescent="0.3">
      <c r="A2100" t="s">
        <v>398</v>
      </c>
      <c r="B2100" t="s">
        <v>3232</v>
      </c>
      <c r="C2100" t="s">
        <v>37</v>
      </c>
      <c r="D2100" t="s">
        <v>13</v>
      </c>
      <c r="E2100">
        <v>3489</v>
      </c>
      <c r="F2100">
        <v>476.23</v>
      </c>
      <c r="G2100">
        <v>469.23</v>
      </c>
      <c r="H2100">
        <v>476.23</v>
      </c>
      <c r="I2100">
        <v>2120</v>
      </c>
      <c r="J2100">
        <v>90</v>
      </c>
      <c r="K2100" s="17">
        <f t="shared" si="257"/>
        <v>6360</v>
      </c>
      <c r="L2100" t="str">
        <f t="shared" si="258"/>
        <v>High Risk</v>
      </c>
      <c r="P2100" s="19">
        <f t="shared" si="259"/>
        <v>2871</v>
      </c>
      <c r="R2100" s="19">
        <f t="shared" si="256"/>
        <v>1367256.33</v>
      </c>
      <c r="T2100" s="19">
        <f t="shared" si="260"/>
        <v>994767.60000000009</v>
      </c>
      <c r="U2100" s="19">
        <f t="shared" si="261"/>
        <v>1009607.6000000001</v>
      </c>
      <c r="V2100" s="21">
        <f t="shared" si="262"/>
        <v>14840</v>
      </c>
      <c r="W2100" s="18">
        <f t="shared" si="263"/>
        <v>1.491805724271679E-2</v>
      </c>
    </row>
    <row r="2101" spans="1:23" x14ac:dyDescent="0.3">
      <c r="A2101" t="s">
        <v>500</v>
      </c>
      <c r="B2101" t="s">
        <v>2481</v>
      </c>
      <c r="C2101" t="s">
        <v>23</v>
      </c>
      <c r="D2101" t="s">
        <v>17</v>
      </c>
      <c r="E2101">
        <v>3490</v>
      </c>
      <c r="F2101">
        <v>361.95</v>
      </c>
      <c r="G2101">
        <v>356.05</v>
      </c>
      <c r="H2101">
        <v>361.95</v>
      </c>
      <c r="I2101">
        <v>2352</v>
      </c>
      <c r="J2101">
        <v>81</v>
      </c>
      <c r="K2101" s="17">
        <f t="shared" si="257"/>
        <v>6350.4000000000005</v>
      </c>
      <c r="L2101" t="str">
        <f t="shared" si="258"/>
        <v>High Risk</v>
      </c>
      <c r="P2101" s="19">
        <f t="shared" si="259"/>
        <v>2861</v>
      </c>
      <c r="R2101" s="19">
        <f t="shared" si="256"/>
        <v>1035538.95</v>
      </c>
      <c r="T2101" s="19">
        <f t="shared" si="260"/>
        <v>837429.6</v>
      </c>
      <c r="U2101" s="19">
        <f t="shared" si="261"/>
        <v>851306.4</v>
      </c>
      <c r="V2101" s="21">
        <f t="shared" si="262"/>
        <v>13876.800000000047</v>
      </c>
      <c r="W2101" s="18">
        <f t="shared" si="263"/>
        <v>1.6570706361466143E-2</v>
      </c>
    </row>
    <row r="2102" spans="1:23" x14ac:dyDescent="0.3">
      <c r="A2102" t="s">
        <v>566</v>
      </c>
      <c r="B2102" t="s">
        <v>2104</v>
      </c>
      <c r="C2102" t="s">
        <v>12</v>
      </c>
      <c r="D2102" t="s">
        <v>13</v>
      </c>
      <c r="E2102">
        <v>3491</v>
      </c>
      <c r="F2102">
        <v>334.69</v>
      </c>
      <c r="G2102">
        <v>310.12</v>
      </c>
      <c r="H2102">
        <v>334.69</v>
      </c>
      <c r="I2102">
        <v>1955</v>
      </c>
      <c r="J2102">
        <v>62</v>
      </c>
      <c r="K2102" s="17">
        <f t="shared" si="257"/>
        <v>4040.3333333333335</v>
      </c>
      <c r="L2102" t="str">
        <f t="shared" si="258"/>
        <v>High Risk</v>
      </c>
      <c r="P2102" s="19">
        <f t="shared" si="259"/>
        <v>550</v>
      </c>
      <c r="R2102" s="19">
        <f t="shared" si="256"/>
        <v>184079.5</v>
      </c>
      <c r="T2102" s="19">
        <f t="shared" si="260"/>
        <v>606284.6</v>
      </c>
      <c r="U2102" s="19">
        <f t="shared" si="261"/>
        <v>654318.94999999995</v>
      </c>
      <c r="V2102" s="21">
        <f t="shared" si="262"/>
        <v>48034.349999999977</v>
      </c>
      <c r="W2102" s="18">
        <f t="shared" si="263"/>
        <v>7.9227395846768953E-2</v>
      </c>
    </row>
    <row r="2103" spans="1:23" x14ac:dyDescent="0.3">
      <c r="A2103" t="s">
        <v>668</v>
      </c>
      <c r="B2103" t="s">
        <v>2549</v>
      </c>
      <c r="C2103" t="s">
        <v>37</v>
      </c>
      <c r="D2103" t="s">
        <v>26</v>
      </c>
      <c r="E2103">
        <v>3494</v>
      </c>
      <c r="F2103">
        <v>408.8</v>
      </c>
      <c r="G2103">
        <v>416.55</v>
      </c>
      <c r="H2103">
        <v>408.8</v>
      </c>
      <c r="I2103">
        <v>3843</v>
      </c>
      <c r="J2103">
        <v>11</v>
      </c>
      <c r="K2103" s="17">
        <f t="shared" si="257"/>
        <v>1409.1</v>
      </c>
      <c r="L2103" t="str">
        <f t="shared" si="258"/>
        <v>Sufficuent Stock</v>
      </c>
      <c r="P2103" s="19">
        <f t="shared" si="259"/>
        <v>0</v>
      </c>
      <c r="R2103" s="19">
        <f t="shared" si="256"/>
        <v>0</v>
      </c>
      <c r="T2103" s="19">
        <f t="shared" si="260"/>
        <v>1600801.6500000001</v>
      </c>
      <c r="U2103" s="19">
        <f t="shared" si="261"/>
        <v>1571018.4000000001</v>
      </c>
      <c r="V2103" s="21">
        <f t="shared" si="262"/>
        <v>-29783.25</v>
      </c>
      <c r="W2103" s="18">
        <f t="shared" si="263"/>
        <v>-1.8605209458648419E-2</v>
      </c>
    </row>
    <row r="2104" spans="1:23" x14ac:dyDescent="0.3">
      <c r="A2104" t="s">
        <v>132</v>
      </c>
      <c r="B2104" t="s">
        <v>458</v>
      </c>
      <c r="C2104" t="s">
        <v>37</v>
      </c>
      <c r="D2104" t="s">
        <v>17</v>
      </c>
      <c r="E2104">
        <v>3496</v>
      </c>
      <c r="F2104">
        <v>440.29</v>
      </c>
      <c r="G2104">
        <v>371.47</v>
      </c>
      <c r="H2104">
        <v>440.29</v>
      </c>
      <c r="I2104">
        <v>1345</v>
      </c>
      <c r="J2104">
        <v>18</v>
      </c>
      <c r="K2104" s="17">
        <f t="shared" si="257"/>
        <v>807</v>
      </c>
      <c r="L2104" t="str">
        <f t="shared" si="258"/>
        <v>Sufficuent Stock</v>
      </c>
      <c r="P2104" s="19">
        <f t="shared" si="259"/>
        <v>0</v>
      </c>
      <c r="R2104" s="19">
        <f t="shared" si="256"/>
        <v>0</v>
      </c>
      <c r="T2104" s="19">
        <f t="shared" si="260"/>
        <v>499627.15</v>
      </c>
      <c r="U2104" s="19">
        <f t="shared" si="261"/>
        <v>592190.05000000005</v>
      </c>
      <c r="V2104" s="21">
        <f t="shared" si="262"/>
        <v>92562.900000000023</v>
      </c>
      <c r="W2104" s="18">
        <f t="shared" si="263"/>
        <v>0.1852639513285057</v>
      </c>
    </row>
    <row r="2105" spans="1:23" x14ac:dyDescent="0.3">
      <c r="A2105" t="s">
        <v>487</v>
      </c>
      <c r="B2105" t="s">
        <v>2433</v>
      </c>
      <c r="C2105" t="s">
        <v>12</v>
      </c>
      <c r="D2105" t="s">
        <v>20</v>
      </c>
      <c r="E2105">
        <v>3497</v>
      </c>
      <c r="F2105">
        <v>237.97</v>
      </c>
      <c r="G2105">
        <v>224.81</v>
      </c>
      <c r="H2105">
        <v>237.97</v>
      </c>
      <c r="I2105">
        <v>3984</v>
      </c>
      <c r="J2105">
        <v>14</v>
      </c>
      <c r="K2105" s="17">
        <f t="shared" si="257"/>
        <v>1859.2000000000003</v>
      </c>
      <c r="L2105" t="str">
        <f t="shared" si="258"/>
        <v>Sufficuent Stock</v>
      </c>
      <c r="P2105" s="19">
        <f t="shared" si="259"/>
        <v>0</v>
      </c>
      <c r="R2105" s="19">
        <f t="shared" si="256"/>
        <v>0</v>
      </c>
      <c r="T2105" s="19">
        <f t="shared" si="260"/>
        <v>895643.04</v>
      </c>
      <c r="U2105" s="19">
        <f t="shared" si="261"/>
        <v>948072.48</v>
      </c>
      <c r="V2105" s="21">
        <f t="shared" si="262"/>
        <v>52429.439999999944</v>
      </c>
      <c r="W2105" s="18">
        <f t="shared" si="263"/>
        <v>5.8538321249054691E-2</v>
      </c>
    </row>
    <row r="2106" spans="1:23" x14ac:dyDescent="0.3">
      <c r="A2106" t="s">
        <v>94</v>
      </c>
      <c r="B2106" t="s">
        <v>3070</v>
      </c>
      <c r="C2106" t="s">
        <v>50</v>
      </c>
      <c r="D2106" t="s">
        <v>69</v>
      </c>
      <c r="E2106">
        <v>3499</v>
      </c>
      <c r="F2106">
        <v>269.16000000000003</v>
      </c>
      <c r="G2106">
        <v>273.66000000000003</v>
      </c>
      <c r="H2106">
        <v>269.16000000000003</v>
      </c>
      <c r="I2106">
        <v>296</v>
      </c>
      <c r="J2106">
        <v>20</v>
      </c>
      <c r="K2106" s="17">
        <f t="shared" si="257"/>
        <v>197.33333333333334</v>
      </c>
      <c r="L2106" t="str">
        <f t="shared" si="258"/>
        <v>Sufficuent Stock</v>
      </c>
      <c r="P2106" s="19">
        <f t="shared" si="259"/>
        <v>0</v>
      </c>
      <c r="R2106" s="19">
        <f t="shared" si="256"/>
        <v>0</v>
      </c>
      <c r="T2106" s="19">
        <f t="shared" si="260"/>
        <v>81003.360000000001</v>
      </c>
      <c r="U2106" s="19">
        <f t="shared" si="261"/>
        <v>79671.360000000001</v>
      </c>
      <c r="V2106" s="21">
        <f t="shared" si="262"/>
        <v>-1332</v>
      </c>
      <c r="W2106" s="18">
        <f t="shared" si="263"/>
        <v>-1.644376233282175E-2</v>
      </c>
    </row>
    <row r="2107" spans="1:23" x14ac:dyDescent="0.3">
      <c r="A2107" t="s">
        <v>1243</v>
      </c>
      <c r="B2107" t="s">
        <v>2026</v>
      </c>
      <c r="C2107" t="s">
        <v>50</v>
      </c>
      <c r="D2107" t="s">
        <v>13</v>
      </c>
      <c r="E2107">
        <v>3503</v>
      </c>
      <c r="F2107">
        <v>88.54</v>
      </c>
      <c r="G2107">
        <v>74.14</v>
      </c>
      <c r="H2107">
        <v>88.54</v>
      </c>
      <c r="I2107">
        <v>1177</v>
      </c>
      <c r="J2107">
        <v>38</v>
      </c>
      <c r="K2107" s="17">
        <f t="shared" si="257"/>
        <v>1490.8666666666668</v>
      </c>
      <c r="L2107" t="str">
        <f t="shared" si="258"/>
        <v>Sufficuent Stock</v>
      </c>
      <c r="P2107" s="19">
        <f t="shared" si="259"/>
        <v>0</v>
      </c>
      <c r="R2107" s="19">
        <f t="shared" si="256"/>
        <v>0</v>
      </c>
      <c r="T2107" s="19">
        <f t="shared" si="260"/>
        <v>87262.78</v>
      </c>
      <c r="U2107" s="19">
        <f t="shared" si="261"/>
        <v>104211.58</v>
      </c>
      <c r="V2107" s="21">
        <f t="shared" si="262"/>
        <v>16948.800000000003</v>
      </c>
      <c r="W2107" s="18">
        <f t="shared" si="263"/>
        <v>0.19422713784731593</v>
      </c>
    </row>
    <row r="2108" spans="1:23" x14ac:dyDescent="0.3">
      <c r="A2108" t="s">
        <v>451</v>
      </c>
      <c r="B2108" t="s">
        <v>1808</v>
      </c>
      <c r="C2108" t="s">
        <v>23</v>
      </c>
      <c r="D2108" t="s">
        <v>69</v>
      </c>
      <c r="E2108">
        <v>3505</v>
      </c>
      <c r="F2108">
        <v>443.61</v>
      </c>
      <c r="G2108">
        <v>375.18</v>
      </c>
      <c r="H2108">
        <v>443.61</v>
      </c>
      <c r="I2108">
        <v>1430</v>
      </c>
      <c r="J2108">
        <v>41</v>
      </c>
      <c r="K2108" s="17">
        <f t="shared" si="257"/>
        <v>1954.3333333333333</v>
      </c>
      <c r="L2108" t="str">
        <f t="shared" si="258"/>
        <v>Sufficuent Stock</v>
      </c>
      <c r="P2108" s="19">
        <f t="shared" si="259"/>
        <v>0</v>
      </c>
      <c r="R2108" s="19">
        <f t="shared" si="256"/>
        <v>0</v>
      </c>
      <c r="T2108" s="19">
        <f t="shared" si="260"/>
        <v>536507.4</v>
      </c>
      <c r="U2108" s="19">
        <f t="shared" si="261"/>
        <v>634362.30000000005</v>
      </c>
      <c r="V2108" s="21">
        <f t="shared" si="262"/>
        <v>97854.900000000023</v>
      </c>
      <c r="W2108" s="18">
        <f t="shared" si="263"/>
        <v>0.1823924516232209</v>
      </c>
    </row>
    <row r="2109" spans="1:23" x14ac:dyDescent="0.3">
      <c r="A2109" t="s">
        <v>180</v>
      </c>
      <c r="B2109" t="s">
        <v>2838</v>
      </c>
      <c r="C2109" t="s">
        <v>12</v>
      </c>
      <c r="D2109" t="s">
        <v>17</v>
      </c>
      <c r="E2109">
        <v>3506</v>
      </c>
      <c r="F2109">
        <v>319.2</v>
      </c>
      <c r="G2109">
        <v>271.07</v>
      </c>
      <c r="H2109">
        <v>319.2</v>
      </c>
      <c r="I2109">
        <v>1655</v>
      </c>
      <c r="J2109">
        <v>6</v>
      </c>
      <c r="K2109" s="17">
        <f t="shared" si="257"/>
        <v>331</v>
      </c>
      <c r="L2109" t="str">
        <f t="shared" si="258"/>
        <v>Sufficuent Stock</v>
      </c>
      <c r="P2109" s="19">
        <f t="shared" si="259"/>
        <v>0</v>
      </c>
      <c r="R2109" s="19">
        <f t="shared" si="256"/>
        <v>0</v>
      </c>
      <c r="T2109" s="19">
        <f t="shared" si="260"/>
        <v>448620.85</v>
      </c>
      <c r="U2109" s="19">
        <f t="shared" si="261"/>
        <v>528276</v>
      </c>
      <c r="V2109" s="21">
        <f t="shared" si="262"/>
        <v>79655.150000000023</v>
      </c>
      <c r="W2109" s="18">
        <f t="shared" si="263"/>
        <v>0.17755561294130673</v>
      </c>
    </row>
    <row r="2110" spans="1:23" x14ac:dyDescent="0.3">
      <c r="A2110" t="s">
        <v>759</v>
      </c>
      <c r="B2110" t="s">
        <v>760</v>
      </c>
      <c r="C2110" t="s">
        <v>12</v>
      </c>
      <c r="D2110" t="s">
        <v>13</v>
      </c>
      <c r="E2110">
        <v>3507</v>
      </c>
      <c r="F2110">
        <v>324.5</v>
      </c>
      <c r="G2110">
        <v>284.44</v>
      </c>
      <c r="H2110">
        <v>324.5</v>
      </c>
      <c r="I2110">
        <v>2407</v>
      </c>
      <c r="J2110">
        <v>49</v>
      </c>
      <c r="K2110" s="17">
        <f t="shared" si="257"/>
        <v>3931.4333333333334</v>
      </c>
      <c r="L2110" t="str">
        <f t="shared" si="258"/>
        <v>High Risk</v>
      </c>
      <c r="P2110" s="19">
        <f t="shared" si="259"/>
        <v>425</v>
      </c>
      <c r="R2110" s="19">
        <f t="shared" si="256"/>
        <v>137912.5</v>
      </c>
      <c r="T2110" s="19">
        <f t="shared" si="260"/>
        <v>684647.08</v>
      </c>
      <c r="U2110" s="19">
        <f t="shared" si="261"/>
        <v>781071.5</v>
      </c>
      <c r="V2110" s="21">
        <f t="shared" si="262"/>
        <v>96424.420000000042</v>
      </c>
      <c r="W2110" s="18">
        <f t="shared" si="263"/>
        <v>0.14083813809590781</v>
      </c>
    </row>
    <row r="2111" spans="1:23" x14ac:dyDescent="0.3">
      <c r="A2111" t="s">
        <v>132</v>
      </c>
      <c r="B2111" t="s">
        <v>1933</v>
      </c>
      <c r="C2111" t="s">
        <v>50</v>
      </c>
      <c r="D2111" t="s">
        <v>13</v>
      </c>
      <c r="E2111">
        <v>3509</v>
      </c>
      <c r="F2111">
        <v>136.63999999999999</v>
      </c>
      <c r="G2111">
        <v>144.1</v>
      </c>
      <c r="H2111">
        <v>136.63999999999999</v>
      </c>
      <c r="I2111">
        <v>3704</v>
      </c>
      <c r="J2111">
        <v>85</v>
      </c>
      <c r="K2111" s="17">
        <f t="shared" si="257"/>
        <v>10494.666666666666</v>
      </c>
      <c r="L2111" t="str">
        <f t="shared" si="258"/>
        <v>High Risk</v>
      </c>
      <c r="P2111" s="19">
        <f t="shared" si="259"/>
        <v>6986</v>
      </c>
      <c r="R2111" s="19">
        <f t="shared" si="256"/>
        <v>954567.03999999992</v>
      </c>
      <c r="T2111" s="19">
        <f t="shared" si="260"/>
        <v>533746.4</v>
      </c>
      <c r="U2111" s="19">
        <f t="shared" si="261"/>
        <v>506114.55999999994</v>
      </c>
      <c r="V2111" s="21">
        <f t="shared" si="262"/>
        <v>-27631.840000000084</v>
      </c>
      <c r="W2111" s="18">
        <f t="shared" si="263"/>
        <v>-5.176960444136032E-2</v>
      </c>
    </row>
    <row r="2112" spans="1:23" x14ac:dyDescent="0.3">
      <c r="A2112" t="s">
        <v>344</v>
      </c>
      <c r="B2112" t="s">
        <v>345</v>
      </c>
      <c r="C2112" t="s">
        <v>23</v>
      </c>
      <c r="D2112" t="s">
        <v>69</v>
      </c>
      <c r="E2112">
        <v>3510</v>
      </c>
      <c r="F2112">
        <v>339.82</v>
      </c>
      <c r="G2112">
        <v>358.24</v>
      </c>
      <c r="H2112">
        <v>339.82</v>
      </c>
      <c r="I2112">
        <v>2663</v>
      </c>
      <c r="J2112">
        <v>80</v>
      </c>
      <c r="K2112" s="17">
        <f t="shared" si="257"/>
        <v>7101.333333333333</v>
      </c>
      <c r="L2112" t="str">
        <f t="shared" si="258"/>
        <v>High Risk</v>
      </c>
      <c r="P2112" s="19">
        <f t="shared" si="259"/>
        <v>3592</v>
      </c>
      <c r="R2112" s="19">
        <f t="shared" si="256"/>
        <v>1220633.44</v>
      </c>
      <c r="T2112" s="19">
        <f t="shared" si="260"/>
        <v>953993.12</v>
      </c>
      <c r="U2112" s="19">
        <f t="shared" si="261"/>
        <v>904940.66</v>
      </c>
      <c r="V2112" s="21">
        <f t="shared" si="262"/>
        <v>-49052.459999999963</v>
      </c>
      <c r="W2112" s="18">
        <f t="shared" si="263"/>
        <v>-5.1418043769539935E-2</v>
      </c>
    </row>
    <row r="2113" spans="1:23" x14ac:dyDescent="0.3">
      <c r="A2113" t="s">
        <v>723</v>
      </c>
      <c r="B2113" t="s">
        <v>1052</v>
      </c>
      <c r="C2113" t="s">
        <v>23</v>
      </c>
      <c r="D2113" t="s">
        <v>26</v>
      </c>
      <c r="E2113">
        <v>3512</v>
      </c>
      <c r="F2113">
        <v>488.23</v>
      </c>
      <c r="G2113">
        <v>481.84</v>
      </c>
      <c r="H2113">
        <v>488.23</v>
      </c>
      <c r="I2113">
        <v>3376</v>
      </c>
      <c r="J2113">
        <v>9</v>
      </c>
      <c r="K2113" s="17">
        <f t="shared" si="257"/>
        <v>1012.8</v>
      </c>
      <c r="L2113" t="str">
        <f t="shared" si="258"/>
        <v>Sufficuent Stock</v>
      </c>
      <c r="P2113" s="19">
        <f t="shared" si="259"/>
        <v>0</v>
      </c>
      <c r="R2113" s="19">
        <f t="shared" si="256"/>
        <v>0</v>
      </c>
      <c r="T2113" s="19">
        <f t="shared" si="260"/>
        <v>1626691.8399999999</v>
      </c>
      <c r="U2113" s="19">
        <f t="shared" si="261"/>
        <v>1648264.48</v>
      </c>
      <c r="V2113" s="21">
        <f t="shared" si="262"/>
        <v>21572.64000000013</v>
      </c>
      <c r="W2113" s="18">
        <f t="shared" si="263"/>
        <v>1.3261663622779427E-2</v>
      </c>
    </row>
    <row r="2114" spans="1:23" x14ac:dyDescent="0.3">
      <c r="A2114" t="s">
        <v>1243</v>
      </c>
      <c r="B2114" t="s">
        <v>1639</v>
      </c>
      <c r="C2114" t="s">
        <v>12</v>
      </c>
      <c r="D2114" t="s">
        <v>17</v>
      </c>
      <c r="E2114">
        <v>3514</v>
      </c>
      <c r="F2114">
        <v>24.97</v>
      </c>
      <c r="G2114">
        <v>26.98</v>
      </c>
      <c r="H2114">
        <v>24.97</v>
      </c>
      <c r="I2114">
        <v>1494</v>
      </c>
      <c r="J2114">
        <v>5</v>
      </c>
      <c r="K2114" s="17">
        <f t="shared" si="257"/>
        <v>249</v>
      </c>
      <c r="L2114" t="str">
        <f t="shared" si="258"/>
        <v>Sufficuent Stock</v>
      </c>
      <c r="P2114" s="19">
        <f t="shared" si="259"/>
        <v>0</v>
      </c>
      <c r="R2114" s="19">
        <f t="shared" ref="R2114:R2177" si="264">P2114*H2114</f>
        <v>0</v>
      </c>
      <c r="T2114" s="19">
        <f t="shared" si="260"/>
        <v>40308.120000000003</v>
      </c>
      <c r="U2114" s="19">
        <f t="shared" si="261"/>
        <v>37305.18</v>
      </c>
      <c r="V2114" s="21">
        <f t="shared" si="262"/>
        <v>-3002.9400000000023</v>
      </c>
      <c r="W2114" s="18">
        <f t="shared" si="263"/>
        <v>-7.4499629355077882E-2</v>
      </c>
    </row>
    <row r="2115" spans="1:23" x14ac:dyDescent="0.3">
      <c r="A2115" t="s">
        <v>1067</v>
      </c>
      <c r="B2115" t="s">
        <v>1226</v>
      </c>
      <c r="C2115" t="s">
        <v>37</v>
      </c>
      <c r="D2115" t="s">
        <v>69</v>
      </c>
      <c r="E2115">
        <v>3515</v>
      </c>
      <c r="F2115">
        <v>282.61</v>
      </c>
      <c r="G2115">
        <v>312.04000000000002</v>
      </c>
      <c r="H2115">
        <v>282.61</v>
      </c>
      <c r="I2115">
        <v>1488</v>
      </c>
      <c r="J2115">
        <v>77</v>
      </c>
      <c r="K2115" s="17">
        <f t="shared" ref="K2115:K2178" si="265">(I2115/30)*J2115</f>
        <v>3819.2000000000003</v>
      </c>
      <c r="L2115" t="str">
        <f t="shared" ref="L2115:L2178" si="266">IF(E2115&lt;K2115,"High Risk","Sufficuent Stock")</f>
        <v>High Risk</v>
      </c>
      <c r="P2115" s="19">
        <f t="shared" ref="P2115:P2178" si="267">ROUNDUP(MAX(0,K2115-E2115),0)</f>
        <v>305</v>
      </c>
      <c r="R2115" s="19">
        <f t="shared" si="264"/>
        <v>86196.05</v>
      </c>
      <c r="T2115" s="19">
        <f t="shared" ref="T2115:T2178" si="268">I2115*G2115</f>
        <v>464315.52</v>
      </c>
      <c r="U2115" s="19">
        <f t="shared" ref="U2115:U2178" si="269">I2115*H2115</f>
        <v>420523.68</v>
      </c>
      <c r="V2115" s="21">
        <f t="shared" ref="V2115:V2178" si="270">U2115-T2115</f>
        <v>-43791.840000000026</v>
      </c>
      <c r="W2115" s="18">
        <f t="shared" ref="W2115:W2178" si="271">IFERROR(V2115/T2115,0)</f>
        <v>-9.4314831431867766E-2</v>
      </c>
    </row>
    <row r="2116" spans="1:23" x14ac:dyDescent="0.3">
      <c r="A2116" t="s">
        <v>61</v>
      </c>
      <c r="B2116" t="s">
        <v>3148</v>
      </c>
      <c r="C2116" t="s">
        <v>23</v>
      </c>
      <c r="D2116" t="s">
        <v>69</v>
      </c>
      <c r="E2116">
        <v>3516</v>
      </c>
      <c r="F2116">
        <v>330.63</v>
      </c>
      <c r="G2116">
        <v>298.01</v>
      </c>
      <c r="H2116">
        <v>330.63</v>
      </c>
      <c r="I2116">
        <v>2609</v>
      </c>
      <c r="J2116">
        <v>65</v>
      </c>
      <c r="K2116" s="17">
        <f t="shared" si="265"/>
        <v>5652.833333333333</v>
      </c>
      <c r="L2116" t="str">
        <f t="shared" si="266"/>
        <v>High Risk</v>
      </c>
      <c r="P2116" s="19">
        <f t="shared" si="267"/>
        <v>2137</v>
      </c>
      <c r="R2116" s="19">
        <f t="shared" si="264"/>
        <v>706556.30999999994</v>
      </c>
      <c r="T2116" s="19">
        <f t="shared" si="268"/>
        <v>777508.09</v>
      </c>
      <c r="U2116" s="19">
        <f t="shared" si="269"/>
        <v>862613.67</v>
      </c>
      <c r="V2116" s="21">
        <f t="shared" si="270"/>
        <v>85105.580000000075</v>
      </c>
      <c r="W2116" s="18">
        <f t="shared" si="271"/>
        <v>0.10945941411362045</v>
      </c>
    </row>
    <row r="2117" spans="1:23" x14ac:dyDescent="0.3">
      <c r="A2117" t="s">
        <v>256</v>
      </c>
      <c r="B2117" t="s">
        <v>1292</v>
      </c>
      <c r="C2117" t="s">
        <v>12</v>
      </c>
      <c r="D2117" t="s">
        <v>13</v>
      </c>
      <c r="E2117">
        <v>3516</v>
      </c>
      <c r="F2117">
        <v>423.57</v>
      </c>
      <c r="G2117">
        <v>445.14</v>
      </c>
      <c r="H2117">
        <v>423.57</v>
      </c>
      <c r="I2117">
        <v>2732</v>
      </c>
      <c r="J2117">
        <v>10</v>
      </c>
      <c r="K2117" s="17">
        <f t="shared" si="265"/>
        <v>910.66666666666663</v>
      </c>
      <c r="L2117" t="str">
        <f t="shared" si="266"/>
        <v>Sufficuent Stock</v>
      </c>
      <c r="P2117" s="19">
        <f t="shared" si="267"/>
        <v>0</v>
      </c>
      <c r="R2117" s="19">
        <f t="shared" si="264"/>
        <v>0</v>
      </c>
      <c r="T2117" s="19">
        <f t="shared" si="268"/>
        <v>1216122.48</v>
      </c>
      <c r="U2117" s="19">
        <f t="shared" si="269"/>
        <v>1157193.24</v>
      </c>
      <c r="V2117" s="21">
        <f t="shared" si="270"/>
        <v>-58929.239999999991</v>
      </c>
      <c r="W2117" s="18">
        <f t="shared" si="271"/>
        <v>-4.8456665318776106E-2</v>
      </c>
    </row>
    <row r="2118" spans="1:23" x14ac:dyDescent="0.3">
      <c r="A2118" t="s">
        <v>521</v>
      </c>
      <c r="B2118" t="s">
        <v>2235</v>
      </c>
      <c r="C2118" t="s">
        <v>16</v>
      </c>
      <c r="D2118" t="s">
        <v>69</v>
      </c>
      <c r="E2118">
        <v>3517</v>
      </c>
      <c r="F2118">
        <v>93.16</v>
      </c>
      <c r="G2118">
        <v>80.62</v>
      </c>
      <c r="H2118">
        <v>93.16</v>
      </c>
      <c r="I2118">
        <v>3954</v>
      </c>
      <c r="J2118">
        <v>67</v>
      </c>
      <c r="K2118" s="17">
        <f t="shared" si="265"/>
        <v>8830.6</v>
      </c>
      <c r="L2118" t="str">
        <f t="shared" si="266"/>
        <v>High Risk</v>
      </c>
      <c r="P2118" s="19">
        <f t="shared" si="267"/>
        <v>5314</v>
      </c>
      <c r="R2118" s="19">
        <f t="shared" si="264"/>
        <v>495052.24</v>
      </c>
      <c r="T2118" s="19">
        <f t="shared" si="268"/>
        <v>318771.48000000004</v>
      </c>
      <c r="U2118" s="19">
        <f t="shared" si="269"/>
        <v>368354.64</v>
      </c>
      <c r="V2118" s="21">
        <f t="shared" si="270"/>
        <v>49583.159999999974</v>
      </c>
      <c r="W2118" s="18">
        <f t="shared" si="271"/>
        <v>0.15554452989332662</v>
      </c>
    </row>
    <row r="2119" spans="1:23" x14ac:dyDescent="0.3">
      <c r="A2119" t="s">
        <v>992</v>
      </c>
      <c r="B2119" t="s">
        <v>3188</v>
      </c>
      <c r="C2119" t="s">
        <v>50</v>
      </c>
      <c r="D2119" t="s">
        <v>20</v>
      </c>
      <c r="E2119">
        <v>3518</v>
      </c>
      <c r="F2119">
        <v>203.95</v>
      </c>
      <c r="G2119">
        <v>195.22</v>
      </c>
      <c r="H2119">
        <v>203.95</v>
      </c>
      <c r="I2119">
        <v>1839</v>
      </c>
      <c r="J2119">
        <v>30</v>
      </c>
      <c r="K2119" s="17">
        <f t="shared" si="265"/>
        <v>1839</v>
      </c>
      <c r="L2119" t="str">
        <f t="shared" si="266"/>
        <v>Sufficuent Stock</v>
      </c>
      <c r="P2119" s="19">
        <f t="shared" si="267"/>
        <v>0</v>
      </c>
      <c r="R2119" s="19">
        <f t="shared" si="264"/>
        <v>0</v>
      </c>
      <c r="T2119" s="19">
        <f t="shared" si="268"/>
        <v>359009.58</v>
      </c>
      <c r="U2119" s="19">
        <f t="shared" si="269"/>
        <v>375064.05</v>
      </c>
      <c r="V2119" s="21">
        <f t="shared" si="270"/>
        <v>16054.469999999972</v>
      </c>
      <c r="W2119" s="18">
        <f t="shared" si="271"/>
        <v>4.4718778813646061E-2</v>
      </c>
    </row>
    <row r="2120" spans="1:23" x14ac:dyDescent="0.3">
      <c r="A2120" t="s">
        <v>63</v>
      </c>
      <c r="B2120" t="s">
        <v>367</v>
      </c>
      <c r="C2120" t="s">
        <v>37</v>
      </c>
      <c r="D2120" t="s">
        <v>13</v>
      </c>
      <c r="E2120">
        <v>3520</v>
      </c>
      <c r="F2120">
        <v>386.94</v>
      </c>
      <c r="G2120">
        <v>338.09</v>
      </c>
      <c r="H2120">
        <v>386.94</v>
      </c>
      <c r="I2120">
        <v>1764</v>
      </c>
      <c r="J2120">
        <v>14</v>
      </c>
      <c r="K2120" s="17">
        <f t="shared" si="265"/>
        <v>823.19999999999993</v>
      </c>
      <c r="L2120" t="str">
        <f t="shared" si="266"/>
        <v>Sufficuent Stock</v>
      </c>
      <c r="P2120" s="19">
        <f t="shared" si="267"/>
        <v>0</v>
      </c>
      <c r="R2120" s="19">
        <f t="shared" si="264"/>
        <v>0</v>
      </c>
      <c r="T2120" s="19">
        <f t="shared" si="268"/>
        <v>596390.76</v>
      </c>
      <c r="U2120" s="19">
        <f t="shared" si="269"/>
        <v>682562.16</v>
      </c>
      <c r="V2120" s="21">
        <f t="shared" si="270"/>
        <v>86171.400000000023</v>
      </c>
      <c r="W2120" s="18">
        <f t="shared" si="271"/>
        <v>0.14448815404182322</v>
      </c>
    </row>
    <row r="2121" spans="1:23" x14ac:dyDescent="0.3">
      <c r="A2121" t="s">
        <v>298</v>
      </c>
      <c r="B2121" t="s">
        <v>2367</v>
      </c>
      <c r="C2121" t="s">
        <v>12</v>
      </c>
      <c r="D2121" t="s">
        <v>20</v>
      </c>
      <c r="E2121">
        <v>3524</v>
      </c>
      <c r="F2121">
        <v>391.68</v>
      </c>
      <c r="G2121">
        <v>432.96</v>
      </c>
      <c r="H2121">
        <v>391.68</v>
      </c>
      <c r="I2121">
        <v>733</v>
      </c>
      <c r="J2121">
        <v>65</v>
      </c>
      <c r="K2121" s="17">
        <f t="shared" si="265"/>
        <v>1588.1666666666667</v>
      </c>
      <c r="L2121" t="str">
        <f t="shared" si="266"/>
        <v>Sufficuent Stock</v>
      </c>
      <c r="P2121" s="19">
        <f t="shared" si="267"/>
        <v>0</v>
      </c>
      <c r="R2121" s="19">
        <f t="shared" si="264"/>
        <v>0</v>
      </c>
      <c r="T2121" s="19">
        <f t="shared" si="268"/>
        <v>317359.68</v>
      </c>
      <c r="U2121" s="19">
        <f t="shared" si="269"/>
        <v>287101.44</v>
      </c>
      <c r="V2121" s="21">
        <f t="shared" si="270"/>
        <v>-30258.239999999991</v>
      </c>
      <c r="W2121" s="18">
        <f t="shared" si="271"/>
        <v>-9.5343680709534334E-2</v>
      </c>
    </row>
    <row r="2122" spans="1:23" x14ac:dyDescent="0.3">
      <c r="A2122" t="s">
        <v>1467</v>
      </c>
      <c r="B2122" t="s">
        <v>2850</v>
      </c>
      <c r="C2122" t="s">
        <v>23</v>
      </c>
      <c r="D2122" t="s">
        <v>13</v>
      </c>
      <c r="E2122">
        <v>3525</v>
      </c>
      <c r="F2122">
        <v>330.41</v>
      </c>
      <c r="G2122">
        <v>277.36</v>
      </c>
      <c r="H2122">
        <v>330.41</v>
      </c>
      <c r="I2122">
        <v>1802</v>
      </c>
      <c r="J2122">
        <v>23</v>
      </c>
      <c r="K2122" s="17">
        <f t="shared" si="265"/>
        <v>1381.5333333333333</v>
      </c>
      <c r="L2122" t="str">
        <f t="shared" si="266"/>
        <v>Sufficuent Stock</v>
      </c>
      <c r="P2122" s="19">
        <f t="shared" si="267"/>
        <v>0</v>
      </c>
      <c r="R2122" s="19">
        <f t="shared" si="264"/>
        <v>0</v>
      </c>
      <c r="T2122" s="19">
        <f t="shared" si="268"/>
        <v>499802.72000000003</v>
      </c>
      <c r="U2122" s="19">
        <f t="shared" si="269"/>
        <v>595398.82000000007</v>
      </c>
      <c r="V2122" s="21">
        <f t="shared" si="270"/>
        <v>95596.100000000035</v>
      </c>
      <c r="W2122" s="18">
        <f t="shared" si="271"/>
        <v>0.19126766657052213</v>
      </c>
    </row>
    <row r="2123" spans="1:23" x14ac:dyDescent="0.3">
      <c r="A2123" t="s">
        <v>477</v>
      </c>
      <c r="B2123" t="s">
        <v>3056</v>
      </c>
      <c r="C2123" t="s">
        <v>12</v>
      </c>
      <c r="D2123" t="s">
        <v>26</v>
      </c>
      <c r="E2123">
        <v>3527</v>
      </c>
      <c r="F2123">
        <v>519.44000000000005</v>
      </c>
      <c r="G2123">
        <v>454.53</v>
      </c>
      <c r="H2123">
        <v>519.44000000000005</v>
      </c>
      <c r="I2123">
        <v>1533</v>
      </c>
      <c r="J2123">
        <v>37</v>
      </c>
      <c r="K2123" s="17">
        <f t="shared" si="265"/>
        <v>1890.7</v>
      </c>
      <c r="L2123" t="str">
        <f t="shared" si="266"/>
        <v>Sufficuent Stock</v>
      </c>
      <c r="P2123" s="19">
        <f t="shared" si="267"/>
        <v>0</v>
      </c>
      <c r="R2123" s="19">
        <f t="shared" si="264"/>
        <v>0</v>
      </c>
      <c r="T2123" s="19">
        <f t="shared" si="268"/>
        <v>696794.49</v>
      </c>
      <c r="U2123" s="19">
        <f t="shared" si="269"/>
        <v>796301.52000000014</v>
      </c>
      <c r="V2123" s="21">
        <f t="shared" si="270"/>
        <v>99507.030000000144</v>
      </c>
      <c r="W2123" s="18">
        <f t="shared" si="271"/>
        <v>0.14280685543308494</v>
      </c>
    </row>
    <row r="2124" spans="1:23" x14ac:dyDescent="0.3">
      <c r="A2124" t="s">
        <v>559</v>
      </c>
      <c r="B2124" t="s">
        <v>2936</v>
      </c>
      <c r="C2124" t="s">
        <v>23</v>
      </c>
      <c r="D2124" t="s">
        <v>13</v>
      </c>
      <c r="E2124">
        <v>3528</v>
      </c>
      <c r="F2124">
        <v>21.97</v>
      </c>
      <c r="G2124">
        <v>23.36</v>
      </c>
      <c r="H2124">
        <v>21.97</v>
      </c>
      <c r="I2124">
        <v>2548</v>
      </c>
      <c r="J2124">
        <v>83</v>
      </c>
      <c r="K2124" s="17">
        <f t="shared" si="265"/>
        <v>7049.4666666666672</v>
      </c>
      <c r="L2124" t="str">
        <f t="shared" si="266"/>
        <v>High Risk</v>
      </c>
      <c r="P2124" s="19">
        <f t="shared" si="267"/>
        <v>3522</v>
      </c>
      <c r="R2124" s="19">
        <f t="shared" si="264"/>
        <v>77378.34</v>
      </c>
      <c r="T2124" s="19">
        <f t="shared" si="268"/>
        <v>59521.279999999999</v>
      </c>
      <c r="U2124" s="19">
        <f t="shared" si="269"/>
        <v>55979.56</v>
      </c>
      <c r="V2124" s="21">
        <f t="shared" si="270"/>
        <v>-3541.7200000000012</v>
      </c>
      <c r="W2124" s="18">
        <f t="shared" si="271"/>
        <v>-5.9503424657534269E-2</v>
      </c>
    </row>
    <row r="2125" spans="1:23" x14ac:dyDescent="0.3">
      <c r="A2125" t="s">
        <v>592</v>
      </c>
      <c r="B2125" t="s">
        <v>1637</v>
      </c>
      <c r="C2125" t="s">
        <v>37</v>
      </c>
      <c r="D2125" t="s">
        <v>26</v>
      </c>
      <c r="E2125">
        <v>3528</v>
      </c>
      <c r="F2125">
        <v>258.99</v>
      </c>
      <c r="G2125">
        <v>235.74</v>
      </c>
      <c r="H2125">
        <v>258.99</v>
      </c>
      <c r="I2125">
        <v>527</v>
      </c>
      <c r="J2125">
        <v>62</v>
      </c>
      <c r="K2125" s="17">
        <f t="shared" si="265"/>
        <v>1089.1333333333332</v>
      </c>
      <c r="L2125" t="str">
        <f t="shared" si="266"/>
        <v>Sufficuent Stock</v>
      </c>
      <c r="P2125" s="19">
        <f t="shared" si="267"/>
        <v>0</v>
      </c>
      <c r="R2125" s="19">
        <f t="shared" si="264"/>
        <v>0</v>
      </c>
      <c r="T2125" s="19">
        <f t="shared" si="268"/>
        <v>124234.98000000001</v>
      </c>
      <c r="U2125" s="19">
        <f t="shared" si="269"/>
        <v>136487.73000000001</v>
      </c>
      <c r="V2125" s="21">
        <f t="shared" si="270"/>
        <v>12252.75</v>
      </c>
      <c r="W2125" s="18">
        <f t="shared" si="271"/>
        <v>9.8625604479511311E-2</v>
      </c>
    </row>
    <row r="2126" spans="1:23" x14ac:dyDescent="0.3">
      <c r="A2126" t="s">
        <v>186</v>
      </c>
      <c r="B2126" t="s">
        <v>2721</v>
      </c>
      <c r="C2126" t="s">
        <v>37</v>
      </c>
      <c r="D2126" t="s">
        <v>26</v>
      </c>
      <c r="E2126">
        <v>3530</v>
      </c>
      <c r="F2126">
        <v>155.52000000000001</v>
      </c>
      <c r="G2126">
        <v>149.97999999999999</v>
      </c>
      <c r="H2126">
        <v>155.52000000000001</v>
      </c>
      <c r="I2126">
        <v>2261</v>
      </c>
      <c r="J2126">
        <v>90</v>
      </c>
      <c r="K2126" s="17">
        <f t="shared" si="265"/>
        <v>6782.9999999999991</v>
      </c>
      <c r="L2126" t="str">
        <f t="shared" si="266"/>
        <v>High Risk</v>
      </c>
      <c r="P2126" s="19">
        <f t="shared" si="267"/>
        <v>3253</v>
      </c>
      <c r="R2126" s="19">
        <f t="shared" si="264"/>
        <v>505906.56000000006</v>
      </c>
      <c r="T2126" s="19">
        <f t="shared" si="268"/>
        <v>339104.77999999997</v>
      </c>
      <c r="U2126" s="19">
        <f t="shared" si="269"/>
        <v>351630.72000000003</v>
      </c>
      <c r="V2126" s="21">
        <f t="shared" si="270"/>
        <v>12525.940000000061</v>
      </c>
      <c r="W2126" s="18">
        <f t="shared" si="271"/>
        <v>3.693825843445811E-2</v>
      </c>
    </row>
    <row r="2127" spans="1:23" x14ac:dyDescent="0.3">
      <c r="A2127" t="s">
        <v>535</v>
      </c>
      <c r="B2127" t="s">
        <v>2703</v>
      </c>
      <c r="C2127" t="s">
        <v>50</v>
      </c>
      <c r="D2127" t="s">
        <v>13</v>
      </c>
      <c r="E2127">
        <v>3530</v>
      </c>
      <c r="F2127">
        <v>301.86</v>
      </c>
      <c r="G2127">
        <v>320.36</v>
      </c>
      <c r="H2127">
        <v>301.86</v>
      </c>
      <c r="I2127">
        <v>1687</v>
      </c>
      <c r="J2127">
        <v>62</v>
      </c>
      <c r="K2127" s="17">
        <f t="shared" si="265"/>
        <v>3486.4666666666667</v>
      </c>
      <c r="L2127" t="str">
        <f t="shared" si="266"/>
        <v>Sufficuent Stock</v>
      </c>
      <c r="P2127" s="19">
        <f t="shared" si="267"/>
        <v>0</v>
      </c>
      <c r="R2127" s="19">
        <f t="shared" si="264"/>
        <v>0</v>
      </c>
      <c r="T2127" s="19">
        <f t="shared" si="268"/>
        <v>540447.32000000007</v>
      </c>
      <c r="U2127" s="19">
        <f t="shared" si="269"/>
        <v>509237.82</v>
      </c>
      <c r="V2127" s="21">
        <f t="shared" si="270"/>
        <v>-31209.500000000058</v>
      </c>
      <c r="W2127" s="18">
        <f t="shared" si="271"/>
        <v>-5.7747534024222849E-2</v>
      </c>
    </row>
    <row r="2128" spans="1:23" x14ac:dyDescent="0.3">
      <c r="A2128" t="s">
        <v>256</v>
      </c>
      <c r="B2128" t="s">
        <v>2361</v>
      </c>
      <c r="C2128" t="s">
        <v>16</v>
      </c>
      <c r="D2128" t="s">
        <v>69</v>
      </c>
      <c r="E2128">
        <v>3533</v>
      </c>
      <c r="F2128">
        <v>111.06</v>
      </c>
      <c r="G2128">
        <v>109.51</v>
      </c>
      <c r="H2128">
        <v>111.06</v>
      </c>
      <c r="I2128">
        <v>2312</v>
      </c>
      <c r="J2128">
        <v>64</v>
      </c>
      <c r="K2128" s="17">
        <f t="shared" si="265"/>
        <v>4932.2666666666664</v>
      </c>
      <c r="L2128" t="str">
        <f t="shared" si="266"/>
        <v>High Risk</v>
      </c>
      <c r="P2128" s="19">
        <f t="shared" si="267"/>
        <v>1400</v>
      </c>
      <c r="R2128" s="19">
        <f t="shared" si="264"/>
        <v>155484</v>
      </c>
      <c r="T2128" s="19">
        <f t="shared" si="268"/>
        <v>253187.12000000002</v>
      </c>
      <c r="U2128" s="19">
        <f t="shared" si="269"/>
        <v>256770.72</v>
      </c>
      <c r="V2128" s="21">
        <f t="shared" si="270"/>
        <v>3583.5999999999767</v>
      </c>
      <c r="W2128" s="18">
        <f t="shared" si="271"/>
        <v>1.4153958542598755E-2</v>
      </c>
    </row>
    <row r="2129" spans="1:23" x14ac:dyDescent="0.3">
      <c r="A2129" t="s">
        <v>92</v>
      </c>
      <c r="B2129" t="s">
        <v>93</v>
      </c>
      <c r="C2129" t="s">
        <v>37</v>
      </c>
      <c r="D2129" t="s">
        <v>20</v>
      </c>
      <c r="E2129">
        <v>3534</v>
      </c>
      <c r="F2129">
        <v>43.64</v>
      </c>
      <c r="G2129">
        <v>39.119999999999997</v>
      </c>
      <c r="H2129">
        <v>43.64</v>
      </c>
      <c r="I2129">
        <v>2850</v>
      </c>
      <c r="J2129">
        <v>9</v>
      </c>
      <c r="K2129" s="17">
        <f t="shared" si="265"/>
        <v>855</v>
      </c>
      <c r="L2129" t="str">
        <f t="shared" si="266"/>
        <v>Sufficuent Stock</v>
      </c>
      <c r="P2129" s="19">
        <f t="shared" si="267"/>
        <v>0</v>
      </c>
      <c r="R2129" s="19">
        <f t="shared" si="264"/>
        <v>0</v>
      </c>
      <c r="T2129" s="19">
        <f t="shared" si="268"/>
        <v>111491.99999999999</v>
      </c>
      <c r="U2129" s="19">
        <f t="shared" si="269"/>
        <v>124374</v>
      </c>
      <c r="V2129" s="21">
        <f t="shared" si="270"/>
        <v>12882.000000000015</v>
      </c>
      <c r="W2129" s="18">
        <f t="shared" si="271"/>
        <v>0.11554192229038869</v>
      </c>
    </row>
    <row r="2130" spans="1:23" x14ac:dyDescent="0.3">
      <c r="A2130" t="s">
        <v>293</v>
      </c>
      <c r="B2130" t="s">
        <v>854</v>
      </c>
      <c r="C2130" t="s">
        <v>37</v>
      </c>
      <c r="D2130" t="s">
        <v>69</v>
      </c>
      <c r="E2130">
        <v>3534</v>
      </c>
      <c r="F2130">
        <v>30.57</v>
      </c>
      <c r="G2130">
        <v>31.35</v>
      </c>
      <c r="H2130">
        <v>30.57</v>
      </c>
      <c r="I2130">
        <v>3810</v>
      </c>
      <c r="J2130">
        <v>42</v>
      </c>
      <c r="K2130" s="17">
        <f t="shared" si="265"/>
        <v>5334</v>
      </c>
      <c r="L2130" t="str">
        <f t="shared" si="266"/>
        <v>High Risk</v>
      </c>
      <c r="P2130" s="19">
        <f t="shared" si="267"/>
        <v>1800</v>
      </c>
      <c r="R2130" s="19">
        <f t="shared" si="264"/>
        <v>55026</v>
      </c>
      <c r="T2130" s="19">
        <f t="shared" si="268"/>
        <v>119443.5</v>
      </c>
      <c r="U2130" s="19">
        <f t="shared" si="269"/>
        <v>116471.7</v>
      </c>
      <c r="V2130" s="21">
        <f t="shared" si="270"/>
        <v>-2971.8000000000029</v>
      </c>
      <c r="W2130" s="18">
        <f t="shared" si="271"/>
        <v>-2.4880382775119642E-2</v>
      </c>
    </row>
    <row r="2131" spans="1:23" x14ac:dyDescent="0.3">
      <c r="A2131" t="s">
        <v>129</v>
      </c>
      <c r="B2131" t="s">
        <v>1908</v>
      </c>
      <c r="C2131" t="s">
        <v>37</v>
      </c>
      <c r="D2131" t="s">
        <v>13</v>
      </c>
      <c r="E2131">
        <v>3535</v>
      </c>
      <c r="F2131">
        <v>47.17</v>
      </c>
      <c r="G2131">
        <v>51.21</v>
      </c>
      <c r="H2131">
        <v>47.17</v>
      </c>
      <c r="I2131">
        <v>859</v>
      </c>
      <c r="J2131">
        <v>65</v>
      </c>
      <c r="K2131" s="17">
        <f t="shared" si="265"/>
        <v>1861.1666666666667</v>
      </c>
      <c r="L2131" t="str">
        <f t="shared" si="266"/>
        <v>Sufficuent Stock</v>
      </c>
      <c r="P2131" s="19">
        <f t="shared" si="267"/>
        <v>0</v>
      </c>
      <c r="R2131" s="19">
        <f t="shared" si="264"/>
        <v>0</v>
      </c>
      <c r="T2131" s="19">
        <f t="shared" si="268"/>
        <v>43989.39</v>
      </c>
      <c r="U2131" s="19">
        <f t="shared" si="269"/>
        <v>40519.03</v>
      </c>
      <c r="V2131" s="21">
        <f t="shared" si="270"/>
        <v>-3470.3600000000006</v>
      </c>
      <c r="W2131" s="18">
        <f t="shared" si="271"/>
        <v>-7.8890841632493672E-2</v>
      </c>
    </row>
    <row r="2132" spans="1:23" x14ac:dyDescent="0.3">
      <c r="A2132" t="s">
        <v>92</v>
      </c>
      <c r="B2132" t="s">
        <v>741</v>
      </c>
      <c r="C2132" t="s">
        <v>12</v>
      </c>
      <c r="D2132" t="s">
        <v>13</v>
      </c>
      <c r="E2132">
        <v>3538</v>
      </c>
      <c r="F2132">
        <v>167.34</v>
      </c>
      <c r="G2132">
        <v>149.21</v>
      </c>
      <c r="H2132">
        <v>167.34</v>
      </c>
      <c r="I2132">
        <v>1295</v>
      </c>
      <c r="J2132">
        <v>61</v>
      </c>
      <c r="K2132" s="17">
        <f t="shared" si="265"/>
        <v>2633.1666666666665</v>
      </c>
      <c r="L2132" t="str">
        <f t="shared" si="266"/>
        <v>Sufficuent Stock</v>
      </c>
      <c r="P2132" s="19">
        <f t="shared" si="267"/>
        <v>0</v>
      </c>
      <c r="R2132" s="19">
        <f t="shared" si="264"/>
        <v>0</v>
      </c>
      <c r="T2132" s="19">
        <f t="shared" si="268"/>
        <v>193226.95</v>
      </c>
      <c r="U2132" s="19">
        <f t="shared" si="269"/>
        <v>216705.30000000002</v>
      </c>
      <c r="V2132" s="21">
        <f t="shared" si="270"/>
        <v>23478.350000000006</v>
      </c>
      <c r="W2132" s="18">
        <f t="shared" si="271"/>
        <v>0.12150660143422025</v>
      </c>
    </row>
    <row r="2133" spans="1:23" x14ac:dyDescent="0.3">
      <c r="A2133" t="s">
        <v>347</v>
      </c>
      <c r="B2133" t="s">
        <v>2175</v>
      </c>
      <c r="C2133" t="s">
        <v>12</v>
      </c>
      <c r="D2133" t="s">
        <v>69</v>
      </c>
      <c r="E2133">
        <v>3539</v>
      </c>
      <c r="F2133">
        <v>459.12</v>
      </c>
      <c r="G2133">
        <v>409.3</v>
      </c>
      <c r="H2133">
        <v>459.12</v>
      </c>
      <c r="I2133">
        <v>3930</v>
      </c>
      <c r="J2133">
        <v>11</v>
      </c>
      <c r="K2133" s="17">
        <f t="shared" si="265"/>
        <v>1441</v>
      </c>
      <c r="L2133" t="str">
        <f t="shared" si="266"/>
        <v>Sufficuent Stock</v>
      </c>
      <c r="P2133" s="19">
        <f t="shared" si="267"/>
        <v>0</v>
      </c>
      <c r="R2133" s="19">
        <f t="shared" si="264"/>
        <v>0</v>
      </c>
      <c r="T2133" s="19">
        <f t="shared" si="268"/>
        <v>1608549</v>
      </c>
      <c r="U2133" s="19">
        <f t="shared" si="269"/>
        <v>1804341.6</v>
      </c>
      <c r="V2133" s="21">
        <f t="shared" si="270"/>
        <v>195792.60000000009</v>
      </c>
      <c r="W2133" s="18">
        <f t="shared" si="271"/>
        <v>0.12172000977278286</v>
      </c>
    </row>
    <row r="2134" spans="1:23" x14ac:dyDescent="0.3">
      <c r="A2134" t="s">
        <v>773</v>
      </c>
      <c r="B2134" t="s">
        <v>2406</v>
      </c>
      <c r="C2134" t="s">
        <v>37</v>
      </c>
      <c r="D2134" t="s">
        <v>20</v>
      </c>
      <c r="E2134">
        <v>3539</v>
      </c>
      <c r="F2134">
        <v>128.69</v>
      </c>
      <c r="G2134">
        <v>112.28</v>
      </c>
      <c r="H2134">
        <v>128.69</v>
      </c>
      <c r="I2134">
        <v>239</v>
      </c>
      <c r="J2134">
        <v>90</v>
      </c>
      <c r="K2134" s="17">
        <f t="shared" si="265"/>
        <v>717</v>
      </c>
      <c r="L2134" t="str">
        <f t="shared" si="266"/>
        <v>Sufficuent Stock</v>
      </c>
      <c r="P2134" s="19">
        <f t="shared" si="267"/>
        <v>0</v>
      </c>
      <c r="R2134" s="19">
        <f t="shared" si="264"/>
        <v>0</v>
      </c>
      <c r="T2134" s="19">
        <f t="shared" si="268"/>
        <v>26834.920000000002</v>
      </c>
      <c r="U2134" s="19">
        <f t="shared" si="269"/>
        <v>30756.91</v>
      </c>
      <c r="V2134" s="21">
        <f t="shared" si="270"/>
        <v>3921.989999999998</v>
      </c>
      <c r="W2134" s="18">
        <f t="shared" si="271"/>
        <v>0.14615247595297462</v>
      </c>
    </row>
    <row r="2135" spans="1:23" x14ac:dyDescent="0.3">
      <c r="A2135" t="s">
        <v>395</v>
      </c>
      <c r="B2135" t="s">
        <v>396</v>
      </c>
      <c r="C2135" t="s">
        <v>37</v>
      </c>
      <c r="D2135" t="s">
        <v>26</v>
      </c>
      <c r="E2135">
        <v>3540</v>
      </c>
      <c r="F2135">
        <v>399.28</v>
      </c>
      <c r="G2135">
        <v>435.12</v>
      </c>
      <c r="H2135">
        <v>399.28</v>
      </c>
      <c r="I2135">
        <v>3613</v>
      </c>
      <c r="J2135">
        <v>10</v>
      </c>
      <c r="K2135" s="17">
        <f t="shared" si="265"/>
        <v>1204.3333333333335</v>
      </c>
      <c r="L2135" t="str">
        <f t="shared" si="266"/>
        <v>Sufficuent Stock</v>
      </c>
      <c r="P2135" s="19">
        <f t="shared" si="267"/>
        <v>0</v>
      </c>
      <c r="R2135" s="19">
        <f t="shared" si="264"/>
        <v>0</v>
      </c>
      <c r="T2135" s="19">
        <f t="shared" si="268"/>
        <v>1572088.56</v>
      </c>
      <c r="U2135" s="19">
        <f t="shared" si="269"/>
        <v>1442598.64</v>
      </c>
      <c r="V2135" s="21">
        <f t="shared" si="270"/>
        <v>-129489.92000000016</v>
      </c>
      <c r="W2135" s="18">
        <f t="shared" si="271"/>
        <v>-8.2368082368082463E-2</v>
      </c>
    </row>
    <row r="2136" spans="1:23" x14ac:dyDescent="0.3">
      <c r="A2136" t="s">
        <v>629</v>
      </c>
      <c r="B2136" t="s">
        <v>1601</v>
      </c>
      <c r="C2136" t="s">
        <v>12</v>
      </c>
      <c r="D2136" t="s">
        <v>17</v>
      </c>
      <c r="E2136">
        <v>3540</v>
      </c>
      <c r="F2136">
        <v>23.82</v>
      </c>
      <c r="G2136">
        <v>20.239999999999998</v>
      </c>
      <c r="H2136">
        <v>23.82</v>
      </c>
      <c r="I2136">
        <v>2670</v>
      </c>
      <c r="J2136">
        <v>53</v>
      </c>
      <c r="K2136" s="17">
        <f t="shared" si="265"/>
        <v>4717</v>
      </c>
      <c r="L2136" t="str">
        <f t="shared" si="266"/>
        <v>High Risk</v>
      </c>
      <c r="P2136" s="19">
        <f t="shared" si="267"/>
        <v>1177</v>
      </c>
      <c r="R2136" s="19">
        <f t="shared" si="264"/>
        <v>28036.14</v>
      </c>
      <c r="T2136" s="19">
        <f t="shared" si="268"/>
        <v>54040.799999999996</v>
      </c>
      <c r="U2136" s="19">
        <f t="shared" si="269"/>
        <v>63599.4</v>
      </c>
      <c r="V2136" s="21">
        <f t="shared" si="270"/>
        <v>9558.6000000000058</v>
      </c>
      <c r="W2136" s="18">
        <f t="shared" si="271"/>
        <v>0.17687747035573134</v>
      </c>
    </row>
    <row r="2137" spans="1:23" x14ac:dyDescent="0.3">
      <c r="A2137" t="s">
        <v>927</v>
      </c>
      <c r="B2137" t="s">
        <v>2216</v>
      </c>
      <c r="C2137" t="s">
        <v>12</v>
      </c>
      <c r="D2137" t="s">
        <v>69</v>
      </c>
      <c r="E2137">
        <v>3542</v>
      </c>
      <c r="F2137">
        <v>422.36</v>
      </c>
      <c r="G2137">
        <v>447.7</v>
      </c>
      <c r="H2137">
        <v>422.36</v>
      </c>
      <c r="I2137">
        <v>2857</v>
      </c>
      <c r="J2137">
        <v>43</v>
      </c>
      <c r="K2137" s="17">
        <f t="shared" si="265"/>
        <v>4095.0333333333333</v>
      </c>
      <c r="L2137" t="str">
        <f t="shared" si="266"/>
        <v>High Risk</v>
      </c>
      <c r="P2137" s="19">
        <f t="shared" si="267"/>
        <v>554</v>
      </c>
      <c r="R2137" s="19">
        <f t="shared" si="264"/>
        <v>233987.44</v>
      </c>
      <c r="T2137" s="19">
        <f t="shared" si="268"/>
        <v>1279078.8999999999</v>
      </c>
      <c r="U2137" s="19">
        <f t="shared" si="269"/>
        <v>1206682.52</v>
      </c>
      <c r="V2137" s="21">
        <f t="shared" si="270"/>
        <v>-72396.379999999888</v>
      </c>
      <c r="W2137" s="18">
        <f t="shared" si="271"/>
        <v>-5.660040205494743E-2</v>
      </c>
    </row>
    <row r="2138" spans="1:23" x14ac:dyDescent="0.3">
      <c r="A2138" t="s">
        <v>180</v>
      </c>
      <c r="B2138" t="s">
        <v>882</v>
      </c>
      <c r="C2138" t="s">
        <v>50</v>
      </c>
      <c r="D2138" t="s">
        <v>20</v>
      </c>
      <c r="E2138">
        <v>3544</v>
      </c>
      <c r="F2138">
        <v>528.79</v>
      </c>
      <c r="G2138">
        <v>450.53</v>
      </c>
      <c r="H2138">
        <v>528.79</v>
      </c>
      <c r="I2138">
        <v>1521</v>
      </c>
      <c r="J2138">
        <v>47</v>
      </c>
      <c r="K2138" s="17">
        <f t="shared" si="265"/>
        <v>2382.9</v>
      </c>
      <c r="L2138" t="str">
        <f t="shared" si="266"/>
        <v>Sufficuent Stock</v>
      </c>
      <c r="P2138" s="19">
        <f t="shared" si="267"/>
        <v>0</v>
      </c>
      <c r="R2138" s="19">
        <f t="shared" si="264"/>
        <v>0</v>
      </c>
      <c r="T2138" s="19">
        <f t="shared" si="268"/>
        <v>685256.13</v>
      </c>
      <c r="U2138" s="19">
        <f t="shared" si="269"/>
        <v>804289.59</v>
      </c>
      <c r="V2138" s="21">
        <f t="shared" si="270"/>
        <v>119033.45999999996</v>
      </c>
      <c r="W2138" s="18">
        <f t="shared" si="271"/>
        <v>0.17370652342796256</v>
      </c>
    </row>
    <row r="2139" spans="1:23" x14ac:dyDescent="0.3">
      <c r="A2139" t="s">
        <v>487</v>
      </c>
      <c r="B2139" t="s">
        <v>1393</v>
      </c>
      <c r="C2139" t="s">
        <v>50</v>
      </c>
      <c r="D2139" t="s">
        <v>26</v>
      </c>
      <c r="E2139">
        <v>3548</v>
      </c>
      <c r="F2139">
        <v>257.13</v>
      </c>
      <c r="G2139">
        <v>256.04000000000002</v>
      </c>
      <c r="H2139">
        <v>257.13</v>
      </c>
      <c r="I2139">
        <v>3575</v>
      </c>
      <c r="J2139">
        <v>8</v>
      </c>
      <c r="K2139" s="17">
        <f t="shared" si="265"/>
        <v>953.33333333333337</v>
      </c>
      <c r="L2139" t="str">
        <f t="shared" si="266"/>
        <v>Sufficuent Stock</v>
      </c>
      <c r="P2139" s="19">
        <f t="shared" si="267"/>
        <v>0</v>
      </c>
      <c r="R2139" s="19">
        <f t="shared" si="264"/>
        <v>0</v>
      </c>
      <c r="T2139" s="19">
        <f t="shared" si="268"/>
        <v>915343.00000000012</v>
      </c>
      <c r="U2139" s="19">
        <f t="shared" si="269"/>
        <v>919239.75</v>
      </c>
      <c r="V2139" s="21">
        <f t="shared" si="270"/>
        <v>3896.7499999998836</v>
      </c>
      <c r="W2139" s="18">
        <f t="shared" si="271"/>
        <v>4.2571473207310079E-3</v>
      </c>
    </row>
    <row r="2140" spans="1:23" x14ac:dyDescent="0.3">
      <c r="A2140" t="s">
        <v>38</v>
      </c>
      <c r="B2140" t="s">
        <v>1221</v>
      </c>
      <c r="C2140" t="s">
        <v>16</v>
      </c>
      <c r="D2140" t="s">
        <v>20</v>
      </c>
      <c r="E2140">
        <v>3549</v>
      </c>
      <c r="F2140">
        <v>145.22</v>
      </c>
      <c r="G2140">
        <v>137.43</v>
      </c>
      <c r="H2140">
        <v>145.22</v>
      </c>
      <c r="I2140">
        <v>2014</v>
      </c>
      <c r="J2140">
        <v>67</v>
      </c>
      <c r="K2140" s="17">
        <f t="shared" si="265"/>
        <v>4497.9333333333334</v>
      </c>
      <c r="L2140" t="str">
        <f t="shared" si="266"/>
        <v>High Risk</v>
      </c>
      <c r="P2140" s="19">
        <f t="shared" si="267"/>
        <v>949</v>
      </c>
      <c r="R2140" s="19">
        <f t="shared" si="264"/>
        <v>137813.78</v>
      </c>
      <c r="T2140" s="19">
        <f t="shared" si="268"/>
        <v>276784.02</v>
      </c>
      <c r="U2140" s="19">
        <f t="shared" si="269"/>
        <v>292473.08</v>
      </c>
      <c r="V2140" s="21">
        <f t="shared" si="270"/>
        <v>15689.059999999998</v>
      </c>
      <c r="W2140" s="18">
        <f t="shared" si="271"/>
        <v>5.6683402459433881E-2</v>
      </c>
    </row>
    <row r="2141" spans="1:23" x14ac:dyDescent="0.3">
      <c r="A2141" t="s">
        <v>177</v>
      </c>
      <c r="B2141" t="s">
        <v>305</v>
      </c>
      <c r="C2141" t="s">
        <v>37</v>
      </c>
      <c r="D2141" t="s">
        <v>26</v>
      </c>
      <c r="E2141">
        <v>3550</v>
      </c>
      <c r="F2141">
        <v>359.4</v>
      </c>
      <c r="G2141">
        <v>312.23</v>
      </c>
      <c r="H2141">
        <v>359.4</v>
      </c>
      <c r="I2141">
        <v>573</v>
      </c>
      <c r="J2141">
        <v>86</v>
      </c>
      <c r="K2141" s="17">
        <f t="shared" si="265"/>
        <v>1642.6000000000001</v>
      </c>
      <c r="L2141" t="str">
        <f t="shared" si="266"/>
        <v>Sufficuent Stock</v>
      </c>
      <c r="P2141" s="19">
        <f t="shared" si="267"/>
        <v>0</v>
      </c>
      <c r="R2141" s="19">
        <f t="shared" si="264"/>
        <v>0</v>
      </c>
      <c r="T2141" s="19">
        <f t="shared" si="268"/>
        <v>178907.79</v>
      </c>
      <c r="U2141" s="19">
        <f t="shared" si="269"/>
        <v>205936.19999999998</v>
      </c>
      <c r="V2141" s="21">
        <f t="shared" si="270"/>
        <v>27028.409999999974</v>
      </c>
      <c r="W2141" s="18">
        <f t="shared" si="271"/>
        <v>0.15107452839253099</v>
      </c>
    </row>
    <row r="2142" spans="1:23" x14ac:dyDescent="0.3">
      <c r="A2142" t="s">
        <v>436</v>
      </c>
      <c r="B2142" t="s">
        <v>3075</v>
      </c>
      <c r="C2142" t="s">
        <v>37</v>
      </c>
      <c r="D2142" t="s">
        <v>17</v>
      </c>
      <c r="E2142">
        <v>3551</v>
      </c>
      <c r="F2142">
        <v>343.93</v>
      </c>
      <c r="G2142">
        <v>367.33</v>
      </c>
      <c r="H2142">
        <v>343.93</v>
      </c>
      <c r="I2142">
        <v>264</v>
      </c>
      <c r="J2142">
        <v>6</v>
      </c>
      <c r="K2142" s="17">
        <f t="shared" si="265"/>
        <v>52.800000000000004</v>
      </c>
      <c r="L2142" t="str">
        <f t="shared" si="266"/>
        <v>Sufficuent Stock</v>
      </c>
      <c r="P2142" s="19">
        <f t="shared" si="267"/>
        <v>0</v>
      </c>
      <c r="R2142" s="19">
        <f t="shared" si="264"/>
        <v>0</v>
      </c>
      <c r="T2142" s="19">
        <f t="shared" si="268"/>
        <v>96975.12</v>
      </c>
      <c r="U2142" s="19">
        <f t="shared" si="269"/>
        <v>90797.52</v>
      </c>
      <c r="V2142" s="21">
        <f t="shared" si="270"/>
        <v>-6177.5999999999913</v>
      </c>
      <c r="W2142" s="18">
        <f t="shared" si="271"/>
        <v>-6.370293741322508E-2</v>
      </c>
    </row>
    <row r="2143" spans="1:23" x14ac:dyDescent="0.3">
      <c r="A2143" t="s">
        <v>1033</v>
      </c>
      <c r="B2143" t="s">
        <v>1034</v>
      </c>
      <c r="C2143" t="s">
        <v>16</v>
      </c>
      <c r="D2143" t="s">
        <v>17</v>
      </c>
      <c r="E2143">
        <v>3551</v>
      </c>
      <c r="F2143">
        <v>166.86</v>
      </c>
      <c r="G2143">
        <v>175.11</v>
      </c>
      <c r="H2143">
        <v>166.86</v>
      </c>
      <c r="I2143">
        <v>554</v>
      </c>
      <c r="J2143">
        <v>45</v>
      </c>
      <c r="K2143" s="17">
        <f t="shared" si="265"/>
        <v>830.99999999999989</v>
      </c>
      <c r="L2143" t="str">
        <f t="shared" si="266"/>
        <v>Sufficuent Stock</v>
      </c>
      <c r="P2143" s="19">
        <f t="shared" si="267"/>
        <v>0</v>
      </c>
      <c r="R2143" s="19">
        <f t="shared" si="264"/>
        <v>0</v>
      </c>
      <c r="T2143" s="19">
        <f t="shared" si="268"/>
        <v>97010.94</v>
      </c>
      <c r="U2143" s="19">
        <f t="shared" si="269"/>
        <v>92440.44</v>
      </c>
      <c r="V2143" s="21">
        <f t="shared" si="270"/>
        <v>-4570.5</v>
      </c>
      <c r="W2143" s="18">
        <f t="shared" si="271"/>
        <v>-4.7113243104334415E-2</v>
      </c>
    </row>
    <row r="2144" spans="1:23" x14ac:dyDescent="0.3">
      <c r="A2144" t="s">
        <v>416</v>
      </c>
      <c r="B2144" t="s">
        <v>2569</v>
      </c>
      <c r="C2144" t="s">
        <v>37</v>
      </c>
      <c r="D2144" t="s">
        <v>20</v>
      </c>
      <c r="E2144">
        <v>3553</v>
      </c>
      <c r="F2144">
        <v>201.7</v>
      </c>
      <c r="G2144">
        <v>181.45</v>
      </c>
      <c r="H2144">
        <v>201.7</v>
      </c>
      <c r="I2144">
        <v>682</v>
      </c>
      <c r="J2144">
        <v>33</v>
      </c>
      <c r="K2144" s="17">
        <f t="shared" si="265"/>
        <v>750.2</v>
      </c>
      <c r="L2144" t="str">
        <f t="shared" si="266"/>
        <v>Sufficuent Stock</v>
      </c>
      <c r="P2144" s="19">
        <f t="shared" si="267"/>
        <v>0</v>
      </c>
      <c r="R2144" s="19">
        <f t="shared" si="264"/>
        <v>0</v>
      </c>
      <c r="T2144" s="19">
        <f t="shared" si="268"/>
        <v>123748.9</v>
      </c>
      <c r="U2144" s="19">
        <f t="shared" si="269"/>
        <v>137559.4</v>
      </c>
      <c r="V2144" s="21">
        <f t="shared" si="270"/>
        <v>13810.5</v>
      </c>
      <c r="W2144" s="18">
        <f t="shared" si="271"/>
        <v>0.11160099200881786</v>
      </c>
    </row>
    <row r="2145" spans="1:23" x14ac:dyDescent="0.3">
      <c r="A2145" t="s">
        <v>523</v>
      </c>
      <c r="B2145" t="s">
        <v>524</v>
      </c>
      <c r="C2145" t="s">
        <v>12</v>
      </c>
      <c r="D2145" t="s">
        <v>26</v>
      </c>
      <c r="E2145">
        <v>3554</v>
      </c>
      <c r="F2145">
        <v>369.58</v>
      </c>
      <c r="G2145">
        <v>322.52999999999997</v>
      </c>
      <c r="H2145">
        <v>369.58</v>
      </c>
      <c r="I2145">
        <v>3043</v>
      </c>
      <c r="J2145">
        <v>6</v>
      </c>
      <c r="K2145" s="17">
        <f t="shared" si="265"/>
        <v>608.6</v>
      </c>
      <c r="L2145" t="str">
        <f t="shared" si="266"/>
        <v>Sufficuent Stock</v>
      </c>
      <c r="P2145" s="19">
        <f t="shared" si="267"/>
        <v>0</v>
      </c>
      <c r="R2145" s="19">
        <f t="shared" si="264"/>
        <v>0</v>
      </c>
      <c r="T2145" s="19">
        <f t="shared" si="268"/>
        <v>981458.78999999992</v>
      </c>
      <c r="U2145" s="19">
        <f t="shared" si="269"/>
        <v>1124631.94</v>
      </c>
      <c r="V2145" s="21">
        <f t="shared" si="270"/>
        <v>143173.15000000002</v>
      </c>
      <c r="W2145" s="18">
        <f t="shared" si="271"/>
        <v>0.14587790283074445</v>
      </c>
    </row>
    <row r="2146" spans="1:23" x14ac:dyDescent="0.3">
      <c r="A2146" t="s">
        <v>890</v>
      </c>
      <c r="B2146" t="s">
        <v>1137</v>
      </c>
      <c r="C2146" t="s">
        <v>12</v>
      </c>
      <c r="D2146" t="s">
        <v>26</v>
      </c>
      <c r="E2146">
        <v>3557</v>
      </c>
      <c r="F2146">
        <v>327.98</v>
      </c>
      <c r="G2146">
        <v>297.14999999999998</v>
      </c>
      <c r="H2146">
        <v>327.98</v>
      </c>
      <c r="I2146">
        <v>2362</v>
      </c>
      <c r="J2146">
        <v>82</v>
      </c>
      <c r="K2146" s="17">
        <f t="shared" si="265"/>
        <v>6456.1333333333332</v>
      </c>
      <c r="L2146" t="str">
        <f t="shared" si="266"/>
        <v>High Risk</v>
      </c>
      <c r="P2146" s="19">
        <f t="shared" si="267"/>
        <v>2900</v>
      </c>
      <c r="R2146" s="19">
        <f t="shared" si="264"/>
        <v>951142</v>
      </c>
      <c r="T2146" s="19">
        <f t="shared" si="268"/>
        <v>701868.29999999993</v>
      </c>
      <c r="U2146" s="19">
        <f t="shared" si="269"/>
        <v>774688.76</v>
      </c>
      <c r="V2146" s="21">
        <f t="shared" si="270"/>
        <v>72820.460000000079</v>
      </c>
      <c r="W2146" s="18">
        <f t="shared" si="271"/>
        <v>0.1037523136463067</v>
      </c>
    </row>
    <row r="2147" spans="1:23" x14ac:dyDescent="0.3">
      <c r="A2147" t="s">
        <v>1014</v>
      </c>
      <c r="B2147" t="s">
        <v>1449</v>
      </c>
      <c r="C2147" t="s">
        <v>50</v>
      </c>
      <c r="D2147" t="s">
        <v>13</v>
      </c>
      <c r="E2147">
        <v>3559</v>
      </c>
      <c r="F2147">
        <v>271.70999999999998</v>
      </c>
      <c r="G2147">
        <v>233.42</v>
      </c>
      <c r="H2147">
        <v>271.70999999999998</v>
      </c>
      <c r="I2147">
        <v>1153</v>
      </c>
      <c r="J2147">
        <v>51</v>
      </c>
      <c r="K2147" s="17">
        <f t="shared" si="265"/>
        <v>1960.1</v>
      </c>
      <c r="L2147" t="str">
        <f t="shared" si="266"/>
        <v>Sufficuent Stock</v>
      </c>
      <c r="P2147" s="19">
        <f t="shared" si="267"/>
        <v>0</v>
      </c>
      <c r="R2147" s="19">
        <f t="shared" si="264"/>
        <v>0</v>
      </c>
      <c r="T2147" s="19">
        <f t="shared" si="268"/>
        <v>269133.26</v>
      </c>
      <c r="U2147" s="19">
        <f t="shared" si="269"/>
        <v>313281.63</v>
      </c>
      <c r="V2147" s="21">
        <f t="shared" si="270"/>
        <v>44148.369999999995</v>
      </c>
      <c r="W2147" s="18">
        <f t="shared" si="271"/>
        <v>0.16403907120212491</v>
      </c>
    </row>
    <row r="2148" spans="1:23" x14ac:dyDescent="0.3">
      <c r="A2148" t="s">
        <v>82</v>
      </c>
      <c r="B2148" t="s">
        <v>1091</v>
      </c>
      <c r="C2148" t="s">
        <v>16</v>
      </c>
      <c r="D2148" t="s">
        <v>26</v>
      </c>
      <c r="E2148">
        <v>3560</v>
      </c>
      <c r="F2148">
        <v>439.36</v>
      </c>
      <c r="G2148">
        <v>456.06</v>
      </c>
      <c r="H2148">
        <v>439.36</v>
      </c>
      <c r="I2148">
        <v>2811</v>
      </c>
      <c r="J2148">
        <v>85</v>
      </c>
      <c r="K2148" s="17">
        <f t="shared" si="265"/>
        <v>7964.5</v>
      </c>
      <c r="L2148" t="str">
        <f t="shared" si="266"/>
        <v>High Risk</v>
      </c>
      <c r="P2148" s="19">
        <f t="shared" si="267"/>
        <v>4405</v>
      </c>
      <c r="R2148" s="19">
        <f t="shared" si="264"/>
        <v>1935380.8</v>
      </c>
      <c r="T2148" s="19">
        <f t="shared" si="268"/>
        <v>1281984.6599999999</v>
      </c>
      <c r="U2148" s="19">
        <f t="shared" si="269"/>
        <v>1235040.96</v>
      </c>
      <c r="V2148" s="21">
        <f t="shared" si="270"/>
        <v>-46943.699999999953</v>
      </c>
      <c r="W2148" s="18">
        <f t="shared" si="271"/>
        <v>-3.6617988861114732E-2</v>
      </c>
    </row>
    <row r="2149" spans="1:23" x14ac:dyDescent="0.3">
      <c r="A2149" t="s">
        <v>798</v>
      </c>
      <c r="B2149" t="s">
        <v>1961</v>
      </c>
      <c r="C2149" t="s">
        <v>12</v>
      </c>
      <c r="D2149" t="s">
        <v>26</v>
      </c>
      <c r="E2149">
        <v>3564</v>
      </c>
      <c r="F2149">
        <v>73.95</v>
      </c>
      <c r="G2149">
        <v>67.28</v>
      </c>
      <c r="H2149">
        <v>73.95</v>
      </c>
      <c r="I2149">
        <v>1871</v>
      </c>
      <c r="J2149">
        <v>12</v>
      </c>
      <c r="K2149" s="17">
        <f t="shared" si="265"/>
        <v>748.4</v>
      </c>
      <c r="L2149" t="str">
        <f t="shared" si="266"/>
        <v>Sufficuent Stock</v>
      </c>
      <c r="P2149" s="19">
        <f t="shared" si="267"/>
        <v>0</v>
      </c>
      <c r="R2149" s="19">
        <f t="shared" si="264"/>
        <v>0</v>
      </c>
      <c r="T2149" s="19">
        <f t="shared" si="268"/>
        <v>125880.88</v>
      </c>
      <c r="U2149" s="19">
        <f t="shared" si="269"/>
        <v>138360.45000000001</v>
      </c>
      <c r="V2149" s="21">
        <f t="shared" si="270"/>
        <v>12479.570000000007</v>
      </c>
      <c r="W2149" s="18">
        <f t="shared" si="271"/>
        <v>9.9137931034482804E-2</v>
      </c>
    </row>
    <row r="2150" spans="1:23" x14ac:dyDescent="0.3">
      <c r="A2150" t="s">
        <v>55</v>
      </c>
      <c r="B2150" t="s">
        <v>2219</v>
      </c>
      <c r="C2150" t="s">
        <v>37</v>
      </c>
      <c r="D2150" t="s">
        <v>26</v>
      </c>
      <c r="E2150">
        <v>3567</v>
      </c>
      <c r="F2150">
        <v>256.66000000000003</v>
      </c>
      <c r="G2150">
        <v>257.19</v>
      </c>
      <c r="H2150">
        <v>256.66000000000003</v>
      </c>
      <c r="I2150">
        <v>1073</v>
      </c>
      <c r="J2150">
        <v>58</v>
      </c>
      <c r="K2150" s="17">
        <f t="shared" si="265"/>
        <v>2074.4666666666667</v>
      </c>
      <c r="L2150" t="str">
        <f t="shared" si="266"/>
        <v>Sufficuent Stock</v>
      </c>
      <c r="P2150" s="19">
        <f t="shared" si="267"/>
        <v>0</v>
      </c>
      <c r="R2150" s="19">
        <f t="shared" si="264"/>
        <v>0</v>
      </c>
      <c r="T2150" s="19">
        <f t="shared" si="268"/>
        <v>275964.87</v>
      </c>
      <c r="U2150" s="19">
        <f t="shared" si="269"/>
        <v>275396.18000000005</v>
      </c>
      <c r="V2150" s="21">
        <f t="shared" si="270"/>
        <v>-568.68999999994412</v>
      </c>
      <c r="W2150" s="18">
        <f t="shared" si="271"/>
        <v>-2.0607333100040744E-3</v>
      </c>
    </row>
    <row r="2151" spans="1:23" x14ac:dyDescent="0.3">
      <c r="A2151" t="s">
        <v>143</v>
      </c>
      <c r="B2151" t="s">
        <v>3347</v>
      </c>
      <c r="C2151" t="s">
        <v>50</v>
      </c>
      <c r="D2151" t="s">
        <v>69</v>
      </c>
      <c r="E2151">
        <v>3567</v>
      </c>
      <c r="F2151">
        <v>210.44</v>
      </c>
      <c r="G2151">
        <v>178.84</v>
      </c>
      <c r="H2151">
        <v>210.44</v>
      </c>
      <c r="I2151">
        <v>3246</v>
      </c>
      <c r="J2151">
        <v>70</v>
      </c>
      <c r="K2151" s="17">
        <f t="shared" si="265"/>
        <v>7574</v>
      </c>
      <c r="L2151" t="str">
        <f t="shared" si="266"/>
        <v>High Risk</v>
      </c>
      <c r="P2151" s="19">
        <f t="shared" si="267"/>
        <v>4007</v>
      </c>
      <c r="R2151" s="19">
        <f t="shared" si="264"/>
        <v>843233.08</v>
      </c>
      <c r="T2151" s="19">
        <f t="shared" si="268"/>
        <v>580514.64</v>
      </c>
      <c r="U2151" s="19">
        <f t="shared" si="269"/>
        <v>683088.24</v>
      </c>
      <c r="V2151" s="21">
        <f t="shared" si="270"/>
        <v>102573.59999999998</v>
      </c>
      <c r="W2151" s="18">
        <f t="shared" si="271"/>
        <v>0.17669425184522475</v>
      </c>
    </row>
    <row r="2152" spans="1:23" x14ac:dyDescent="0.3">
      <c r="A2152" t="s">
        <v>455</v>
      </c>
      <c r="B2152" t="s">
        <v>2077</v>
      </c>
      <c r="C2152" t="s">
        <v>12</v>
      </c>
      <c r="D2152" t="s">
        <v>17</v>
      </c>
      <c r="E2152">
        <v>3570</v>
      </c>
      <c r="F2152">
        <v>42.95</v>
      </c>
      <c r="G2152">
        <v>39.08</v>
      </c>
      <c r="H2152">
        <v>42.95</v>
      </c>
      <c r="I2152">
        <v>3945</v>
      </c>
      <c r="J2152">
        <v>32</v>
      </c>
      <c r="K2152" s="17">
        <f t="shared" si="265"/>
        <v>4208</v>
      </c>
      <c r="L2152" t="str">
        <f t="shared" si="266"/>
        <v>High Risk</v>
      </c>
      <c r="P2152" s="19">
        <f t="shared" si="267"/>
        <v>638</v>
      </c>
      <c r="R2152" s="19">
        <f t="shared" si="264"/>
        <v>27402.100000000002</v>
      </c>
      <c r="T2152" s="19">
        <f t="shared" si="268"/>
        <v>154170.6</v>
      </c>
      <c r="U2152" s="19">
        <f t="shared" si="269"/>
        <v>169437.75</v>
      </c>
      <c r="V2152" s="21">
        <f t="shared" si="270"/>
        <v>15267.149999999994</v>
      </c>
      <c r="W2152" s="18">
        <f t="shared" si="271"/>
        <v>9.9027635619242535E-2</v>
      </c>
    </row>
    <row r="2153" spans="1:23" x14ac:dyDescent="0.3">
      <c r="A2153" t="s">
        <v>2107</v>
      </c>
      <c r="B2153" t="s">
        <v>2730</v>
      </c>
      <c r="C2153" t="s">
        <v>12</v>
      </c>
      <c r="D2153" t="s">
        <v>17</v>
      </c>
      <c r="E2153">
        <v>3573</v>
      </c>
      <c r="F2153">
        <v>554.26</v>
      </c>
      <c r="G2153">
        <v>469.03</v>
      </c>
      <c r="H2153">
        <v>554.26</v>
      </c>
      <c r="I2153">
        <v>3785</v>
      </c>
      <c r="J2153">
        <v>24</v>
      </c>
      <c r="K2153" s="17">
        <f t="shared" si="265"/>
        <v>3028</v>
      </c>
      <c r="L2153" t="str">
        <f t="shared" si="266"/>
        <v>Sufficuent Stock</v>
      </c>
      <c r="P2153" s="19">
        <f t="shared" si="267"/>
        <v>0</v>
      </c>
      <c r="R2153" s="19">
        <f t="shared" si="264"/>
        <v>0</v>
      </c>
      <c r="T2153" s="19">
        <f t="shared" si="268"/>
        <v>1775278.5499999998</v>
      </c>
      <c r="U2153" s="19">
        <f t="shared" si="269"/>
        <v>2097874.1</v>
      </c>
      <c r="V2153" s="21">
        <f t="shared" si="270"/>
        <v>322595.55000000028</v>
      </c>
      <c r="W2153" s="18">
        <f t="shared" si="271"/>
        <v>0.18171545530136682</v>
      </c>
    </row>
    <row r="2154" spans="1:23" x14ac:dyDescent="0.3">
      <c r="A2154" t="s">
        <v>451</v>
      </c>
      <c r="B2154" t="s">
        <v>1361</v>
      </c>
      <c r="C2154" t="s">
        <v>16</v>
      </c>
      <c r="D2154" t="s">
        <v>17</v>
      </c>
      <c r="E2154">
        <v>3573</v>
      </c>
      <c r="F2154">
        <v>183.64</v>
      </c>
      <c r="G2154">
        <v>196.28</v>
      </c>
      <c r="H2154">
        <v>183.64</v>
      </c>
      <c r="I2154">
        <v>2405</v>
      </c>
      <c r="J2154">
        <v>22</v>
      </c>
      <c r="K2154" s="17">
        <f t="shared" si="265"/>
        <v>1763.6666666666667</v>
      </c>
      <c r="L2154" t="str">
        <f t="shared" si="266"/>
        <v>Sufficuent Stock</v>
      </c>
      <c r="P2154" s="19">
        <f t="shared" si="267"/>
        <v>0</v>
      </c>
      <c r="R2154" s="19">
        <f t="shared" si="264"/>
        <v>0</v>
      </c>
      <c r="T2154" s="19">
        <f t="shared" si="268"/>
        <v>472053.4</v>
      </c>
      <c r="U2154" s="19">
        <f t="shared" si="269"/>
        <v>441654.19999999995</v>
      </c>
      <c r="V2154" s="21">
        <f t="shared" si="270"/>
        <v>-30399.20000000007</v>
      </c>
      <c r="W2154" s="18">
        <f t="shared" si="271"/>
        <v>-6.4397799062563835E-2</v>
      </c>
    </row>
    <row r="2155" spans="1:23" x14ac:dyDescent="0.3">
      <c r="A2155" t="s">
        <v>283</v>
      </c>
      <c r="B2155" t="s">
        <v>1177</v>
      </c>
      <c r="C2155" t="s">
        <v>23</v>
      </c>
      <c r="D2155" t="s">
        <v>69</v>
      </c>
      <c r="E2155">
        <v>3576</v>
      </c>
      <c r="F2155">
        <v>47.82</v>
      </c>
      <c r="G2155">
        <v>49.75</v>
      </c>
      <c r="H2155">
        <v>47.82</v>
      </c>
      <c r="I2155">
        <v>877</v>
      </c>
      <c r="J2155">
        <v>58</v>
      </c>
      <c r="K2155" s="17">
        <f t="shared" si="265"/>
        <v>1695.5333333333333</v>
      </c>
      <c r="L2155" t="str">
        <f t="shared" si="266"/>
        <v>Sufficuent Stock</v>
      </c>
      <c r="P2155" s="19">
        <f t="shared" si="267"/>
        <v>0</v>
      </c>
      <c r="R2155" s="19">
        <f t="shared" si="264"/>
        <v>0</v>
      </c>
      <c r="T2155" s="19">
        <f t="shared" si="268"/>
        <v>43630.75</v>
      </c>
      <c r="U2155" s="19">
        <f t="shared" si="269"/>
        <v>41938.14</v>
      </c>
      <c r="V2155" s="21">
        <f t="shared" si="270"/>
        <v>-1692.6100000000006</v>
      </c>
      <c r="W2155" s="18">
        <f t="shared" si="271"/>
        <v>-3.8793969849246247E-2</v>
      </c>
    </row>
    <row r="2156" spans="1:23" x14ac:dyDescent="0.3">
      <c r="A2156" t="s">
        <v>40</v>
      </c>
      <c r="B2156" t="s">
        <v>1085</v>
      </c>
      <c r="C2156" t="s">
        <v>23</v>
      </c>
      <c r="D2156" t="s">
        <v>13</v>
      </c>
      <c r="E2156">
        <v>3577</v>
      </c>
      <c r="F2156">
        <v>46.5</v>
      </c>
      <c r="G2156">
        <v>41.68</v>
      </c>
      <c r="H2156">
        <v>46.5</v>
      </c>
      <c r="I2156">
        <v>1914</v>
      </c>
      <c r="J2156">
        <v>81</v>
      </c>
      <c r="K2156" s="17">
        <f t="shared" si="265"/>
        <v>5167.8</v>
      </c>
      <c r="L2156" t="str">
        <f t="shared" si="266"/>
        <v>High Risk</v>
      </c>
      <c r="P2156" s="19">
        <f t="shared" si="267"/>
        <v>1591</v>
      </c>
      <c r="R2156" s="19">
        <f t="shared" si="264"/>
        <v>73981.5</v>
      </c>
      <c r="T2156" s="19">
        <f t="shared" si="268"/>
        <v>79775.520000000004</v>
      </c>
      <c r="U2156" s="19">
        <f t="shared" si="269"/>
        <v>89001</v>
      </c>
      <c r="V2156" s="21">
        <f t="shared" si="270"/>
        <v>9225.4799999999959</v>
      </c>
      <c r="W2156" s="18">
        <f t="shared" si="271"/>
        <v>0.11564299424184256</v>
      </c>
    </row>
    <row r="2157" spans="1:23" x14ac:dyDescent="0.3">
      <c r="A2157" t="s">
        <v>173</v>
      </c>
      <c r="B2157" t="s">
        <v>1870</v>
      </c>
      <c r="C2157" t="s">
        <v>23</v>
      </c>
      <c r="D2157" t="s">
        <v>69</v>
      </c>
      <c r="E2157">
        <v>3578</v>
      </c>
      <c r="F2157">
        <v>223.06</v>
      </c>
      <c r="G2157">
        <v>224.55</v>
      </c>
      <c r="H2157">
        <v>223.06</v>
      </c>
      <c r="I2157">
        <v>927</v>
      </c>
      <c r="J2157">
        <v>64</v>
      </c>
      <c r="K2157" s="17">
        <f t="shared" si="265"/>
        <v>1977.6</v>
      </c>
      <c r="L2157" t="str">
        <f t="shared" si="266"/>
        <v>Sufficuent Stock</v>
      </c>
      <c r="P2157" s="19">
        <f t="shared" si="267"/>
        <v>0</v>
      </c>
      <c r="R2157" s="19">
        <f t="shared" si="264"/>
        <v>0</v>
      </c>
      <c r="T2157" s="19">
        <f t="shared" si="268"/>
        <v>208157.85</v>
      </c>
      <c r="U2157" s="19">
        <f t="shared" si="269"/>
        <v>206776.62</v>
      </c>
      <c r="V2157" s="21">
        <f t="shared" si="270"/>
        <v>-1381.2300000000105</v>
      </c>
      <c r="W2157" s="18">
        <f t="shared" si="271"/>
        <v>-6.6354932086395511E-3</v>
      </c>
    </row>
    <row r="2158" spans="1:23" x14ac:dyDescent="0.3">
      <c r="A2158" t="s">
        <v>186</v>
      </c>
      <c r="B2158" t="s">
        <v>2087</v>
      </c>
      <c r="C2158" t="s">
        <v>50</v>
      </c>
      <c r="D2158" t="s">
        <v>69</v>
      </c>
      <c r="E2158">
        <v>3579</v>
      </c>
      <c r="F2158">
        <v>119.1</v>
      </c>
      <c r="G2158">
        <v>118.77</v>
      </c>
      <c r="H2158">
        <v>119.1</v>
      </c>
      <c r="I2158">
        <v>303</v>
      </c>
      <c r="J2158">
        <v>50</v>
      </c>
      <c r="K2158" s="17">
        <f t="shared" si="265"/>
        <v>505</v>
      </c>
      <c r="L2158" t="str">
        <f t="shared" si="266"/>
        <v>Sufficuent Stock</v>
      </c>
      <c r="P2158" s="19">
        <f t="shared" si="267"/>
        <v>0</v>
      </c>
      <c r="R2158" s="19">
        <f t="shared" si="264"/>
        <v>0</v>
      </c>
      <c r="T2158" s="19">
        <f t="shared" si="268"/>
        <v>35987.31</v>
      </c>
      <c r="U2158" s="19">
        <f t="shared" si="269"/>
        <v>36087.299999999996</v>
      </c>
      <c r="V2158" s="21">
        <f t="shared" si="270"/>
        <v>99.989999999997963</v>
      </c>
      <c r="W2158" s="18">
        <f t="shared" si="271"/>
        <v>2.7784794139933764E-3</v>
      </c>
    </row>
    <row r="2159" spans="1:23" x14ac:dyDescent="0.3">
      <c r="A2159" t="s">
        <v>1002</v>
      </c>
      <c r="B2159" t="s">
        <v>2725</v>
      </c>
      <c r="C2159" t="s">
        <v>37</v>
      </c>
      <c r="D2159" t="s">
        <v>26</v>
      </c>
      <c r="E2159">
        <v>3579</v>
      </c>
      <c r="F2159">
        <v>204.59</v>
      </c>
      <c r="G2159">
        <v>216.85</v>
      </c>
      <c r="H2159">
        <v>204.59</v>
      </c>
      <c r="I2159">
        <v>1816</v>
      </c>
      <c r="J2159">
        <v>8</v>
      </c>
      <c r="K2159" s="17">
        <f t="shared" si="265"/>
        <v>484.26666666666665</v>
      </c>
      <c r="L2159" t="str">
        <f t="shared" si="266"/>
        <v>Sufficuent Stock</v>
      </c>
      <c r="P2159" s="19">
        <f t="shared" si="267"/>
        <v>0</v>
      </c>
      <c r="R2159" s="19">
        <f t="shared" si="264"/>
        <v>0</v>
      </c>
      <c r="T2159" s="19">
        <f t="shared" si="268"/>
        <v>393799.6</v>
      </c>
      <c r="U2159" s="19">
        <f t="shared" si="269"/>
        <v>371535.44</v>
      </c>
      <c r="V2159" s="21">
        <f t="shared" si="270"/>
        <v>-22264.159999999974</v>
      </c>
      <c r="W2159" s="18">
        <f t="shared" si="271"/>
        <v>-5.6536776573668374E-2</v>
      </c>
    </row>
    <row r="2160" spans="1:23" x14ac:dyDescent="0.3">
      <c r="A2160" t="s">
        <v>1163</v>
      </c>
      <c r="B2160" t="s">
        <v>2528</v>
      </c>
      <c r="C2160" t="s">
        <v>50</v>
      </c>
      <c r="D2160" t="s">
        <v>13</v>
      </c>
      <c r="E2160">
        <v>3579</v>
      </c>
      <c r="F2160">
        <v>482.03</v>
      </c>
      <c r="G2160">
        <v>412.78</v>
      </c>
      <c r="H2160">
        <v>482.03</v>
      </c>
      <c r="I2160">
        <v>704</v>
      </c>
      <c r="J2160">
        <v>57</v>
      </c>
      <c r="K2160" s="17">
        <f t="shared" si="265"/>
        <v>1337.6</v>
      </c>
      <c r="L2160" t="str">
        <f t="shared" si="266"/>
        <v>Sufficuent Stock</v>
      </c>
      <c r="P2160" s="19">
        <f t="shared" si="267"/>
        <v>0</v>
      </c>
      <c r="R2160" s="19">
        <f t="shared" si="264"/>
        <v>0</v>
      </c>
      <c r="T2160" s="19">
        <f t="shared" si="268"/>
        <v>290597.12</v>
      </c>
      <c r="U2160" s="19">
        <f t="shared" si="269"/>
        <v>339349.12</v>
      </c>
      <c r="V2160" s="21">
        <f t="shared" si="270"/>
        <v>48752</v>
      </c>
      <c r="W2160" s="18">
        <f t="shared" si="271"/>
        <v>0.16776491109065361</v>
      </c>
    </row>
    <row r="2161" spans="1:23" x14ac:dyDescent="0.3">
      <c r="A2161" t="s">
        <v>659</v>
      </c>
      <c r="B2161" t="s">
        <v>2397</v>
      </c>
      <c r="C2161" t="s">
        <v>37</v>
      </c>
      <c r="D2161" t="s">
        <v>26</v>
      </c>
      <c r="E2161">
        <v>3581</v>
      </c>
      <c r="F2161">
        <v>148.38999999999999</v>
      </c>
      <c r="G2161">
        <v>144.21</v>
      </c>
      <c r="H2161">
        <v>148.38999999999999</v>
      </c>
      <c r="I2161">
        <v>190</v>
      </c>
      <c r="J2161">
        <v>28</v>
      </c>
      <c r="K2161" s="17">
        <f t="shared" si="265"/>
        <v>177.33333333333331</v>
      </c>
      <c r="L2161" t="str">
        <f t="shared" si="266"/>
        <v>Sufficuent Stock</v>
      </c>
      <c r="P2161" s="19">
        <f t="shared" si="267"/>
        <v>0</v>
      </c>
      <c r="R2161" s="19">
        <f t="shared" si="264"/>
        <v>0</v>
      </c>
      <c r="T2161" s="19">
        <f t="shared" si="268"/>
        <v>27399.9</v>
      </c>
      <c r="U2161" s="19">
        <f t="shared" si="269"/>
        <v>28194.1</v>
      </c>
      <c r="V2161" s="21">
        <f t="shared" si="270"/>
        <v>794.19999999999709</v>
      </c>
      <c r="W2161" s="18">
        <f t="shared" si="271"/>
        <v>2.8985507246376704E-2</v>
      </c>
    </row>
    <row r="2162" spans="1:23" x14ac:dyDescent="0.3">
      <c r="A2162" t="s">
        <v>177</v>
      </c>
      <c r="B2162" t="s">
        <v>178</v>
      </c>
      <c r="C2162" t="s">
        <v>37</v>
      </c>
      <c r="D2162" t="s">
        <v>20</v>
      </c>
      <c r="E2162">
        <v>3583</v>
      </c>
      <c r="F2162">
        <v>223.53</v>
      </c>
      <c r="G2162">
        <v>200.76</v>
      </c>
      <c r="H2162">
        <v>223.53</v>
      </c>
      <c r="I2162">
        <v>2800</v>
      </c>
      <c r="J2162">
        <v>24</v>
      </c>
      <c r="K2162" s="17">
        <f t="shared" si="265"/>
        <v>2240</v>
      </c>
      <c r="L2162" t="str">
        <f t="shared" si="266"/>
        <v>Sufficuent Stock</v>
      </c>
      <c r="P2162" s="19">
        <f t="shared" si="267"/>
        <v>0</v>
      </c>
      <c r="R2162" s="19">
        <f t="shared" si="264"/>
        <v>0</v>
      </c>
      <c r="T2162" s="19">
        <f t="shared" si="268"/>
        <v>562128</v>
      </c>
      <c r="U2162" s="19">
        <f t="shared" si="269"/>
        <v>625884</v>
      </c>
      <c r="V2162" s="21">
        <f t="shared" si="270"/>
        <v>63756</v>
      </c>
      <c r="W2162" s="18">
        <f t="shared" si="271"/>
        <v>0.1134190077704722</v>
      </c>
    </row>
    <row r="2163" spans="1:23" x14ac:dyDescent="0.3">
      <c r="A2163" t="s">
        <v>1325</v>
      </c>
      <c r="B2163" t="s">
        <v>2686</v>
      </c>
      <c r="C2163" t="s">
        <v>12</v>
      </c>
      <c r="D2163" t="s">
        <v>17</v>
      </c>
      <c r="E2163">
        <v>3583</v>
      </c>
      <c r="F2163">
        <v>279.41000000000003</v>
      </c>
      <c r="G2163">
        <v>278.63</v>
      </c>
      <c r="H2163">
        <v>279.41000000000003</v>
      </c>
      <c r="I2163">
        <v>2062</v>
      </c>
      <c r="J2163">
        <v>12</v>
      </c>
      <c r="K2163" s="17">
        <f t="shared" si="265"/>
        <v>824.8</v>
      </c>
      <c r="L2163" t="str">
        <f t="shared" si="266"/>
        <v>Sufficuent Stock</v>
      </c>
      <c r="P2163" s="19">
        <f t="shared" si="267"/>
        <v>0</v>
      </c>
      <c r="R2163" s="19">
        <f t="shared" si="264"/>
        <v>0</v>
      </c>
      <c r="T2163" s="19">
        <f t="shared" si="268"/>
        <v>574535.05999999994</v>
      </c>
      <c r="U2163" s="19">
        <f t="shared" si="269"/>
        <v>576143.42000000004</v>
      </c>
      <c r="V2163" s="21">
        <f t="shared" si="270"/>
        <v>1608.3600000001024</v>
      </c>
      <c r="W2163" s="18">
        <f t="shared" si="271"/>
        <v>2.799411405807163E-3</v>
      </c>
    </row>
    <row r="2164" spans="1:23" x14ac:dyDescent="0.3">
      <c r="A2164" t="s">
        <v>266</v>
      </c>
      <c r="B2164" t="s">
        <v>1694</v>
      </c>
      <c r="C2164" t="s">
        <v>16</v>
      </c>
      <c r="D2164" t="s">
        <v>20</v>
      </c>
      <c r="E2164">
        <v>3584</v>
      </c>
      <c r="F2164">
        <v>126.05</v>
      </c>
      <c r="G2164">
        <v>123.83</v>
      </c>
      <c r="H2164">
        <v>126.05</v>
      </c>
      <c r="I2164">
        <v>1005</v>
      </c>
      <c r="J2164">
        <v>5</v>
      </c>
      <c r="K2164" s="17">
        <f t="shared" si="265"/>
        <v>167.5</v>
      </c>
      <c r="L2164" t="str">
        <f t="shared" si="266"/>
        <v>Sufficuent Stock</v>
      </c>
      <c r="P2164" s="19">
        <f t="shared" si="267"/>
        <v>0</v>
      </c>
      <c r="R2164" s="19">
        <f t="shared" si="264"/>
        <v>0</v>
      </c>
      <c r="T2164" s="19">
        <f t="shared" si="268"/>
        <v>124449.15</v>
      </c>
      <c r="U2164" s="19">
        <f t="shared" si="269"/>
        <v>126680.25</v>
      </c>
      <c r="V2164" s="21">
        <f t="shared" si="270"/>
        <v>2231.1000000000058</v>
      </c>
      <c r="W2164" s="18">
        <f t="shared" si="271"/>
        <v>1.7927804247759072E-2</v>
      </c>
    </row>
    <row r="2165" spans="1:23" x14ac:dyDescent="0.3">
      <c r="A2165" t="s">
        <v>1597</v>
      </c>
      <c r="B2165" t="s">
        <v>3007</v>
      </c>
      <c r="C2165" t="s">
        <v>50</v>
      </c>
      <c r="D2165" t="s">
        <v>20</v>
      </c>
      <c r="E2165">
        <v>3585</v>
      </c>
      <c r="F2165">
        <v>201.61</v>
      </c>
      <c r="G2165">
        <v>220.21</v>
      </c>
      <c r="H2165">
        <v>201.61</v>
      </c>
      <c r="I2165">
        <v>2202</v>
      </c>
      <c r="J2165">
        <v>73</v>
      </c>
      <c r="K2165" s="17">
        <f t="shared" si="265"/>
        <v>5358.2000000000007</v>
      </c>
      <c r="L2165" t="str">
        <f t="shared" si="266"/>
        <v>High Risk</v>
      </c>
      <c r="P2165" s="19">
        <f t="shared" si="267"/>
        <v>1774</v>
      </c>
      <c r="R2165" s="19">
        <f t="shared" si="264"/>
        <v>357656.14</v>
      </c>
      <c r="T2165" s="19">
        <f t="shared" si="268"/>
        <v>484902.42000000004</v>
      </c>
      <c r="U2165" s="19">
        <f t="shared" si="269"/>
        <v>443945.22000000003</v>
      </c>
      <c r="V2165" s="21">
        <f t="shared" si="270"/>
        <v>-40957.200000000012</v>
      </c>
      <c r="W2165" s="18">
        <f t="shared" si="271"/>
        <v>-8.4464829026838037E-2</v>
      </c>
    </row>
    <row r="2166" spans="1:23" x14ac:dyDescent="0.3">
      <c r="A2166" t="s">
        <v>273</v>
      </c>
      <c r="B2166" t="s">
        <v>2914</v>
      </c>
      <c r="C2166" t="s">
        <v>12</v>
      </c>
      <c r="D2166" t="s">
        <v>13</v>
      </c>
      <c r="E2166">
        <v>3585</v>
      </c>
      <c r="F2166">
        <v>49.37</v>
      </c>
      <c r="G2166">
        <v>41.59</v>
      </c>
      <c r="H2166">
        <v>49.37</v>
      </c>
      <c r="I2166">
        <v>336</v>
      </c>
      <c r="J2166">
        <v>13</v>
      </c>
      <c r="K2166" s="17">
        <f t="shared" si="265"/>
        <v>145.6</v>
      </c>
      <c r="L2166" t="str">
        <f t="shared" si="266"/>
        <v>Sufficuent Stock</v>
      </c>
      <c r="P2166" s="19">
        <f t="shared" si="267"/>
        <v>0</v>
      </c>
      <c r="R2166" s="19">
        <f t="shared" si="264"/>
        <v>0</v>
      </c>
      <c r="T2166" s="19">
        <f t="shared" si="268"/>
        <v>13974.240000000002</v>
      </c>
      <c r="U2166" s="19">
        <f t="shared" si="269"/>
        <v>16588.32</v>
      </c>
      <c r="V2166" s="21">
        <f t="shared" si="270"/>
        <v>2614.0799999999981</v>
      </c>
      <c r="W2166" s="18">
        <f t="shared" si="271"/>
        <v>0.18706419812454902</v>
      </c>
    </row>
    <row r="2167" spans="1:23" x14ac:dyDescent="0.3">
      <c r="A2167" t="s">
        <v>444</v>
      </c>
      <c r="B2167" t="s">
        <v>939</v>
      </c>
      <c r="C2167" t="s">
        <v>50</v>
      </c>
      <c r="D2167" t="s">
        <v>26</v>
      </c>
      <c r="E2167">
        <v>3586</v>
      </c>
      <c r="F2167">
        <v>398.44</v>
      </c>
      <c r="G2167">
        <v>354.33</v>
      </c>
      <c r="H2167">
        <v>398.44</v>
      </c>
      <c r="I2167">
        <v>3364</v>
      </c>
      <c r="J2167">
        <v>62</v>
      </c>
      <c r="K2167" s="17">
        <f t="shared" si="265"/>
        <v>6952.2666666666673</v>
      </c>
      <c r="L2167" t="str">
        <f t="shared" si="266"/>
        <v>High Risk</v>
      </c>
      <c r="P2167" s="19">
        <f t="shared" si="267"/>
        <v>3367</v>
      </c>
      <c r="R2167" s="19">
        <f t="shared" si="264"/>
        <v>1341547.48</v>
      </c>
      <c r="T2167" s="19">
        <f t="shared" si="268"/>
        <v>1191966.1199999999</v>
      </c>
      <c r="U2167" s="19">
        <f t="shared" si="269"/>
        <v>1340352.1599999999</v>
      </c>
      <c r="V2167" s="21">
        <f t="shared" si="270"/>
        <v>148386.04000000004</v>
      </c>
      <c r="W2167" s="18">
        <f t="shared" si="271"/>
        <v>0.12448847119916466</v>
      </c>
    </row>
    <row r="2168" spans="1:23" x14ac:dyDescent="0.3">
      <c r="A2168" t="s">
        <v>1500</v>
      </c>
      <c r="B2168" t="s">
        <v>1518</v>
      </c>
      <c r="C2168" t="s">
        <v>23</v>
      </c>
      <c r="D2168" t="s">
        <v>26</v>
      </c>
      <c r="E2168">
        <v>3586</v>
      </c>
      <c r="F2168">
        <v>248.72</v>
      </c>
      <c r="G2168">
        <v>267.20999999999998</v>
      </c>
      <c r="H2168">
        <v>248.72</v>
      </c>
      <c r="I2168">
        <v>213</v>
      </c>
      <c r="J2168">
        <v>90</v>
      </c>
      <c r="K2168" s="17">
        <f t="shared" si="265"/>
        <v>639</v>
      </c>
      <c r="L2168" t="str">
        <f t="shared" si="266"/>
        <v>Sufficuent Stock</v>
      </c>
      <c r="P2168" s="19">
        <f t="shared" si="267"/>
        <v>0</v>
      </c>
      <c r="R2168" s="19">
        <f t="shared" si="264"/>
        <v>0</v>
      </c>
      <c r="T2168" s="19">
        <f t="shared" si="268"/>
        <v>56915.729999999996</v>
      </c>
      <c r="U2168" s="19">
        <f t="shared" si="269"/>
        <v>52977.36</v>
      </c>
      <c r="V2168" s="21">
        <f t="shared" si="270"/>
        <v>-3938.3699999999953</v>
      </c>
      <c r="W2168" s="18">
        <f t="shared" si="271"/>
        <v>-6.9196512106582758E-2</v>
      </c>
    </row>
    <row r="2169" spans="1:23" x14ac:dyDescent="0.3">
      <c r="A2169" t="s">
        <v>976</v>
      </c>
      <c r="B2169" t="s">
        <v>1746</v>
      </c>
      <c r="C2169" t="s">
        <v>50</v>
      </c>
      <c r="D2169" t="s">
        <v>13</v>
      </c>
      <c r="E2169">
        <v>3589</v>
      </c>
      <c r="F2169">
        <v>335.48</v>
      </c>
      <c r="G2169">
        <v>366.43</v>
      </c>
      <c r="H2169">
        <v>335.48</v>
      </c>
      <c r="I2169">
        <v>3227</v>
      </c>
      <c r="J2169">
        <v>58</v>
      </c>
      <c r="K2169" s="17">
        <f t="shared" si="265"/>
        <v>6238.8666666666668</v>
      </c>
      <c r="L2169" t="str">
        <f t="shared" si="266"/>
        <v>High Risk</v>
      </c>
      <c r="P2169" s="19">
        <f t="shared" si="267"/>
        <v>2650</v>
      </c>
      <c r="R2169" s="19">
        <f t="shared" si="264"/>
        <v>889022</v>
      </c>
      <c r="T2169" s="19">
        <f t="shared" si="268"/>
        <v>1182469.6100000001</v>
      </c>
      <c r="U2169" s="19">
        <f t="shared" si="269"/>
        <v>1082593.96</v>
      </c>
      <c r="V2169" s="21">
        <f t="shared" si="270"/>
        <v>-99875.65000000014</v>
      </c>
      <c r="W2169" s="18">
        <f t="shared" si="271"/>
        <v>-8.446360832901248E-2</v>
      </c>
    </row>
    <row r="2170" spans="1:23" x14ac:dyDescent="0.3">
      <c r="A2170" t="s">
        <v>175</v>
      </c>
      <c r="B2170" t="s">
        <v>1176</v>
      </c>
      <c r="C2170" t="s">
        <v>16</v>
      </c>
      <c r="D2170" t="s">
        <v>17</v>
      </c>
      <c r="E2170">
        <v>3589</v>
      </c>
      <c r="F2170">
        <v>284.57</v>
      </c>
      <c r="G2170">
        <v>260.77999999999997</v>
      </c>
      <c r="H2170">
        <v>284.57</v>
      </c>
      <c r="I2170">
        <v>3951</v>
      </c>
      <c r="J2170">
        <v>39</v>
      </c>
      <c r="K2170" s="17">
        <f t="shared" si="265"/>
        <v>5136.2999999999993</v>
      </c>
      <c r="L2170" t="str">
        <f t="shared" si="266"/>
        <v>High Risk</v>
      </c>
      <c r="P2170" s="19">
        <f t="shared" si="267"/>
        <v>1548</v>
      </c>
      <c r="R2170" s="19">
        <f t="shared" si="264"/>
        <v>440514.36</v>
      </c>
      <c r="T2170" s="19">
        <f t="shared" si="268"/>
        <v>1030341.7799999999</v>
      </c>
      <c r="U2170" s="19">
        <f t="shared" si="269"/>
        <v>1124336.07</v>
      </c>
      <c r="V2170" s="21">
        <f t="shared" si="270"/>
        <v>93994.290000000154</v>
      </c>
      <c r="W2170" s="18">
        <f t="shared" si="271"/>
        <v>9.1226321036889491E-2</v>
      </c>
    </row>
    <row r="2171" spans="1:23" x14ac:dyDescent="0.3">
      <c r="A2171" t="s">
        <v>521</v>
      </c>
      <c r="B2171" t="s">
        <v>2352</v>
      </c>
      <c r="C2171" t="s">
        <v>23</v>
      </c>
      <c r="D2171" t="s">
        <v>13</v>
      </c>
      <c r="E2171">
        <v>3590</v>
      </c>
      <c r="F2171">
        <v>97.68</v>
      </c>
      <c r="G2171">
        <v>87.99</v>
      </c>
      <c r="H2171">
        <v>97.68</v>
      </c>
      <c r="I2171">
        <v>3749</v>
      </c>
      <c r="J2171">
        <v>16</v>
      </c>
      <c r="K2171" s="17">
        <f t="shared" si="265"/>
        <v>1999.4666666666667</v>
      </c>
      <c r="L2171" t="str">
        <f t="shared" si="266"/>
        <v>Sufficuent Stock</v>
      </c>
      <c r="P2171" s="19">
        <f t="shared" si="267"/>
        <v>0</v>
      </c>
      <c r="R2171" s="19">
        <f t="shared" si="264"/>
        <v>0</v>
      </c>
      <c r="T2171" s="19">
        <f t="shared" si="268"/>
        <v>329874.51</v>
      </c>
      <c r="U2171" s="19">
        <f t="shared" si="269"/>
        <v>366202.32</v>
      </c>
      <c r="V2171" s="21">
        <f t="shared" si="270"/>
        <v>36327.81</v>
      </c>
      <c r="W2171" s="18">
        <f t="shared" si="271"/>
        <v>0.11012615069894305</v>
      </c>
    </row>
    <row r="2172" spans="1:23" x14ac:dyDescent="0.3">
      <c r="A2172" t="s">
        <v>723</v>
      </c>
      <c r="B2172" t="s">
        <v>724</v>
      </c>
      <c r="C2172" t="s">
        <v>23</v>
      </c>
      <c r="D2172" t="s">
        <v>13</v>
      </c>
      <c r="E2172">
        <v>3591</v>
      </c>
      <c r="F2172">
        <v>502.49</v>
      </c>
      <c r="G2172">
        <v>496.77</v>
      </c>
      <c r="H2172">
        <v>502.49</v>
      </c>
      <c r="I2172">
        <v>3399</v>
      </c>
      <c r="J2172">
        <v>14</v>
      </c>
      <c r="K2172" s="17">
        <f t="shared" si="265"/>
        <v>1586.2</v>
      </c>
      <c r="L2172" t="str">
        <f t="shared" si="266"/>
        <v>Sufficuent Stock</v>
      </c>
      <c r="P2172" s="19">
        <f t="shared" si="267"/>
        <v>0</v>
      </c>
      <c r="R2172" s="19">
        <f t="shared" si="264"/>
        <v>0</v>
      </c>
      <c r="T2172" s="19">
        <f t="shared" si="268"/>
        <v>1688521.23</v>
      </c>
      <c r="U2172" s="19">
        <f t="shared" si="269"/>
        <v>1707963.51</v>
      </c>
      <c r="V2172" s="21">
        <f t="shared" si="270"/>
        <v>19442.280000000028</v>
      </c>
      <c r="W2172" s="18">
        <f t="shared" si="271"/>
        <v>1.1514382913622015E-2</v>
      </c>
    </row>
    <row r="2173" spans="1:23" x14ac:dyDescent="0.3">
      <c r="A2173" t="s">
        <v>119</v>
      </c>
      <c r="B2173" t="s">
        <v>378</v>
      </c>
      <c r="C2173" t="s">
        <v>37</v>
      </c>
      <c r="D2173" t="s">
        <v>20</v>
      </c>
      <c r="E2173">
        <v>3592</v>
      </c>
      <c r="F2173">
        <v>264.47000000000003</v>
      </c>
      <c r="G2173">
        <v>241.18</v>
      </c>
      <c r="H2173">
        <v>264.47000000000003</v>
      </c>
      <c r="I2173">
        <v>1157</v>
      </c>
      <c r="J2173">
        <v>57</v>
      </c>
      <c r="K2173" s="17">
        <f t="shared" si="265"/>
        <v>2198.3000000000002</v>
      </c>
      <c r="L2173" t="str">
        <f t="shared" si="266"/>
        <v>Sufficuent Stock</v>
      </c>
      <c r="P2173" s="19">
        <f t="shared" si="267"/>
        <v>0</v>
      </c>
      <c r="R2173" s="19">
        <f t="shared" si="264"/>
        <v>0</v>
      </c>
      <c r="T2173" s="19">
        <f t="shared" si="268"/>
        <v>279045.26</v>
      </c>
      <c r="U2173" s="19">
        <f t="shared" si="269"/>
        <v>305991.79000000004</v>
      </c>
      <c r="V2173" s="21">
        <f t="shared" si="270"/>
        <v>26946.530000000028</v>
      </c>
      <c r="W2173" s="18">
        <f t="shared" si="271"/>
        <v>9.6566879509080453E-2</v>
      </c>
    </row>
    <row r="2174" spans="1:23" x14ac:dyDescent="0.3">
      <c r="A2174" t="s">
        <v>226</v>
      </c>
      <c r="B2174" t="s">
        <v>2947</v>
      </c>
      <c r="C2174" t="s">
        <v>50</v>
      </c>
      <c r="D2174" t="s">
        <v>69</v>
      </c>
      <c r="E2174">
        <v>3595</v>
      </c>
      <c r="F2174">
        <v>345.22</v>
      </c>
      <c r="G2174">
        <v>326.88</v>
      </c>
      <c r="H2174">
        <v>345.22</v>
      </c>
      <c r="I2174">
        <v>2671</v>
      </c>
      <c r="J2174">
        <v>36</v>
      </c>
      <c r="K2174" s="17">
        <f t="shared" si="265"/>
        <v>3205.2</v>
      </c>
      <c r="L2174" t="str">
        <f t="shared" si="266"/>
        <v>Sufficuent Stock</v>
      </c>
      <c r="P2174" s="19">
        <f t="shared" si="267"/>
        <v>0</v>
      </c>
      <c r="R2174" s="19">
        <f t="shared" si="264"/>
        <v>0</v>
      </c>
      <c r="T2174" s="19">
        <f t="shared" si="268"/>
        <v>873096.48</v>
      </c>
      <c r="U2174" s="19">
        <f t="shared" si="269"/>
        <v>922082.62000000011</v>
      </c>
      <c r="V2174" s="21">
        <f t="shared" si="270"/>
        <v>48986.14000000013</v>
      </c>
      <c r="W2174" s="18">
        <f t="shared" si="271"/>
        <v>5.6106216348507251E-2</v>
      </c>
    </row>
    <row r="2175" spans="1:23" x14ac:dyDescent="0.3">
      <c r="A2175" t="s">
        <v>1002</v>
      </c>
      <c r="B2175" t="s">
        <v>1395</v>
      </c>
      <c r="C2175" t="s">
        <v>23</v>
      </c>
      <c r="D2175" t="s">
        <v>20</v>
      </c>
      <c r="E2175">
        <v>3595</v>
      </c>
      <c r="F2175">
        <v>383.32</v>
      </c>
      <c r="G2175">
        <v>331.45</v>
      </c>
      <c r="H2175">
        <v>383.32</v>
      </c>
      <c r="I2175">
        <v>181</v>
      </c>
      <c r="J2175">
        <v>56</v>
      </c>
      <c r="K2175" s="17">
        <f t="shared" si="265"/>
        <v>337.86666666666667</v>
      </c>
      <c r="L2175" t="str">
        <f t="shared" si="266"/>
        <v>Sufficuent Stock</v>
      </c>
      <c r="P2175" s="19">
        <f t="shared" si="267"/>
        <v>0</v>
      </c>
      <c r="R2175" s="19">
        <f t="shared" si="264"/>
        <v>0</v>
      </c>
      <c r="T2175" s="19">
        <f t="shared" si="268"/>
        <v>59992.45</v>
      </c>
      <c r="U2175" s="19">
        <f t="shared" si="269"/>
        <v>69380.92</v>
      </c>
      <c r="V2175" s="21">
        <f t="shared" si="270"/>
        <v>9388.4700000000012</v>
      </c>
      <c r="W2175" s="18">
        <f t="shared" si="271"/>
        <v>0.15649419218585009</v>
      </c>
    </row>
    <row r="2176" spans="1:23" x14ac:dyDescent="0.3">
      <c r="A2176" t="s">
        <v>436</v>
      </c>
      <c r="B2176" t="s">
        <v>2445</v>
      </c>
      <c r="C2176" t="s">
        <v>37</v>
      </c>
      <c r="D2176" t="s">
        <v>13</v>
      </c>
      <c r="E2176">
        <v>3596</v>
      </c>
      <c r="F2176">
        <v>292.66000000000003</v>
      </c>
      <c r="G2176">
        <v>320.89</v>
      </c>
      <c r="H2176">
        <v>292.66000000000003</v>
      </c>
      <c r="I2176">
        <v>687</v>
      </c>
      <c r="J2176">
        <v>15</v>
      </c>
      <c r="K2176" s="17">
        <f t="shared" si="265"/>
        <v>343.5</v>
      </c>
      <c r="L2176" t="str">
        <f t="shared" si="266"/>
        <v>Sufficuent Stock</v>
      </c>
      <c r="P2176" s="19">
        <f t="shared" si="267"/>
        <v>0</v>
      </c>
      <c r="R2176" s="19">
        <f t="shared" si="264"/>
        <v>0</v>
      </c>
      <c r="T2176" s="19">
        <f t="shared" si="268"/>
        <v>220451.43</v>
      </c>
      <c r="U2176" s="19">
        <f t="shared" si="269"/>
        <v>201057.42</v>
      </c>
      <c r="V2176" s="21">
        <f t="shared" si="270"/>
        <v>-19394.00999999998</v>
      </c>
      <c r="W2176" s="18">
        <f t="shared" si="271"/>
        <v>-8.7974072111938584E-2</v>
      </c>
    </row>
    <row r="2177" spans="1:23" x14ac:dyDescent="0.3">
      <c r="A2177" t="s">
        <v>1276</v>
      </c>
      <c r="B2177" t="s">
        <v>3243</v>
      </c>
      <c r="C2177" t="s">
        <v>50</v>
      </c>
      <c r="D2177" t="s">
        <v>26</v>
      </c>
      <c r="E2177">
        <v>3596</v>
      </c>
      <c r="F2177">
        <v>266.01</v>
      </c>
      <c r="G2177">
        <v>284.11</v>
      </c>
      <c r="H2177">
        <v>266.01</v>
      </c>
      <c r="I2177">
        <v>69</v>
      </c>
      <c r="J2177">
        <v>59</v>
      </c>
      <c r="K2177" s="17">
        <f t="shared" si="265"/>
        <v>135.69999999999999</v>
      </c>
      <c r="L2177" t="str">
        <f t="shared" si="266"/>
        <v>Sufficuent Stock</v>
      </c>
      <c r="P2177" s="19">
        <f t="shared" si="267"/>
        <v>0</v>
      </c>
      <c r="R2177" s="19">
        <f t="shared" si="264"/>
        <v>0</v>
      </c>
      <c r="T2177" s="19">
        <f t="shared" si="268"/>
        <v>19603.59</v>
      </c>
      <c r="U2177" s="19">
        <f t="shared" si="269"/>
        <v>18354.689999999999</v>
      </c>
      <c r="V2177" s="21">
        <f t="shared" si="270"/>
        <v>-1248.9000000000015</v>
      </c>
      <c r="W2177" s="18">
        <f t="shared" si="271"/>
        <v>-6.3707718841293934E-2</v>
      </c>
    </row>
    <row r="2178" spans="1:23" x14ac:dyDescent="0.3">
      <c r="A2178" t="s">
        <v>884</v>
      </c>
      <c r="B2178" t="s">
        <v>1996</v>
      </c>
      <c r="C2178" t="s">
        <v>23</v>
      </c>
      <c r="D2178" t="s">
        <v>26</v>
      </c>
      <c r="E2178">
        <v>3597</v>
      </c>
      <c r="F2178">
        <v>447.22</v>
      </c>
      <c r="G2178">
        <v>425.48</v>
      </c>
      <c r="H2178">
        <v>447.22</v>
      </c>
      <c r="I2178">
        <v>2803</v>
      </c>
      <c r="J2178">
        <v>52</v>
      </c>
      <c r="K2178" s="17">
        <f t="shared" si="265"/>
        <v>4858.5333333333338</v>
      </c>
      <c r="L2178" t="str">
        <f t="shared" si="266"/>
        <v>High Risk</v>
      </c>
      <c r="P2178" s="19">
        <f t="shared" si="267"/>
        <v>1262</v>
      </c>
      <c r="R2178" s="19">
        <f t="shared" ref="R2178:R2241" si="272">P2178*H2178</f>
        <v>564391.64</v>
      </c>
      <c r="T2178" s="19">
        <f t="shared" si="268"/>
        <v>1192620.44</v>
      </c>
      <c r="U2178" s="19">
        <f t="shared" si="269"/>
        <v>1253557.6600000001</v>
      </c>
      <c r="V2178" s="21">
        <f t="shared" si="270"/>
        <v>60937.220000000205</v>
      </c>
      <c r="W2178" s="18">
        <f t="shared" si="271"/>
        <v>5.1095233618501629E-2</v>
      </c>
    </row>
    <row r="2179" spans="1:23" x14ac:dyDescent="0.3">
      <c r="A2179" t="s">
        <v>229</v>
      </c>
      <c r="B2179" t="s">
        <v>1611</v>
      </c>
      <c r="C2179" t="s">
        <v>23</v>
      </c>
      <c r="D2179" t="s">
        <v>69</v>
      </c>
      <c r="E2179">
        <v>3598</v>
      </c>
      <c r="F2179">
        <v>180.93</v>
      </c>
      <c r="G2179">
        <v>191.5</v>
      </c>
      <c r="H2179">
        <v>180.93</v>
      </c>
      <c r="I2179">
        <v>3863</v>
      </c>
      <c r="J2179">
        <v>12</v>
      </c>
      <c r="K2179" s="17">
        <f t="shared" ref="K2179:K2242" si="273">(I2179/30)*J2179</f>
        <v>1545.2000000000003</v>
      </c>
      <c r="L2179" t="str">
        <f t="shared" ref="L2179:L2242" si="274">IF(E2179&lt;K2179,"High Risk","Sufficuent Stock")</f>
        <v>Sufficuent Stock</v>
      </c>
      <c r="P2179" s="19">
        <f t="shared" ref="P2179:P2242" si="275">ROUNDUP(MAX(0,K2179-E2179),0)</f>
        <v>0</v>
      </c>
      <c r="R2179" s="19">
        <f t="shared" si="272"/>
        <v>0</v>
      </c>
      <c r="T2179" s="19">
        <f t="shared" ref="T2179:T2242" si="276">I2179*G2179</f>
        <v>739764.5</v>
      </c>
      <c r="U2179" s="19">
        <f t="shared" ref="U2179:U2242" si="277">I2179*H2179</f>
        <v>698932.59000000008</v>
      </c>
      <c r="V2179" s="21">
        <f t="shared" ref="V2179:V2242" si="278">U2179-T2179</f>
        <v>-40831.909999999916</v>
      </c>
      <c r="W2179" s="18">
        <f t="shared" ref="W2179:W2242" si="279">IFERROR(V2179/T2179,0)</f>
        <v>-5.5195822454307979E-2</v>
      </c>
    </row>
    <row r="2180" spans="1:23" x14ac:dyDescent="0.3">
      <c r="A2180" t="s">
        <v>323</v>
      </c>
      <c r="B2180" t="s">
        <v>520</v>
      </c>
      <c r="C2180" t="s">
        <v>50</v>
      </c>
      <c r="D2180" t="s">
        <v>69</v>
      </c>
      <c r="E2180">
        <v>3600</v>
      </c>
      <c r="F2180">
        <v>86.97</v>
      </c>
      <c r="G2180">
        <v>76.41</v>
      </c>
      <c r="H2180">
        <v>86.97</v>
      </c>
      <c r="I2180">
        <v>1150</v>
      </c>
      <c r="J2180">
        <v>79</v>
      </c>
      <c r="K2180" s="17">
        <f t="shared" si="273"/>
        <v>3028.3333333333335</v>
      </c>
      <c r="L2180" t="str">
        <f t="shared" si="274"/>
        <v>Sufficuent Stock</v>
      </c>
      <c r="P2180" s="19">
        <f t="shared" si="275"/>
        <v>0</v>
      </c>
      <c r="R2180" s="19">
        <f t="shared" si="272"/>
        <v>0</v>
      </c>
      <c r="T2180" s="19">
        <f t="shared" si="276"/>
        <v>87871.5</v>
      </c>
      <c r="U2180" s="19">
        <f t="shared" si="277"/>
        <v>100015.5</v>
      </c>
      <c r="V2180" s="21">
        <f t="shared" si="278"/>
        <v>12144</v>
      </c>
      <c r="W2180" s="18">
        <f t="shared" si="279"/>
        <v>0.13820180604632901</v>
      </c>
    </row>
    <row r="2181" spans="1:23" x14ac:dyDescent="0.3">
      <c r="A2181" t="s">
        <v>218</v>
      </c>
      <c r="B2181" t="s">
        <v>1303</v>
      </c>
      <c r="C2181" t="s">
        <v>16</v>
      </c>
      <c r="D2181" t="s">
        <v>17</v>
      </c>
      <c r="E2181">
        <v>3602</v>
      </c>
      <c r="F2181">
        <v>363.94</v>
      </c>
      <c r="G2181">
        <v>324.7</v>
      </c>
      <c r="H2181">
        <v>363.94</v>
      </c>
      <c r="I2181">
        <v>3519</v>
      </c>
      <c r="J2181">
        <v>48</v>
      </c>
      <c r="K2181" s="17">
        <f t="shared" si="273"/>
        <v>5630.4</v>
      </c>
      <c r="L2181" t="str">
        <f t="shared" si="274"/>
        <v>High Risk</v>
      </c>
      <c r="P2181" s="19">
        <f t="shared" si="275"/>
        <v>2029</v>
      </c>
      <c r="R2181" s="19">
        <f t="shared" si="272"/>
        <v>738434.26</v>
      </c>
      <c r="T2181" s="19">
        <f t="shared" si="276"/>
        <v>1142619.3</v>
      </c>
      <c r="U2181" s="19">
        <f t="shared" si="277"/>
        <v>1280704.8600000001</v>
      </c>
      <c r="V2181" s="21">
        <f t="shared" si="278"/>
        <v>138085.56000000006</v>
      </c>
      <c r="W2181" s="18">
        <f t="shared" si="279"/>
        <v>0.12085001539882974</v>
      </c>
    </row>
    <row r="2182" spans="1:23" x14ac:dyDescent="0.3">
      <c r="A2182" t="s">
        <v>134</v>
      </c>
      <c r="B2182" t="s">
        <v>1340</v>
      </c>
      <c r="C2182" t="s">
        <v>50</v>
      </c>
      <c r="D2182" t="s">
        <v>69</v>
      </c>
      <c r="E2182">
        <v>3603</v>
      </c>
      <c r="F2182">
        <v>557.17999999999995</v>
      </c>
      <c r="G2182">
        <v>495.23</v>
      </c>
      <c r="H2182">
        <v>557.17999999999995</v>
      </c>
      <c r="I2182">
        <v>1677</v>
      </c>
      <c r="J2182">
        <v>31</v>
      </c>
      <c r="K2182" s="17">
        <f t="shared" si="273"/>
        <v>1732.8999999999999</v>
      </c>
      <c r="L2182" t="str">
        <f t="shared" si="274"/>
        <v>Sufficuent Stock</v>
      </c>
      <c r="P2182" s="19">
        <f t="shared" si="275"/>
        <v>0</v>
      </c>
      <c r="R2182" s="19">
        <f t="shared" si="272"/>
        <v>0</v>
      </c>
      <c r="T2182" s="19">
        <f t="shared" si="276"/>
        <v>830500.71000000008</v>
      </c>
      <c r="U2182" s="19">
        <f t="shared" si="277"/>
        <v>934390.85999999987</v>
      </c>
      <c r="V2182" s="21">
        <f t="shared" si="278"/>
        <v>103890.14999999979</v>
      </c>
      <c r="W2182" s="18">
        <f t="shared" si="279"/>
        <v>0.12509339094965949</v>
      </c>
    </row>
    <row r="2183" spans="1:23" x14ac:dyDescent="0.3">
      <c r="A2183" t="s">
        <v>721</v>
      </c>
      <c r="B2183" t="s">
        <v>1819</v>
      </c>
      <c r="C2183" t="s">
        <v>37</v>
      </c>
      <c r="D2183" t="s">
        <v>26</v>
      </c>
      <c r="E2183">
        <v>3603</v>
      </c>
      <c r="F2183">
        <v>49.79</v>
      </c>
      <c r="G2183">
        <v>47.53</v>
      </c>
      <c r="H2183">
        <v>49.79</v>
      </c>
      <c r="I2183">
        <v>2979</v>
      </c>
      <c r="J2183">
        <v>22</v>
      </c>
      <c r="K2183" s="17">
        <f t="shared" si="273"/>
        <v>2184.6</v>
      </c>
      <c r="L2183" t="str">
        <f t="shared" si="274"/>
        <v>Sufficuent Stock</v>
      </c>
      <c r="P2183" s="19">
        <f t="shared" si="275"/>
        <v>0</v>
      </c>
      <c r="R2183" s="19">
        <f t="shared" si="272"/>
        <v>0</v>
      </c>
      <c r="T2183" s="19">
        <f t="shared" si="276"/>
        <v>141591.87</v>
      </c>
      <c r="U2183" s="19">
        <f t="shared" si="277"/>
        <v>148324.41</v>
      </c>
      <c r="V2183" s="21">
        <f t="shared" si="278"/>
        <v>6732.5400000000081</v>
      </c>
      <c r="W2183" s="18">
        <f t="shared" si="279"/>
        <v>4.7548916473806074E-2</v>
      </c>
    </row>
    <row r="2184" spans="1:23" x14ac:dyDescent="0.3">
      <c r="A2184" t="s">
        <v>310</v>
      </c>
      <c r="B2184" t="s">
        <v>311</v>
      </c>
      <c r="C2184" t="s">
        <v>23</v>
      </c>
      <c r="D2184" t="s">
        <v>69</v>
      </c>
      <c r="E2184">
        <v>3608</v>
      </c>
      <c r="F2184">
        <v>250.03</v>
      </c>
      <c r="G2184">
        <v>231.71</v>
      </c>
      <c r="H2184">
        <v>250.03</v>
      </c>
      <c r="I2184">
        <v>471</v>
      </c>
      <c r="J2184">
        <v>59</v>
      </c>
      <c r="K2184" s="17">
        <f t="shared" si="273"/>
        <v>926.3</v>
      </c>
      <c r="L2184" t="str">
        <f t="shared" si="274"/>
        <v>Sufficuent Stock</v>
      </c>
      <c r="P2184" s="19">
        <f t="shared" si="275"/>
        <v>0</v>
      </c>
      <c r="R2184" s="19">
        <f t="shared" si="272"/>
        <v>0</v>
      </c>
      <c r="T2184" s="19">
        <f t="shared" si="276"/>
        <v>109135.41</v>
      </c>
      <c r="U2184" s="19">
        <f t="shared" si="277"/>
        <v>117764.13</v>
      </c>
      <c r="V2184" s="21">
        <f t="shared" si="278"/>
        <v>8628.7200000000012</v>
      </c>
      <c r="W2184" s="18">
        <f t="shared" si="279"/>
        <v>7.9064347675974284E-2</v>
      </c>
    </row>
    <row r="2185" spans="1:23" x14ac:dyDescent="0.3">
      <c r="A2185" t="s">
        <v>61</v>
      </c>
      <c r="B2185" t="s">
        <v>3319</v>
      </c>
      <c r="C2185" t="s">
        <v>50</v>
      </c>
      <c r="D2185" t="s">
        <v>69</v>
      </c>
      <c r="E2185">
        <v>3612</v>
      </c>
      <c r="F2185">
        <v>224.77</v>
      </c>
      <c r="G2185">
        <v>194.79</v>
      </c>
      <c r="H2185">
        <v>224.77</v>
      </c>
      <c r="I2185">
        <v>3811</v>
      </c>
      <c r="J2185">
        <v>86</v>
      </c>
      <c r="K2185" s="17">
        <f t="shared" si="273"/>
        <v>10924.866666666667</v>
      </c>
      <c r="L2185" t="str">
        <f t="shared" si="274"/>
        <v>High Risk</v>
      </c>
      <c r="P2185" s="19">
        <f t="shared" si="275"/>
        <v>7313</v>
      </c>
      <c r="R2185" s="19">
        <f t="shared" si="272"/>
        <v>1643743.01</v>
      </c>
      <c r="T2185" s="19">
        <f t="shared" si="276"/>
        <v>742344.69</v>
      </c>
      <c r="U2185" s="19">
        <f t="shared" si="277"/>
        <v>856598.47000000009</v>
      </c>
      <c r="V2185" s="21">
        <f t="shared" si="278"/>
        <v>114253.78000000014</v>
      </c>
      <c r="W2185" s="18">
        <f t="shared" si="279"/>
        <v>0.15390933826171796</v>
      </c>
    </row>
    <row r="2186" spans="1:23" x14ac:dyDescent="0.3">
      <c r="A2186" t="s">
        <v>438</v>
      </c>
      <c r="B2186" t="s">
        <v>3354</v>
      </c>
      <c r="C2186" t="s">
        <v>16</v>
      </c>
      <c r="D2186" t="s">
        <v>20</v>
      </c>
      <c r="E2186">
        <v>3612</v>
      </c>
      <c r="F2186">
        <v>481.32</v>
      </c>
      <c r="G2186">
        <v>450.02</v>
      </c>
      <c r="H2186">
        <v>481.32</v>
      </c>
      <c r="I2186">
        <v>2304</v>
      </c>
      <c r="J2186">
        <v>32</v>
      </c>
      <c r="K2186" s="17">
        <f t="shared" si="273"/>
        <v>2457.6</v>
      </c>
      <c r="L2186" t="str">
        <f t="shared" si="274"/>
        <v>Sufficuent Stock</v>
      </c>
      <c r="P2186" s="19">
        <f t="shared" si="275"/>
        <v>0</v>
      </c>
      <c r="R2186" s="19">
        <f t="shared" si="272"/>
        <v>0</v>
      </c>
      <c r="T2186" s="19">
        <f t="shared" si="276"/>
        <v>1036846.08</v>
      </c>
      <c r="U2186" s="19">
        <f t="shared" si="277"/>
        <v>1108961.28</v>
      </c>
      <c r="V2186" s="21">
        <f t="shared" si="278"/>
        <v>72115.20000000007</v>
      </c>
      <c r="W2186" s="18">
        <f t="shared" si="279"/>
        <v>6.9552464334918518E-2</v>
      </c>
    </row>
    <row r="2187" spans="1:23" x14ac:dyDescent="0.3">
      <c r="A2187" t="s">
        <v>74</v>
      </c>
      <c r="B2187" t="s">
        <v>1280</v>
      </c>
      <c r="C2187" t="s">
        <v>23</v>
      </c>
      <c r="D2187" t="s">
        <v>13</v>
      </c>
      <c r="E2187">
        <v>3612</v>
      </c>
      <c r="F2187">
        <v>253.94</v>
      </c>
      <c r="G2187">
        <v>258.58999999999997</v>
      </c>
      <c r="H2187">
        <v>253.94</v>
      </c>
      <c r="I2187">
        <v>3885</v>
      </c>
      <c r="J2187">
        <v>70</v>
      </c>
      <c r="K2187" s="17">
        <f t="shared" si="273"/>
        <v>9065</v>
      </c>
      <c r="L2187" t="str">
        <f t="shared" si="274"/>
        <v>High Risk</v>
      </c>
      <c r="P2187" s="19">
        <f t="shared" si="275"/>
        <v>5453</v>
      </c>
      <c r="R2187" s="19">
        <f t="shared" si="272"/>
        <v>1384734.82</v>
      </c>
      <c r="T2187" s="19">
        <f t="shared" si="276"/>
        <v>1004622.1499999999</v>
      </c>
      <c r="U2187" s="19">
        <f t="shared" si="277"/>
        <v>986556.9</v>
      </c>
      <c r="V2187" s="21">
        <f t="shared" si="278"/>
        <v>-18065.249999999884</v>
      </c>
      <c r="W2187" s="18">
        <f t="shared" si="279"/>
        <v>-1.7982133879886966E-2</v>
      </c>
    </row>
    <row r="2188" spans="1:23" x14ac:dyDescent="0.3">
      <c r="A2188" t="s">
        <v>243</v>
      </c>
      <c r="B2188" t="s">
        <v>2034</v>
      </c>
      <c r="C2188" t="s">
        <v>12</v>
      </c>
      <c r="D2188" t="s">
        <v>26</v>
      </c>
      <c r="E2188">
        <v>3613</v>
      </c>
      <c r="F2188">
        <v>308.25</v>
      </c>
      <c r="G2188">
        <v>288.74</v>
      </c>
      <c r="H2188">
        <v>308.25</v>
      </c>
      <c r="I2188">
        <v>1453</v>
      </c>
      <c r="J2188">
        <v>71</v>
      </c>
      <c r="K2188" s="17">
        <f t="shared" si="273"/>
        <v>3438.7666666666664</v>
      </c>
      <c r="L2188" t="str">
        <f t="shared" si="274"/>
        <v>Sufficuent Stock</v>
      </c>
      <c r="P2188" s="19">
        <f t="shared" si="275"/>
        <v>0</v>
      </c>
      <c r="R2188" s="19">
        <f t="shared" si="272"/>
        <v>0</v>
      </c>
      <c r="T2188" s="19">
        <f t="shared" si="276"/>
        <v>419539.22000000003</v>
      </c>
      <c r="U2188" s="19">
        <f t="shared" si="277"/>
        <v>447887.25</v>
      </c>
      <c r="V2188" s="21">
        <f t="shared" si="278"/>
        <v>28348.02999999997</v>
      </c>
      <c r="W2188" s="18">
        <f t="shared" si="279"/>
        <v>6.7569439634272976E-2</v>
      </c>
    </row>
    <row r="2189" spans="1:23" x14ac:dyDescent="0.3">
      <c r="A2189" t="s">
        <v>42</v>
      </c>
      <c r="B2189" t="s">
        <v>705</v>
      </c>
      <c r="C2189" t="s">
        <v>50</v>
      </c>
      <c r="D2189" t="s">
        <v>26</v>
      </c>
      <c r="E2189">
        <v>3619</v>
      </c>
      <c r="F2189">
        <v>542.66999999999996</v>
      </c>
      <c r="G2189">
        <v>467.93</v>
      </c>
      <c r="H2189">
        <v>542.66999999999996</v>
      </c>
      <c r="I2189">
        <v>2300</v>
      </c>
      <c r="J2189">
        <v>23</v>
      </c>
      <c r="K2189" s="17">
        <f t="shared" si="273"/>
        <v>1763.3333333333335</v>
      </c>
      <c r="L2189" t="str">
        <f t="shared" si="274"/>
        <v>Sufficuent Stock</v>
      </c>
      <c r="P2189" s="19">
        <f t="shared" si="275"/>
        <v>0</v>
      </c>
      <c r="R2189" s="19">
        <f t="shared" si="272"/>
        <v>0</v>
      </c>
      <c r="T2189" s="19">
        <f t="shared" si="276"/>
        <v>1076239</v>
      </c>
      <c r="U2189" s="19">
        <f t="shared" si="277"/>
        <v>1248141</v>
      </c>
      <c r="V2189" s="21">
        <f t="shared" si="278"/>
        <v>171902</v>
      </c>
      <c r="W2189" s="18">
        <f t="shared" si="279"/>
        <v>0.15972474515418972</v>
      </c>
    </row>
    <row r="2190" spans="1:23" x14ac:dyDescent="0.3">
      <c r="A2190" t="s">
        <v>78</v>
      </c>
      <c r="B2190" t="s">
        <v>1001</v>
      </c>
      <c r="C2190" t="s">
        <v>23</v>
      </c>
      <c r="D2190" t="s">
        <v>26</v>
      </c>
      <c r="E2190">
        <v>3620</v>
      </c>
      <c r="F2190">
        <v>250.08</v>
      </c>
      <c r="G2190">
        <v>217.1</v>
      </c>
      <c r="H2190">
        <v>250.08</v>
      </c>
      <c r="I2190">
        <v>987</v>
      </c>
      <c r="J2190">
        <v>23</v>
      </c>
      <c r="K2190" s="17">
        <f t="shared" si="273"/>
        <v>756.69999999999993</v>
      </c>
      <c r="L2190" t="str">
        <f t="shared" si="274"/>
        <v>Sufficuent Stock</v>
      </c>
      <c r="P2190" s="19">
        <f t="shared" si="275"/>
        <v>0</v>
      </c>
      <c r="R2190" s="19">
        <f t="shared" si="272"/>
        <v>0</v>
      </c>
      <c r="T2190" s="19">
        <f t="shared" si="276"/>
        <v>214277.69999999998</v>
      </c>
      <c r="U2190" s="19">
        <f t="shared" si="277"/>
        <v>246828.96000000002</v>
      </c>
      <c r="V2190" s="21">
        <f t="shared" si="278"/>
        <v>32551.260000000038</v>
      </c>
      <c r="W2190" s="18">
        <f t="shared" si="279"/>
        <v>0.15191156149240001</v>
      </c>
    </row>
    <row r="2191" spans="1:23" x14ac:dyDescent="0.3">
      <c r="A2191" t="s">
        <v>668</v>
      </c>
      <c r="B2191" t="s">
        <v>819</v>
      </c>
      <c r="C2191" t="s">
        <v>50</v>
      </c>
      <c r="D2191" t="s">
        <v>69</v>
      </c>
      <c r="E2191">
        <v>3621</v>
      </c>
      <c r="F2191">
        <v>450.61</v>
      </c>
      <c r="G2191">
        <v>468.75</v>
      </c>
      <c r="H2191">
        <v>450.61</v>
      </c>
      <c r="I2191">
        <v>229</v>
      </c>
      <c r="J2191">
        <v>46</v>
      </c>
      <c r="K2191" s="17">
        <f t="shared" si="273"/>
        <v>351.13333333333333</v>
      </c>
      <c r="L2191" t="str">
        <f t="shared" si="274"/>
        <v>Sufficuent Stock</v>
      </c>
      <c r="P2191" s="19">
        <f t="shared" si="275"/>
        <v>0</v>
      </c>
      <c r="R2191" s="19">
        <f t="shared" si="272"/>
        <v>0</v>
      </c>
      <c r="T2191" s="19">
        <f t="shared" si="276"/>
        <v>107343.75</v>
      </c>
      <c r="U2191" s="19">
        <f t="shared" si="277"/>
        <v>103189.69</v>
      </c>
      <c r="V2191" s="21">
        <f t="shared" si="278"/>
        <v>-4154.0599999999977</v>
      </c>
      <c r="W2191" s="18">
        <f t="shared" si="279"/>
        <v>-3.8698666666666645E-2</v>
      </c>
    </row>
    <row r="2192" spans="1:23" x14ac:dyDescent="0.3">
      <c r="A2192" t="s">
        <v>1019</v>
      </c>
      <c r="B2192" t="s">
        <v>2110</v>
      </c>
      <c r="C2192" t="s">
        <v>23</v>
      </c>
      <c r="D2192" t="s">
        <v>17</v>
      </c>
      <c r="E2192">
        <v>3622</v>
      </c>
      <c r="F2192">
        <v>263.16000000000003</v>
      </c>
      <c r="G2192">
        <v>252.13</v>
      </c>
      <c r="H2192">
        <v>263.16000000000003</v>
      </c>
      <c r="I2192">
        <v>1294</v>
      </c>
      <c r="J2192">
        <v>25</v>
      </c>
      <c r="K2192" s="17">
        <f t="shared" si="273"/>
        <v>1078.3333333333333</v>
      </c>
      <c r="L2192" t="str">
        <f t="shared" si="274"/>
        <v>Sufficuent Stock</v>
      </c>
      <c r="P2192" s="19">
        <f t="shared" si="275"/>
        <v>0</v>
      </c>
      <c r="R2192" s="19">
        <f t="shared" si="272"/>
        <v>0</v>
      </c>
      <c r="T2192" s="19">
        <f t="shared" si="276"/>
        <v>326256.21999999997</v>
      </c>
      <c r="U2192" s="19">
        <f t="shared" si="277"/>
        <v>340529.04000000004</v>
      </c>
      <c r="V2192" s="21">
        <f t="shared" si="278"/>
        <v>14272.820000000065</v>
      </c>
      <c r="W2192" s="18">
        <f t="shared" si="279"/>
        <v>4.3747273232063032E-2</v>
      </c>
    </row>
    <row r="2193" spans="1:23" x14ac:dyDescent="0.3">
      <c r="A2193" t="s">
        <v>63</v>
      </c>
      <c r="B2193" t="s">
        <v>421</v>
      </c>
      <c r="C2193" t="s">
        <v>23</v>
      </c>
      <c r="D2193" t="s">
        <v>17</v>
      </c>
      <c r="E2193">
        <v>3624</v>
      </c>
      <c r="F2193">
        <v>507.72</v>
      </c>
      <c r="G2193">
        <v>425.31</v>
      </c>
      <c r="H2193">
        <v>507.72</v>
      </c>
      <c r="I2193">
        <v>2168</v>
      </c>
      <c r="J2193">
        <v>31</v>
      </c>
      <c r="K2193" s="17">
        <f t="shared" si="273"/>
        <v>2240.2666666666664</v>
      </c>
      <c r="L2193" t="str">
        <f t="shared" si="274"/>
        <v>Sufficuent Stock</v>
      </c>
      <c r="P2193" s="19">
        <f t="shared" si="275"/>
        <v>0</v>
      </c>
      <c r="R2193" s="19">
        <f t="shared" si="272"/>
        <v>0</v>
      </c>
      <c r="T2193" s="19">
        <f t="shared" si="276"/>
        <v>922072.08</v>
      </c>
      <c r="U2193" s="19">
        <f t="shared" si="277"/>
        <v>1100736.96</v>
      </c>
      <c r="V2193" s="21">
        <f t="shared" si="278"/>
        <v>178664.88</v>
      </c>
      <c r="W2193" s="18">
        <f t="shared" si="279"/>
        <v>0.19376454821189251</v>
      </c>
    </row>
    <row r="2194" spans="1:23" x14ac:dyDescent="0.3">
      <c r="A2194" t="s">
        <v>668</v>
      </c>
      <c r="B2194" t="s">
        <v>1929</v>
      </c>
      <c r="C2194" t="s">
        <v>12</v>
      </c>
      <c r="D2194" t="s">
        <v>26</v>
      </c>
      <c r="E2194">
        <v>3624</v>
      </c>
      <c r="F2194">
        <v>273.82</v>
      </c>
      <c r="G2194">
        <v>268.70999999999998</v>
      </c>
      <c r="H2194">
        <v>273.82</v>
      </c>
      <c r="I2194">
        <v>2207</v>
      </c>
      <c r="J2194">
        <v>83</v>
      </c>
      <c r="K2194" s="17">
        <f t="shared" si="273"/>
        <v>6106.0333333333328</v>
      </c>
      <c r="L2194" t="str">
        <f t="shared" si="274"/>
        <v>High Risk</v>
      </c>
      <c r="P2194" s="19">
        <f t="shared" si="275"/>
        <v>2483</v>
      </c>
      <c r="R2194" s="19">
        <f t="shared" si="272"/>
        <v>679895.05999999994</v>
      </c>
      <c r="T2194" s="19">
        <f t="shared" si="276"/>
        <v>593042.97</v>
      </c>
      <c r="U2194" s="19">
        <f t="shared" si="277"/>
        <v>604320.74</v>
      </c>
      <c r="V2194" s="21">
        <f t="shared" si="278"/>
        <v>11277.770000000019</v>
      </c>
      <c r="W2194" s="18">
        <f t="shared" si="279"/>
        <v>1.9016783893416728E-2</v>
      </c>
    </row>
    <row r="2195" spans="1:23" x14ac:dyDescent="0.3">
      <c r="A2195" t="s">
        <v>444</v>
      </c>
      <c r="B2195" t="s">
        <v>1196</v>
      </c>
      <c r="C2195" t="s">
        <v>37</v>
      </c>
      <c r="D2195" t="s">
        <v>20</v>
      </c>
      <c r="E2195">
        <v>3625</v>
      </c>
      <c r="F2195">
        <v>336.63</v>
      </c>
      <c r="G2195">
        <v>324.10000000000002</v>
      </c>
      <c r="H2195">
        <v>336.63</v>
      </c>
      <c r="I2195">
        <v>500</v>
      </c>
      <c r="J2195">
        <v>5</v>
      </c>
      <c r="K2195" s="17">
        <f t="shared" si="273"/>
        <v>83.333333333333343</v>
      </c>
      <c r="L2195" t="str">
        <f t="shared" si="274"/>
        <v>Sufficuent Stock</v>
      </c>
      <c r="P2195" s="19">
        <f t="shared" si="275"/>
        <v>0</v>
      </c>
      <c r="R2195" s="19">
        <f t="shared" si="272"/>
        <v>0</v>
      </c>
      <c r="T2195" s="19">
        <f t="shared" si="276"/>
        <v>162050</v>
      </c>
      <c r="U2195" s="19">
        <f t="shared" si="277"/>
        <v>168315</v>
      </c>
      <c r="V2195" s="21">
        <f t="shared" si="278"/>
        <v>6265</v>
      </c>
      <c r="W2195" s="18">
        <f t="shared" si="279"/>
        <v>3.8660907127429804E-2</v>
      </c>
    </row>
    <row r="2196" spans="1:23" x14ac:dyDescent="0.3">
      <c r="A2196" t="s">
        <v>331</v>
      </c>
      <c r="B2196" t="s">
        <v>2121</v>
      </c>
      <c r="C2196" t="s">
        <v>16</v>
      </c>
      <c r="D2196" t="s">
        <v>17</v>
      </c>
      <c r="E2196">
        <v>3625</v>
      </c>
      <c r="F2196">
        <v>332.38</v>
      </c>
      <c r="G2196">
        <v>281.75</v>
      </c>
      <c r="H2196">
        <v>332.38</v>
      </c>
      <c r="I2196">
        <v>3475</v>
      </c>
      <c r="J2196">
        <v>9</v>
      </c>
      <c r="K2196" s="17">
        <f t="shared" si="273"/>
        <v>1042.5</v>
      </c>
      <c r="L2196" t="str">
        <f t="shared" si="274"/>
        <v>Sufficuent Stock</v>
      </c>
      <c r="P2196" s="19">
        <f t="shared" si="275"/>
        <v>0</v>
      </c>
      <c r="R2196" s="19">
        <f t="shared" si="272"/>
        <v>0</v>
      </c>
      <c r="T2196" s="19">
        <f t="shared" si="276"/>
        <v>979081.25</v>
      </c>
      <c r="U2196" s="19">
        <f t="shared" si="277"/>
        <v>1155020.5</v>
      </c>
      <c r="V2196" s="21">
        <f t="shared" si="278"/>
        <v>175939.25</v>
      </c>
      <c r="W2196" s="18">
        <f t="shared" si="279"/>
        <v>0.17969831410825199</v>
      </c>
    </row>
    <row r="2197" spans="1:23" x14ac:dyDescent="0.3">
      <c r="A2197" t="s">
        <v>80</v>
      </c>
      <c r="B2197" t="s">
        <v>3150</v>
      </c>
      <c r="C2197" t="s">
        <v>37</v>
      </c>
      <c r="D2197" t="s">
        <v>13</v>
      </c>
      <c r="E2197">
        <v>3627</v>
      </c>
      <c r="F2197">
        <v>22.43</v>
      </c>
      <c r="G2197">
        <v>22.57</v>
      </c>
      <c r="H2197">
        <v>22.43</v>
      </c>
      <c r="I2197">
        <v>1829</v>
      </c>
      <c r="J2197">
        <v>47</v>
      </c>
      <c r="K2197" s="17">
        <f t="shared" si="273"/>
        <v>2865.4333333333334</v>
      </c>
      <c r="L2197" t="str">
        <f t="shared" si="274"/>
        <v>Sufficuent Stock</v>
      </c>
      <c r="P2197" s="19">
        <f t="shared" si="275"/>
        <v>0</v>
      </c>
      <c r="R2197" s="19">
        <f t="shared" si="272"/>
        <v>0</v>
      </c>
      <c r="T2197" s="19">
        <f t="shared" si="276"/>
        <v>41280.53</v>
      </c>
      <c r="U2197" s="19">
        <f t="shared" si="277"/>
        <v>41024.47</v>
      </c>
      <c r="V2197" s="21">
        <f t="shared" si="278"/>
        <v>-256.05999999999767</v>
      </c>
      <c r="W2197" s="18">
        <f t="shared" si="279"/>
        <v>-6.2029242357110647E-3</v>
      </c>
    </row>
    <row r="2198" spans="1:23" x14ac:dyDescent="0.3">
      <c r="A2198" t="s">
        <v>820</v>
      </c>
      <c r="B2198" t="s">
        <v>2897</v>
      </c>
      <c r="C2198" t="s">
        <v>12</v>
      </c>
      <c r="D2198" t="s">
        <v>26</v>
      </c>
      <c r="E2198">
        <v>3630</v>
      </c>
      <c r="F2198">
        <v>76.599999999999994</v>
      </c>
      <c r="G2198">
        <v>64.510000000000005</v>
      </c>
      <c r="H2198">
        <v>76.599999999999994</v>
      </c>
      <c r="I2198">
        <v>1914</v>
      </c>
      <c r="J2198">
        <v>83</v>
      </c>
      <c r="K2198" s="17">
        <f t="shared" si="273"/>
        <v>5295.4</v>
      </c>
      <c r="L2198" t="str">
        <f t="shared" si="274"/>
        <v>High Risk</v>
      </c>
      <c r="P2198" s="19">
        <f t="shared" si="275"/>
        <v>1666</v>
      </c>
      <c r="R2198" s="19">
        <f t="shared" si="272"/>
        <v>127615.59999999999</v>
      </c>
      <c r="T2198" s="19">
        <f t="shared" si="276"/>
        <v>123472.14000000001</v>
      </c>
      <c r="U2198" s="19">
        <f t="shared" si="277"/>
        <v>146612.4</v>
      </c>
      <c r="V2198" s="21">
        <f t="shared" si="278"/>
        <v>23140.25999999998</v>
      </c>
      <c r="W2198" s="18">
        <f t="shared" si="279"/>
        <v>0.18741280421640039</v>
      </c>
    </row>
    <row r="2199" spans="1:23" x14ac:dyDescent="0.3">
      <c r="A2199" t="s">
        <v>286</v>
      </c>
      <c r="B2199" t="s">
        <v>410</v>
      </c>
      <c r="C2199" t="s">
        <v>16</v>
      </c>
      <c r="D2199" t="s">
        <v>69</v>
      </c>
      <c r="E2199">
        <v>3630</v>
      </c>
      <c r="F2199">
        <v>60.02</v>
      </c>
      <c r="G2199">
        <v>54.96</v>
      </c>
      <c r="H2199">
        <v>60.02</v>
      </c>
      <c r="I2199">
        <v>999</v>
      </c>
      <c r="J2199">
        <v>34</v>
      </c>
      <c r="K2199" s="17">
        <f t="shared" si="273"/>
        <v>1132.1999999999998</v>
      </c>
      <c r="L2199" t="str">
        <f t="shared" si="274"/>
        <v>Sufficuent Stock</v>
      </c>
      <c r="P2199" s="19">
        <f t="shared" si="275"/>
        <v>0</v>
      </c>
      <c r="R2199" s="19">
        <f t="shared" si="272"/>
        <v>0</v>
      </c>
      <c r="T2199" s="19">
        <f t="shared" si="276"/>
        <v>54905.04</v>
      </c>
      <c r="U2199" s="19">
        <f t="shared" si="277"/>
        <v>59959.98</v>
      </c>
      <c r="V2199" s="21">
        <f t="shared" si="278"/>
        <v>5054.9400000000023</v>
      </c>
      <c r="W2199" s="18">
        <f t="shared" si="279"/>
        <v>9.2066957787481848E-2</v>
      </c>
    </row>
    <row r="2200" spans="1:23" x14ac:dyDescent="0.3">
      <c r="A2200" t="s">
        <v>127</v>
      </c>
      <c r="B2200" t="s">
        <v>1890</v>
      </c>
      <c r="C2200" t="s">
        <v>50</v>
      </c>
      <c r="D2200" t="s">
        <v>13</v>
      </c>
      <c r="E2200">
        <v>3630</v>
      </c>
      <c r="F2200">
        <v>128.4</v>
      </c>
      <c r="G2200">
        <v>110.08</v>
      </c>
      <c r="H2200">
        <v>128.4</v>
      </c>
      <c r="I2200">
        <v>2173</v>
      </c>
      <c r="J2200">
        <v>9</v>
      </c>
      <c r="K2200" s="17">
        <f t="shared" si="273"/>
        <v>651.90000000000009</v>
      </c>
      <c r="L2200" t="str">
        <f t="shared" si="274"/>
        <v>Sufficuent Stock</v>
      </c>
      <c r="P2200" s="19">
        <f t="shared" si="275"/>
        <v>0</v>
      </c>
      <c r="R2200" s="19">
        <f t="shared" si="272"/>
        <v>0</v>
      </c>
      <c r="T2200" s="19">
        <f t="shared" si="276"/>
        <v>239203.84</v>
      </c>
      <c r="U2200" s="19">
        <f t="shared" si="277"/>
        <v>279013.2</v>
      </c>
      <c r="V2200" s="21">
        <f t="shared" si="278"/>
        <v>39809.360000000015</v>
      </c>
      <c r="W2200" s="18">
        <f t="shared" si="279"/>
        <v>0.16642441860465124</v>
      </c>
    </row>
    <row r="2201" spans="1:23" x14ac:dyDescent="0.3">
      <c r="A2201" t="s">
        <v>184</v>
      </c>
      <c r="B2201" t="s">
        <v>768</v>
      </c>
      <c r="C2201" t="s">
        <v>37</v>
      </c>
      <c r="D2201" t="s">
        <v>13</v>
      </c>
      <c r="E2201">
        <v>3630</v>
      </c>
      <c r="F2201">
        <v>404.76</v>
      </c>
      <c r="G2201">
        <v>384.51</v>
      </c>
      <c r="H2201">
        <v>404.76</v>
      </c>
      <c r="I2201">
        <v>2932</v>
      </c>
      <c r="J2201">
        <v>73</v>
      </c>
      <c r="K2201" s="17">
        <f t="shared" si="273"/>
        <v>7134.5333333333338</v>
      </c>
      <c r="L2201" t="str">
        <f t="shared" si="274"/>
        <v>High Risk</v>
      </c>
      <c r="P2201" s="19">
        <f t="shared" si="275"/>
        <v>3505</v>
      </c>
      <c r="R2201" s="19">
        <f t="shared" si="272"/>
        <v>1418683.8</v>
      </c>
      <c r="T2201" s="19">
        <f t="shared" si="276"/>
        <v>1127383.32</v>
      </c>
      <c r="U2201" s="19">
        <f t="shared" si="277"/>
        <v>1186756.32</v>
      </c>
      <c r="V2201" s="21">
        <f t="shared" si="278"/>
        <v>59373</v>
      </c>
      <c r="W2201" s="18">
        <f t="shared" si="279"/>
        <v>5.2664430053834747E-2</v>
      </c>
    </row>
    <row r="2202" spans="1:23" x14ac:dyDescent="0.3">
      <c r="A2202" t="s">
        <v>243</v>
      </c>
      <c r="B2202" t="s">
        <v>244</v>
      </c>
      <c r="C2202" t="s">
        <v>37</v>
      </c>
      <c r="D2202" t="s">
        <v>17</v>
      </c>
      <c r="E2202">
        <v>3634</v>
      </c>
      <c r="F2202">
        <v>224.24</v>
      </c>
      <c r="G2202">
        <v>227.53</v>
      </c>
      <c r="H2202">
        <v>224.24</v>
      </c>
      <c r="I2202">
        <v>1581</v>
      </c>
      <c r="J2202">
        <v>85</v>
      </c>
      <c r="K2202" s="17">
        <f t="shared" si="273"/>
        <v>4479.5</v>
      </c>
      <c r="L2202" t="str">
        <f t="shared" si="274"/>
        <v>High Risk</v>
      </c>
      <c r="P2202" s="19">
        <f t="shared" si="275"/>
        <v>846</v>
      </c>
      <c r="R2202" s="19">
        <f t="shared" si="272"/>
        <v>189707.04</v>
      </c>
      <c r="T2202" s="19">
        <f t="shared" si="276"/>
        <v>359724.93</v>
      </c>
      <c r="U2202" s="19">
        <f t="shared" si="277"/>
        <v>354523.44</v>
      </c>
      <c r="V2202" s="21">
        <f t="shared" si="278"/>
        <v>-5201.4899999999907</v>
      </c>
      <c r="W2202" s="18">
        <f t="shared" si="279"/>
        <v>-1.4459631696919061E-2</v>
      </c>
    </row>
    <row r="2203" spans="1:23" x14ac:dyDescent="0.3">
      <c r="A2203" t="s">
        <v>51</v>
      </c>
      <c r="B2203" t="s">
        <v>1985</v>
      </c>
      <c r="C2203" t="s">
        <v>12</v>
      </c>
      <c r="D2203" t="s">
        <v>13</v>
      </c>
      <c r="E2203">
        <v>3637</v>
      </c>
      <c r="F2203">
        <v>124.81</v>
      </c>
      <c r="G2203">
        <v>112.13</v>
      </c>
      <c r="H2203">
        <v>124.81</v>
      </c>
      <c r="I2203">
        <v>3711</v>
      </c>
      <c r="J2203">
        <v>53</v>
      </c>
      <c r="K2203" s="17">
        <f t="shared" si="273"/>
        <v>6556.1</v>
      </c>
      <c r="L2203" t="str">
        <f t="shared" si="274"/>
        <v>High Risk</v>
      </c>
      <c r="P2203" s="19">
        <f t="shared" si="275"/>
        <v>2920</v>
      </c>
      <c r="R2203" s="19">
        <f t="shared" si="272"/>
        <v>364445.2</v>
      </c>
      <c r="T2203" s="19">
        <f t="shared" si="276"/>
        <v>416114.43</v>
      </c>
      <c r="U2203" s="19">
        <f t="shared" si="277"/>
        <v>463169.91000000003</v>
      </c>
      <c r="V2203" s="21">
        <f t="shared" si="278"/>
        <v>47055.48000000004</v>
      </c>
      <c r="W2203" s="18">
        <f t="shared" si="279"/>
        <v>0.11308302862748605</v>
      </c>
    </row>
    <row r="2204" spans="1:23" x14ac:dyDescent="0.3">
      <c r="A2204" t="s">
        <v>278</v>
      </c>
      <c r="B2204" t="s">
        <v>2912</v>
      </c>
      <c r="C2204" t="s">
        <v>16</v>
      </c>
      <c r="D2204" t="s">
        <v>20</v>
      </c>
      <c r="E2204">
        <v>3639</v>
      </c>
      <c r="F2204">
        <v>56.36</v>
      </c>
      <c r="G2204">
        <v>49.77</v>
      </c>
      <c r="H2204">
        <v>56.36</v>
      </c>
      <c r="I2204">
        <v>1370</v>
      </c>
      <c r="J2204">
        <v>24</v>
      </c>
      <c r="K2204" s="17">
        <f t="shared" si="273"/>
        <v>1096</v>
      </c>
      <c r="L2204" t="str">
        <f t="shared" si="274"/>
        <v>Sufficuent Stock</v>
      </c>
      <c r="P2204" s="19">
        <f t="shared" si="275"/>
        <v>0</v>
      </c>
      <c r="R2204" s="19">
        <f t="shared" si="272"/>
        <v>0</v>
      </c>
      <c r="T2204" s="19">
        <f t="shared" si="276"/>
        <v>68184.900000000009</v>
      </c>
      <c r="U2204" s="19">
        <f t="shared" si="277"/>
        <v>77213.2</v>
      </c>
      <c r="V2204" s="21">
        <f t="shared" si="278"/>
        <v>9028.2999999999884</v>
      </c>
      <c r="W2204" s="18">
        <f t="shared" si="279"/>
        <v>0.1324090817761702</v>
      </c>
    </row>
    <row r="2205" spans="1:23" x14ac:dyDescent="0.3">
      <c r="A2205" t="s">
        <v>644</v>
      </c>
      <c r="B2205" t="s">
        <v>1647</v>
      </c>
      <c r="C2205" t="s">
        <v>23</v>
      </c>
      <c r="D2205" t="s">
        <v>20</v>
      </c>
      <c r="E2205">
        <v>3640</v>
      </c>
      <c r="F2205">
        <v>295.89</v>
      </c>
      <c r="G2205">
        <v>301</v>
      </c>
      <c r="H2205">
        <v>295.89</v>
      </c>
      <c r="I2205">
        <v>1496</v>
      </c>
      <c r="J2205">
        <v>79</v>
      </c>
      <c r="K2205" s="17">
        <f t="shared" si="273"/>
        <v>3939.4666666666667</v>
      </c>
      <c r="L2205" t="str">
        <f t="shared" si="274"/>
        <v>High Risk</v>
      </c>
      <c r="P2205" s="19">
        <f t="shared" si="275"/>
        <v>300</v>
      </c>
      <c r="R2205" s="19">
        <f t="shared" si="272"/>
        <v>88767</v>
      </c>
      <c r="T2205" s="19">
        <f t="shared" si="276"/>
        <v>450296</v>
      </c>
      <c r="U2205" s="19">
        <f t="shared" si="277"/>
        <v>442651.44</v>
      </c>
      <c r="V2205" s="21">
        <f t="shared" si="278"/>
        <v>-7644.5599999999977</v>
      </c>
      <c r="W2205" s="18">
        <f t="shared" si="279"/>
        <v>-1.6976744186046507E-2</v>
      </c>
    </row>
    <row r="2206" spans="1:23" x14ac:dyDescent="0.3">
      <c r="A2206" t="s">
        <v>326</v>
      </c>
      <c r="B2206" t="s">
        <v>327</v>
      </c>
      <c r="C2206" t="s">
        <v>37</v>
      </c>
      <c r="D2206" t="s">
        <v>26</v>
      </c>
      <c r="E2206">
        <v>3641</v>
      </c>
      <c r="F2206">
        <v>69.27</v>
      </c>
      <c r="G2206">
        <v>72.63</v>
      </c>
      <c r="H2206">
        <v>69.27</v>
      </c>
      <c r="I2206">
        <v>2172</v>
      </c>
      <c r="J2206">
        <v>71</v>
      </c>
      <c r="K2206" s="17">
        <f t="shared" si="273"/>
        <v>5140.4000000000005</v>
      </c>
      <c r="L2206" t="str">
        <f t="shared" si="274"/>
        <v>High Risk</v>
      </c>
      <c r="P2206" s="19">
        <f t="shared" si="275"/>
        <v>1500</v>
      </c>
      <c r="R2206" s="19">
        <f t="shared" si="272"/>
        <v>103905</v>
      </c>
      <c r="T2206" s="19">
        <f t="shared" si="276"/>
        <v>157752.35999999999</v>
      </c>
      <c r="U2206" s="19">
        <f t="shared" si="277"/>
        <v>150454.44</v>
      </c>
      <c r="V2206" s="21">
        <f t="shared" si="278"/>
        <v>-7297.9199999999837</v>
      </c>
      <c r="W2206" s="18">
        <f t="shared" si="279"/>
        <v>-4.6261875258157684E-2</v>
      </c>
    </row>
    <row r="2207" spans="1:23" x14ac:dyDescent="0.3">
      <c r="A2207" t="s">
        <v>453</v>
      </c>
      <c r="B2207" t="s">
        <v>805</v>
      </c>
      <c r="C2207" t="s">
        <v>50</v>
      </c>
      <c r="D2207" t="s">
        <v>20</v>
      </c>
      <c r="E2207">
        <v>3642</v>
      </c>
      <c r="F2207">
        <v>160.13999999999999</v>
      </c>
      <c r="G2207">
        <v>171.09</v>
      </c>
      <c r="H2207">
        <v>160.13999999999999</v>
      </c>
      <c r="I2207">
        <v>668</v>
      </c>
      <c r="J2207">
        <v>12</v>
      </c>
      <c r="K2207" s="17">
        <f t="shared" si="273"/>
        <v>267.2</v>
      </c>
      <c r="L2207" t="str">
        <f t="shared" si="274"/>
        <v>Sufficuent Stock</v>
      </c>
      <c r="P2207" s="19">
        <f t="shared" si="275"/>
        <v>0</v>
      </c>
      <c r="R2207" s="19">
        <f t="shared" si="272"/>
        <v>0</v>
      </c>
      <c r="T2207" s="19">
        <f t="shared" si="276"/>
        <v>114288.12</v>
      </c>
      <c r="U2207" s="19">
        <f t="shared" si="277"/>
        <v>106973.51999999999</v>
      </c>
      <c r="V2207" s="21">
        <f t="shared" si="278"/>
        <v>-7314.6000000000058</v>
      </c>
      <c r="W2207" s="18">
        <f t="shared" si="279"/>
        <v>-6.4001402770471741E-2</v>
      </c>
    </row>
    <row r="2208" spans="1:23" x14ac:dyDescent="0.3">
      <c r="A2208" t="s">
        <v>308</v>
      </c>
      <c r="B2208" t="s">
        <v>3351</v>
      </c>
      <c r="C2208" t="s">
        <v>16</v>
      </c>
      <c r="D2208" t="s">
        <v>26</v>
      </c>
      <c r="E2208">
        <v>3644</v>
      </c>
      <c r="F2208">
        <v>204.92</v>
      </c>
      <c r="G2208">
        <v>193.08</v>
      </c>
      <c r="H2208">
        <v>204.92</v>
      </c>
      <c r="I2208">
        <v>356</v>
      </c>
      <c r="J2208">
        <v>51</v>
      </c>
      <c r="K2208" s="17">
        <f t="shared" si="273"/>
        <v>605.20000000000005</v>
      </c>
      <c r="L2208" t="str">
        <f t="shared" si="274"/>
        <v>Sufficuent Stock</v>
      </c>
      <c r="P2208" s="19">
        <f t="shared" si="275"/>
        <v>0</v>
      </c>
      <c r="R2208" s="19">
        <f t="shared" si="272"/>
        <v>0</v>
      </c>
      <c r="T2208" s="19">
        <f t="shared" si="276"/>
        <v>68736.48000000001</v>
      </c>
      <c r="U2208" s="19">
        <f t="shared" si="277"/>
        <v>72951.51999999999</v>
      </c>
      <c r="V2208" s="21">
        <f t="shared" si="278"/>
        <v>4215.039999999979</v>
      </c>
      <c r="W2208" s="18">
        <f t="shared" si="279"/>
        <v>6.1321731924590527E-2</v>
      </c>
    </row>
    <row r="2209" spans="1:23" x14ac:dyDescent="0.3">
      <c r="A2209" t="s">
        <v>14</v>
      </c>
      <c r="B2209" t="s">
        <v>1884</v>
      </c>
      <c r="C2209" t="s">
        <v>50</v>
      </c>
      <c r="D2209" t="s">
        <v>20</v>
      </c>
      <c r="E2209">
        <v>3644</v>
      </c>
      <c r="F2209">
        <v>467.51</v>
      </c>
      <c r="G2209">
        <v>491.51</v>
      </c>
      <c r="H2209">
        <v>467.51</v>
      </c>
      <c r="I2209">
        <v>1932</v>
      </c>
      <c r="J2209">
        <v>77</v>
      </c>
      <c r="K2209" s="17">
        <f t="shared" si="273"/>
        <v>4958.8</v>
      </c>
      <c r="L2209" t="str">
        <f t="shared" si="274"/>
        <v>High Risk</v>
      </c>
      <c r="P2209" s="19">
        <f t="shared" si="275"/>
        <v>1315</v>
      </c>
      <c r="R2209" s="19">
        <f t="shared" si="272"/>
        <v>614775.65</v>
      </c>
      <c r="T2209" s="19">
        <f t="shared" si="276"/>
        <v>949597.32</v>
      </c>
      <c r="U2209" s="19">
        <f t="shared" si="277"/>
        <v>903229.32</v>
      </c>
      <c r="V2209" s="21">
        <f t="shared" si="278"/>
        <v>-46368</v>
      </c>
      <c r="W2209" s="18">
        <f t="shared" si="279"/>
        <v>-4.8829118430957663E-2</v>
      </c>
    </row>
    <row r="2210" spans="1:23" x14ac:dyDescent="0.3">
      <c r="A2210" t="s">
        <v>1148</v>
      </c>
      <c r="B2210" t="s">
        <v>1278</v>
      </c>
      <c r="C2210" t="s">
        <v>16</v>
      </c>
      <c r="D2210" t="s">
        <v>26</v>
      </c>
      <c r="E2210">
        <v>3644</v>
      </c>
      <c r="F2210">
        <v>187.2</v>
      </c>
      <c r="G2210">
        <v>171.71</v>
      </c>
      <c r="H2210">
        <v>187.2</v>
      </c>
      <c r="I2210">
        <v>898</v>
      </c>
      <c r="J2210">
        <v>58</v>
      </c>
      <c r="K2210" s="17">
        <f t="shared" si="273"/>
        <v>1736.1333333333334</v>
      </c>
      <c r="L2210" t="str">
        <f t="shared" si="274"/>
        <v>Sufficuent Stock</v>
      </c>
      <c r="P2210" s="19">
        <f t="shared" si="275"/>
        <v>0</v>
      </c>
      <c r="R2210" s="19">
        <f t="shared" si="272"/>
        <v>0</v>
      </c>
      <c r="T2210" s="19">
        <f t="shared" si="276"/>
        <v>154195.58000000002</v>
      </c>
      <c r="U2210" s="19">
        <f t="shared" si="277"/>
        <v>168105.59999999998</v>
      </c>
      <c r="V2210" s="21">
        <f t="shared" si="278"/>
        <v>13910.01999999996</v>
      </c>
      <c r="W2210" s="18">
        <f t="shared" si="279"/>
        <v>9.0210238192300701E-2</v>
      </c>
    </row>
    <row r="2211" spans="1:23" x14ac:dyDescent="0.3">
      <c r="A2211" t="s">
        <v>605</v>
      </c>
      <c r="B2211" t="s">
        <v>2915</v>
      </c>
      <c r="C2211" t="s">
        <v>23</v>
      </c>
      <c r="D2211" t="s">
        <v>17</v>
      </c>
      <c r="E2211">
        <v>3646</v>
      </c>
      <c r="F2211">
        <v>242.1</v>
      </c>
      <c r="G2211">
        <v>241.43</v>
      </c>
      <c r="H2211">
        <v>242.1</v>
      </c>
      <c r="I2211">
        <v>2168</v>
      </c>
      <c r="J2211">
        <v>90</v>
      </c>
      <c r="K2211" s="17">
        <f t="shared" si="273"/>
        <v>6504</v>
      </c>
      <c r="L2211" t="str">
        <f t="shared" si="274"/>
        <v>High Risk</v>
      </c>
      <c r="P2211" s="19">
        <f t="shared" si="275"/>
        <v>2858</v>
      </c>
      <c r="R2211" s="19">
        <f t="shared" si="272"/>
        <v>691921.79999999993</v>
      </c>
      <c r="T2211" s="19">
        <f t="shared" si="276"/>
        <v>523420.24</v>
      </c>
      <c r="U2211" s="19">
        <f t="shared" si="277"/>
        <v>524872.79999999993</v>
      </c>
      <c r="V2211" s="21">
        <f t="shared" si="278"/>
        <v>1452.5599999999395</v>
      </c>
      <c r="W2211" s="18">
        <f t="shared" si="279"/>
        <v>2.7751315080974696E-3</v>
      </c>
    </row>
    <row r="2212" spans="1:23" x14ac:dyDescent="0.3">
      <c r="A2212" t="s">
        <v>453</v>
      </c>
      <c r="B2212" t="s">
        <v>2587</v>
      </c>
      <c r="C2212" t="s">
        <v>50</v>
      </c>
      <c r="D2212" t="s">
        <v>69</v>
      </c>
      <c r="E2212">
        <v>3649</v>
      </c>
      <c r="F2212">
        <v>513.59</v>
      </c>
      <c r="G2212">
        <v>471.87</v>
      </c>
      <c r="H2212">
        <v>513.59</v>
      </c>
      <c r="I2212">
        <v>102</v>
      </c>
      <c r="J2212">
        <v>84</v>
      </c>
      <c r="K2212" s="17">
        <f t="shared" si="273"/>
        <v>285.59999999999997</v>
      </c>
      <c r="L2212" t="str">
        <f t="shared" si="274"/>
        <v>Sufficuent Stock</v>
      </c>
      <c r="P2212" s="19">
        <f t="shared" si="275"/>
        <v>0</v>
      </c>
      <c r="R2212" s="19">
        <f t="shared" si="272"/>
        <v>0</v>
      </c>
      <c r="T2212" s="19">
        <f t="shared" si="276"/>
        <v>48130.74</v>
      </c>
      <c r="U2212" s="19">
        <f t="shared" si="277"/>
        <v>52386.18</v>
      </c>
      <c r="V2212" s="21">
        <f t="shared" si="278"/>
        <v>4255.4400000000023</v>
      </c>
      <c r="W2212" s="18">
        <f t="shared" si="279"/>
        <v>8.8414181872125852E-2</v>
      </c>
    </row>
    <row r="2213" spans="1:23" x14ac:dyDescent="0.3">
      <c r="A2213" t="s">
        <v>119</v>
      </c>
      <c r="B2213" t="s">
        <v>3304</v>
      </c>
      <c r="C2213" t="s">
        <v>37</v>
      </c>
      <c r="D2213" t="s">
        <v>17</v>
      </c>
      <c r="E2213">
        <v>3654</v>
      </c>
      <c r="F2213">
        <v>514.53</v>
      </c>
      <c r="G2213">
        <v>429.24</v>
      </c>
      <c r="H2213">
        <v>514.53</v>
      </c>
      <c r="I2213">
        <v>161</v>
      </c>
      <c r="J2213">
        <v>17</v>
      </c>
      <c r="K2213" s="17">
        <f t="shared" si="273"/>
        <v>91.23333333333332</v>
      </c>
      <c r="L2213" t="str">
        <f t="shared" si="274"/>
        <v>Sufficuent Stock</v>
      </c>
      <c r="P2213" s="19">
        <f t="shared" si="275"/>
        <v>0</v>
      </c>
      <c r="R2213" s="19">
        <f t="shared" si="272"/>
        <v>0</v>
      </c>
      <c r="T2213" s="19">
        <f t="shared" si="276"/>
        <v>69107.64</v>
      </c>
      <c r="U2213" s="19">
        <f t="shared" si="277"/>
        <v>82839.33</v>
      </c>
      <c r="V2213" s="21">
        <f t="shared" si="278"/>
        <v>13731.690000000002</v>
      </c>
      <c r="W2213" s="18">
        <f t="shared" si="279"/>
        <v>0.19870002795638808</v>
      </c>
    </row>
    <row r="2214" spans="1:23" x14ac:dyDescent="0.3">
      <c r="A2214" t="s">
        <v>1333</v>
      </c>
      <c r="B2214" t="s">
        <v>3171</v>
      </c>
      <c r="C2214" t="s">
        <v>37</v>
      </c>
      <c r="D2214" t="s">
        <v>26</v>
      </c>
      <c r="E2214">
        <v>3657</v>
      </c>
      <c r="F2214">
        <v>225.79</v>
      </c>
      <c r="G2214">
        <v>247.59</v>
      </c>
      <c r="H2214">
        <v>225.79</v>
      </c>
      <c r="I2214">
        <v>3369</v>
      </c>
      <c r="J2214">
        <v>23</v>
      </c>
      <c r="K2214" s="17">
        <f t="shared" si="273"/>
        <v>2582.9</v>
      </c>
      <c r="L2214" t="str">
        <f t="shared" si="274"/>
        <v>Sufficuent Stock</v>
      </c>
      <c r="P2214" s="19">
        <f t="shared" si="275"/>
        <v>0</v>
      </c>
      <c r="R2214" s="19">
        <f t="shared" si="272"/>
        <v>0</v>
      </c>
      <c r="T2214" s="19">
        <f t="shared" si="276"/>
        <v>834130.71</v>
      </c>
      <c r="U2214" s="19">
        <f t="shared" si="277"/>
        <v>760686.51</v>
      </c>
      <c r="V2214" s="21">
        <f t="shared" si="278"/>
        <v>-73444.199999999953</v>
      </c>
      <c r="W2214" s="18">
        <f t="shared" si="279"/>
        <v>-8.8048790338866617E-2</v>
      </c>
    </row>
    <row r="2215" spans="1:23" x14ac:dyDescent="0.3">
      <c r="A2215" t="s">
        <v>155</v>
      </c>
      <c r="B2215" t="s">
        <v>1524</v>
      </c>
      <c r="C2215" t="s">
        <v>16</v>
      </c>
      <c r="D2215" t="s">
        <v>69</v>
      </c>
      <c r="E2215">
        <v>3657</v>
      </c>
      <c r="F2215">
        <v>156.15</v>
      </c>
      <c r="G2215">
        <v>160.02000000000001</v>
      </c>
      <c r="H2215">
        <v>156.15</v>
      </c>
      <c r="I2215">
        <v>1957</v>
      </c>
      <c r="J2215">
        <v>9</v>
      </c>
      <c r="K2215" s="17">
        <f t="shared" si="273"/>
        <v>587.1</v>
      </c>
      <c r="L2215" t="str">
        <f t="shared" si="274"/>
        <v>Sufficuent Stock</v>
      </c>
      <c r="P2215" s="19">
        <f t="shared" si="275"/>
        <v>0</v>
      </c>
      <c r="R2215" s="19">
        <f t="shared" si="272"/>
        <v>0</v>
      </c>
      <c r="T2215" s="19">
        <f t="shared" si="276"/>
        <v>313159.14</v>
      </c>
      <c r="U2215" s="19">
        <f t="shared" si="277"/>
        <v>305585.55</v>
      </c>
      <c r="V2215" s="21">
        <f t="shared" si="278"/>
        <v>-7573.5900000000256</v>
      </c>
      <c r="W2215" s="18">
        <f t="shared" si="279"/>
        <v>-2.4184476940382532E-2</v>
      </c>
    </row>
    <row r="2216" spans="1:23" x14ac:dyDescent="0.3">
      <c r="A2216" t="s">
        <v>253</v>
      </c>
      <c r="B2216" t="s">
        <v>530</v>
      </c>
      <c r="C2216" t="s">
        <v>12</v>
      </c>
      <c r="D2216" t="s">
        <v>13</v>
      </c>
      <c r="E2216">
        <v>3658</v>
      </c>
      <c r="F2216">
        <v>192.14</v>
      </c>
      <c r="G2216">
        <v>190.92</v>
      </c>
      <c r="H2216">
        <v>192.14</v>
      </c>
      <c r="I2216">
        <v>1486</v>
      </c>
      <c r="J2216">
        <v>68</v>
      </c>
      <c r="K2216" s="17">
        <f t="shared" si="273"/>
        <v>3368.2666666666664</v>
      </c>
      <c r="L2216" t="str">
        <f t="shared" si="274"/>
        <v>Sufficuent Stock</v>
      </c>
      <c r="P2216" s="19">
        <f t="shared" si="275"/>
        <v>0</v>
      </c>
      <c r="R2216" s="19">
        <f t="shared" si="272"/>
        <v>0</v>
      </c>
      <c r="T2216" s="19">
        <f t="shared" si="276"/>
        <v>283707.12</v>
      </c>
      <c r="U2216" s="19">
        <f t="shared" si="277"/>
        <v>285520.03999999998</v>
      </c>
      <c r="V2216" s="21">
        <f t="shared" si="278"/>
        <v>1812.9199999999837</v>
      </c>
      <c r="W2216" s="18">
        <f t="shared" si="279"/>
        <v>6.3901110412737747E-3</v>
      </c>
    </row>
    <row r="2217" spans="1:23" x14ac:dyDescent="0.3">
      <c r="A2217" t="s">
        <v>1322</v>
      </c>
      <c r="B2217" t="s">
        <v>2508</v>
      </c>
      <c r="C2217" t="s">
        <v>50</v>
      </c>
      <c r="D2217" t="s">
        <v>69</v>
      </c>
      <c r="E2217">
        <v>3662</v>
      </c>
      <c r="F2217">
        <v>529.03</v>
      </c>
      <c r="G2217">
        <v>441.83</v>
      </c>
      <c r="H2217">
        <v>529.03</v>
      </c>
      <c r="I2217">
        <v>2583</v>
      </c>
      <c r="J2217">
        <v>88</v>
      </c>
      <c r="K2217" s="17">
        <f t="shared" si="273"/>
        <v>7576.7999999999993</v>
      </c>
      <c r="L2217" t="str">
        <f t="shared" si="274"/>
        <v>High Risk</v>
      </c>
      <c r="P2217" s="19">
        <f t="shared" si="275"/>
        <v>3915</v>
      </c>
      <c r="R2217" s="19">
        <f t="shared" si="272"/>
        <v>2071152.45</v>
      </c>
      <c r="T2217" s="19">
        <f t="shared" si="276"/>
        <v>1141246.8899999999</v>
      </c>
      <c r="U2217" s="19">
        <f t="shared" si="277"/>
        <v>1366484.49</v>
      </c>
      <c r="V2217" s="21">
        <f t="shared" si="278"/>
        <v>225237.60000000009</v>
      </c>
      <c r="W2217" s="18">
        <f t="shared" si="279"/>
        <v>0.19736097594097288</v>
      </c>
    </row>
    <row r="2218" spans="1:23" x14ac:dyDescent="0.3">
      <c r="A2218" t="s">
        <v>354</v>
      </c>
      <c r="B2218" t="s">
        <v>355</v>
      </c>
      <c r="C2218" t="s">
        <v>16</v>
      </c>
      <c r="D2218" t="s">
        <v>69</v>
      </c>
      <c r="E2218">
        <v>3663</v>
      </c>
      <c r="F2218">
        <v>195.5</v>
      </c>
      <c r="G2218">
        <v>205.17</v>
      </c>
      <c r="H2218">
        <v>195.5</v>
      </c>
      <c r="I2218">
        <v>2777</v>
      </c>
      <c r="J2218">
        <v>19</v>
      </c>
      <c r="K2218" s="17">
        <f t="shared" si="273"/>
        <v>1758.7666666666667</v>
      </c>
      <c r="L2218" t="str">
        <f t="shared" si="274"/>
        <v>Sufficuent Stock</v>
      </c>
      <c r="P2218" s="19">
        <f t="shared" si="275"/>
        <v>0</v>
      </c>
      <c r="R2218" s="19">
        <f t="shared" si="272"/>
        <v>0</v>
      </c>
      <c r="T2218" s="19">
        <f t="shared" si="276"/>
        <v>569757.09</v>
      </c>
      <c r="U2218" s="19">
        <f t="shared" si="277"/>
        <v>542903.5</v>
      </c>
      <c r="V2218" s="21">
        <f t="shared" si="278"/>
        <v>-26853.589999999967</v>
      </c>
      <c r="W2218" s="18">
        <f t="shared" si="279"/>
        <v>-4.7131646926938581E-2</v>
      </c>
    </row>
    <row r="2219" spans="1:23" x14ac:dyDescent="0.3">
      <c r="A2219" t="s">
        <v>365</v>
      </c>
      <c r="B2219" t="s">
        <v>3015</v>
      </c>
      <c r="C2219" t="s">
        <v>16</v>
      </c>
      <c r="D2219" t="s">
        <v>69</v>
      </c>
      <c r="E2219">
        <v>3665</v>
      </c>
      <c r="F2219">
        <v>364.38</v>
      </c>
      <c r="G2219">
        <v>305.11</v>
      </c>
      <c r="H2219">
        <v>364.38</v>
      </c>
      <c r="I2219">
        <v>2429</v>
      </c>
      <c r="J2219">
        <v>81</v>
      </c>
      <c r="K2219" s="17">
        <f t="shared" si="273"/>
        <v>6558.3</v>
      </c>
      <c r="L2219" t="str">
        <f t="shared" si="274"/>
        <v>High Risk</v>
      </c>
      <c r="P2219" s="19">
        <f t="shared" si="275"/>
        <v>2894</v>
      </c>
      <c r="R2219" s="19">
        <f t="shared" si="272"/>
        <v>1054515.72</v>
      </c>
      <c r="T2219" s="19">
        <f t="shared" si="276"/>
        <v>741112.19000000006</v>
      </c>
      <c r="U2219" s="19">
        <f t="shared" si="277"/>
        <v>885079.02</v>
      </c>
      <c r="V2219" s="21">
        <f t="shared" si="278"/>
        <v>143966.82999999996</v>
      </c>
      <c r="W2219" s="18">
        <f t="shared" si="279"/>
        <v>0.19425780865917203</v>
      </c>
    </row>
    <row r="2220" spans="1:23" x14ac:dyDescent="0.3">
      <c r="A2220" t="s">
        <v>642</v>
      </c>
      <c r="B2220" t="s">
        <v>2483</v>
      </c>
      <c r="C2220" t="s">
        <v>16</v>
      </c>
      <c r="D2220" t="s">
        <v>69</v>
      </c>
      <c r="E2220">
        <v>3666</v>
      </c>
      <c r="F2220">
        <v>533.79</v>
      </c>
      <c r="G2220">
        <v>465.83</v>
      </c>
      <c r="H2220">
        <v>533.79</v>
      </c>
      <c r="I2220">
        <v>102</v>
      </c>
      <c r="J2220">
        <v>15</v>
      </c>
      <c r="K2220" s="17">
        <f t="shared" si="273"/>
        <v>51</v>
      </c>
      <c r="L2220" t="str">
        <f t="shared" si="274"/>
        <v>Sufficuent Stock</v>
      </c>
      <c r="P2220" s="19">
        <f t="shared" si="275"/>
        <v>0</v>
      </c>
      <c r="R2220" s="19">
        <f t="shared" si="272"/>
        <v>0</v>
      </c>
      <c r="T2220" s="19">
        <f t="shared" si="276"/>
        <v>47514.659999999996</v>
      </c>
      <c r="U2220" s="19">
        <f t="shared" si="277"/>
        <v>54446.579999999994</v>
      </c>
      <c r="V2220" s="21">
        <f t="shared" si="278"/>
        <v>6931.9199999999983</v>
      </c>
      <c r="W2220" s="18">
        <f t="shared" si="279"/>
        <v>0.1458901315930704</v>
      </c>
    </row>
    <row r="2221" spans="1:23" x14ac:dyDescent="0.3">
      <c r="A2221" t="s">
        <v>380</v>
      </c>
      <c r="B2221" t="s">
        <v>502</v>
      </c>
      <c r="C2221" t="s">
        <v>12</v>
      </c>
      <c r="D2221" t="s">
        <v>20</v>
      </c>
      <c r="E2221">
        <v>3668</v>
      </c>
      <c r="F2221">
        <v>507.43</v>
      </c>
      <c r="G2221">
        <v>440.71</v>
      </c>
      <c r="H2221">
        <v>507.43</v>
      </c>
      <c r="I2221">
        <v>3498</v>
      </c>
      <c r="J2221">
        <v>14</v>
      </c>
      <c r="K2221" s="17">
        <f t="shared" si="273"/>
        <v>1632.3999999999999</v>
      </c>
      <c r="L2221" t="str">
        <f t="shared" si="274"/>
        <v>Sufficuent Stock</v>
      </c>
      <c r="P2221" s="19">
        <f t="shared" si="275"/>
        <v>0</v>
      </c>
      <c r="R2221" s="19">
        <f t="shared" si="272"/>
        <v>0</v>
      </c>
      <c r="T2221" s="19">
        <f t="shared" si="276"/>
        <v>1541603.5799999998</v>
      </c>
      <c r="U2221" s="19">
        <f t="shared" si="277"/>
        <v>1774990.1400000001</v>
      </c>
      <c r="V2221" s="21">
        <f t="shared" si="278"/>
        <v>233386.56000000029</v>
      </c>
      <c r="W2221" s="18">
        <f t="shared" si="279"/>
        <v>0.15139207188400555</v>
      </c>
    </row>
    <row r="2222" spans="1:23" x14ac:dyDescent="0.3">
      <c r="A2222" t="s">
        <v>365</v>
      </c>
      <c r="B2222" t="s">
        <v>366</v>
      </c>
      <c r="C2222" t="s">
        <v>50</v>
      </c>
      <c r="D2222" t="s">
        <v>26</v>
      </c>
      <c r="E2222">
        <v>3670</v>
      </c>
      <c r="F2222">
        <v>511.51</v>
      </c>
      <c r="G2222">
        <v>496.86</v>
      </c>
      <c r="H2222">
        <v>511.51</v>
      </c>
      <c r="I2222">
        <v>1071</v>
      </c>
      <c r="J2222">
        <v>74</v>
      </c>
      <c r="K2222" s="17">
        <f t="shared" si="273"/>
        <v>2641.8</v>
      </c>
      <c r="L2222" t="str">
        <f t="shared" si="274"/>
        <v>Sufficuent Stock</v>
      </c>
      <c r="P2222" s="19">
        <f t="shared" si="275"/>
        <v>0</v>
      </c>
      <c r="R2222" s="19">
        <f t="shared" si="272"/>
        <v>0</v>
      </c>
      <c r="T2222" s="19">
        <f t="shared" si="276"/>
        <v>532137.06000000006</v>
      </c>
      <c r="U2222" s="19">
        <f t="shared" si="277"/>
        <v>547827.21</v>
      </c>
      <c r="V2222" s="21">
        <f t="shared" si="278"/>
        <v>15690.149999999907</v>
      </c>
      <c r="W2222" s="18">
        <f t="shared" si="279"/>
        <v>2.9485166847804032E-2</v>
      </c>
    </row>
    <row r="2223" spans="1:23" x14ac:dyDescent="0.3">
      <c r="A2223" t="s">
        <v>40</v>
      </c>
      <c r="B2223" t="s">
        <v>1236</v>
      </c>
      <c r="C2223" t="s">
        <v>12</v>
      </c>
      <c r="D2223" t="s">
        <v>20</v>
      </c>
      <c r="E2223">
        <v>3671</v>
      </c>
      <c r="F2223">
        <v>32.130000000000003</v>
      </c>
      <c r="G2223">
        <v>29.06</v>
      </c>
      <c r="H2223">
        <v>32.130000000000003</v>
      </c>
      <c r="I2223">
        <v>128</v>
      </c>
      <c r="J2223">
        <v>61</v>
      </c>
      <c r="K2223" s="17">
        <f t="shared" si="273"/>
        <v>260.26666666666665</v>
      </c>
      <c r="L2223" t="str">
        <f t="shared" si="274"/>
        <v>Sufficuent Stock</v>
      </c>
      <c r="P2223" s="19">
        <f t="shared" si="275"/>
        <v>0</v>
      </c>
      <c r="R2223" s="19">
        <f t="shared" si="272"/>
        <v>0</v>
      </c>
      <c r="T2223" s="19">
        <f t="shared" si="276"/>
        <v>3719.68</v>
      </c>
      <c r="U2223" s="19">
        <f t="shared" si="277"/>
        <v>4112.6400000000003</v>
      </c>
      <c r="V2223" s="21">
        <f t="shared" si="278"/>
        <v>392.96000000000049</v>
      </c>
      <c r="W2223" s="18">
        <f t="shared" si="279"/>
        <v>0.10564349621472828</v>
      </c>
    </row>
    <row r="2224" spans="1:23" x14ac:dyDescent="0.3">
      <c r="A2224" t="s">
        <v>480</v>
      </c>
      <c r="B2224" t="s">
        <v>481</v>
      </c>
      <c r="C2224" t="s">
        <v>23</v>
      </c>
      <c r="D2224" t="s">
        <v>26</v>
      </c>
      <c r="E2224">
        <v>3672</v>
      </c>
      <c r="F2224">
        <v>515.66</v>
      </c>
      <c r="G2224">
        <v>474.04</v>
      </c>
      <c r="H2224">
        <v>515.66</v>
      </c>
      <c r="I2224">
        <v>991</v>
      </c>
      <c r="J2224">
        <v>79</v>
      </c>
      <c r="K2224" s="17">
        <f t="shared" si="273"/>
        <v>2609.6333333333332</v>
      </c>
      <c r="L2224" t="str">
        <f t="shared" si="274"/>
        <v>Sufficuent Stock</v>
      </c>
      <c r="P2224" s="19">
        <f t="shared" si="275"/>
        <v>0</v>
      </c>
      <c r="R2224" s="19">
        <f t="shared" si="272"/>
        <v>0</v>
      </c>
      <c r="T2224" s="19">
        <f t="shared" si="276"/>
        <v>469773.64</v>
      </c>
      <c r="U2224" s="19">
        <f t="shared" si="277"/>
        <v>511019.05999999994</v>
      </c>
      <c r="V2224" s="21">
        <f t="shared" si="278"/>
        <v>41245.419999999925</v>
      </c>
      <c r="W2224" s="18">
        <f t="shared" si="279"/>
        <v>8.7798498017044813E-2</v>
      </c>
    </row>
    <row r="2225" spans="1:23" x14ac:dyDescent="0.3">
      <c r="A2225" t="s">
        <v>380</v>
      </c>
      <c r="B2225" t="s">
        <v>1899</v>
      </c>
      <c r="C2225" t="s">
        <v>37</v>
      </c>
      <c r="D2225" t="s">
        <v>17</v>
      </c>
      <c r="E2225">
        <v>3675</v>
      </c>
      <c r="F2225">
        <v>147.05000000000001</v>
      </c>
      <c r="G2225">
        <v>161.63999999999999</v>
      </c>
      <c r="H2225">
        <v>147.05000000000001</v>
      </c>
      <c r="I2225">
        <v>3142</v>
      </c>
      <c r="J2225">
        <v>21</v>
      </c>
      <c r="K2225" s="17">
        <f t="shared" si="273"/>
        <v>2199.4</v>
      </c>
      <c r="L2225" t="str">
        <f t="shared" si="274"/>
        <v>Sufficuent Stock</v>
      </c>
      <c r="P2225" s="19">
        <f t="shared" si="275"/>
        <v>0</v>
      </c>
      <c r="R2225" s="19">
        <f t="shared" si="272"/>
        <v>0</v>
      </c>
      <c r="T2225" s="19">
        <f t="shared" si="276"/>
        <v>507872.87999999995</v>
      </c>
      <c r="U2225" s="19">
        <f t="shared" si="277"/>
        <v>462031.10000000003</v>
      </c>
      <c r="V2225" s="21">
        <f t="shared" si="278"/>
        <v>-45841.779999999912</v>
      </c>
      <c r="W2225" s="18">
        <f t="shared" si="279"/>
        <v>-9.0262311309081744E-2</v>
      </c>
    </row>
    <row r="2226" spans="1:23" x14ac:dyDescent="0.3">
      <c r="A2226" t="s">
        <v>1531</v>
      </c>
      <c r="B2226" t="s">
        <v>1532</v>
      </c>
      <c r="C2226" t="s">
        <v>16</v>
      </c>
      <c r="D2226" t="s">
        <v>26</v>
      </c>
      <c r="E2226">
        <v>3677</v>
      </c>
      <c r="F2226">
        <v>98.25</v>
      </c>
      <c r="G2226">
        <v>90.54</v>
      </c>
      <c r="H2226">
        <v>98.25</v>
      </c>
      <c r="I2226">
        <v>1032</v>
      </c>
      <c r="J2226">
        <v>15</v>
      </c>
      <c r="K2226" s="17">
        <f t="shared" si="273"/>
        <v>516</v>
      </c>
      <c r="L2226" t="str">
        <f t="shared" si="274"/>
        <v>Sufficuent Stock</v>
      </c>
      <c r="P2226" s="19">
        <f t="shared" si="275"/>
        <v>0</v>
      </c>
      <c r="R2226" s="19">
        <f t="shared" si="272"/>
        <v>0</v>
      </c>
      <c r="T2226" s="19">
        <f t="shared" si="276"/>
        <v>93437.280000000013</v>
      </c>
      <c r="U2226" s="19">
        <f t="shared" si="277"/>
        <v>101394</v>
      </c>
      <c r="V2226" s="21">
        <f t="shared" si="278"/>
        <v>7956.7199999999866</v>
      </c>
      <c r="W2226" s="18">
        <f t="shared" si="279"/>
        <v>8.5155732273028334E-2</v>
      </c>
    </row>
    <row r="2227" spans="1:23" x14ac:dyDescent="0.3">
      <c r="A2227" t="s">
        <v>323</v>
      </c>
      <c r="B2227" t="s">
        <v>3276</v>
      </c>
      <c r="C2227" t="s">
        <v>37</v>
      </c>
      <c r="D2227" t="s">
        <v>17</v>
      </c>
      <c r="E2227">
        <v>3677</v>
      </c>
      <c r="F2227">
        <v>423.02</v>
      </c>
      <c r="G2227">
        <v>402.38</v>
      </c>
      <c r="H2227">
        <v>423.02</v>
      </c>
      <c r="I2227">
        <v>1918</v>
      </c>
      <c r="J2227">
        <v>55</v>
      </c>
      <c r="K2227" s="17">
        <f t="shared" si="273"/>
        <v>3516.333333333333</v>
      </c>
      <c r="L2227" t="str">
        <f t="shared" si="274"/>
        <v>Sufficuent Stock</v>
      </c>
      <c r="P2227" s="19">
        <f t="shared" si="275"/>
        <v>0</v>
      </c>
      <c r="R2227" s="19">
        <f t="shared" si="272"/>
        <v>0</v>
      </c>
      <c r="T2227" s="19">
        <f t="shared" si="276"/>
        <v>771764.84</v>
      </c>
      <c r="U2227" s="19">
        <f t="shared" si="277"/>
        <v>811352.36</v>
      </c>
      <c r="V2227" s="21">
        <f t="shared" si="278"/>
        <v>39587.520000000019</v>
      </c>
      <c r="W2227" s="18">
        <f t="shared" si="279"/>
        <v>5.1294795964014143E-2</v>
      </c>
    </row>
    <row r="2228" spans="1:23" x14ac:dyDescent="0.3">
      <c r="A2228" t="s">
        <v>145</v>
      </c>
      <c r="B2228" t="s">
        <v>146</v>
      </c>
      <c r="C2228" t="s">
        <v>50</v>
      </c>
      <c r="D2228" t="s">
        <v>26</v>
      </c>
      <c r="E2228">
        <v>3680</v>
      </c>
      <c r="F2228">
        <v>391.8</v>
      </c>
      <c r="G2228">
        <v>382.36</v>
      </c>
      <c r="H2228">
        <v>391.8</v>
      </c>
      <c r="I2228">
        <v>402</v>
      </c>
      <c r="J2228">
        <v>63</v>
      </c>
      <c r="K2228" s="17">
        <f t="shared" si="273"/>
        <v>844.2</v>
      </c>
      <c r="L2228" t="str">
        <f t="shared" si="274"/>
        <v>Sufficuent Stock</v>
      </c>
      <c r="P2228" s="19">
        <f t="shared" si="275"/>
        <v>0</v>
      </c>
      <c r="R2228" s="19">
        <f t="shared" si="272"/>
        <v>0</v>
      </c>
      <c r="T2228" s="19">
        <f t="shared" si="276"/>
        <v>153708.72</v>
      </c>
      <c r="U2228" s="19">
        <f t="shared" si="277"/>
        <v>157503.6</v>
      </c>
      <c r="V2228" s="21">
        <f t="shared" si="278"/>
        <v>3794.8800000000047</v>
      </c>
      <c r="W2228" s="18">
        <f t="shared" si="279"/>
        <v>2.4688774976462002E-2</v>
      </c>
    </row>
    <row r="2229" spans="1:23" x14ac:dyDescent="0.3">
      <c r="A2229" t="s">
        <v>876</v>
      </c>
      <c r="B2229" t="s">
        <v>2267</v>
      </c>
      <c r="C2229" t="s">
        <v>12</v>
      </c>
      <c r="D2229" t="s">
        <v>26</v>
      </c>
      <c r="E2229">
        <v>3680</v>
      </c>
      <c r="F2229">
        <v>240.61</v>
      </c>
      <c r="G2229">
        <v>247.45</v>
      </c>
      <c r="H2229">
        <v>240.61</v>
      </c>
      <c r="I2229">
        <v>3290</v>
      </c>
      <c r="J2229">
        <v>24</v>
      </c>
      <c r="K2229" s="17">
        <f t="shared" si="273"/>
        <v>2632</v>
      </c>
      <c r="L2229" t="str">
        <f t="shared" si="274"/>
        <v>Sufficuent Stock</v>
      </c>
      <c r="P2229" s="19">
        <f t="shared" si="275"/>
        <v>0</v>
      </c>
      <c r="R2229" s="19">
        <f t="shared" si="272"/>
        <v>0</v>
      </c>
      <c r="T2229" s="19">
        <f t="shared" si="276"/>
        <v>814110.5</v>
      </c>
      <c r="U2229" s="19">
        <f t="shared" si="277"/>
        <v>791606.9</v>
      </c>
      <c r="V2229" s="21">
        <f t="shared" si="278"/>
        <v>-22503.599999999977</v>
      </c>
      <c r="W2229" s="18">
        <f t="shared" si="279"/>
        <v>-2.7641947868256186E-2</v>
      </c>
    </row>
    <row r="2230" spans="1:23" x14ac:dyDescent="0.3">
      <c r="A2230" t="s">
        <v>382</v>
      </c>
      <c r="B2230" t="s">
        <v>1614</v>
      </c>
      <c r="C2230" t="s">
        <v>37</v>
      </c>
      <c r="D2230" t="s">
        <v>13</v>
      </c>
      <c r="E2230">
        <v>3681</v>
      </c>
      <c r="F2230">
        <v>431.35</v>
      </c>
      <c r="G2230">
        <v>402.3</v>
      </c>
      <c r="H2230">
        <v>431.35</v>
      </c>
      <c r="I2230">
        <v>1797</v>
      </c>
      <c r="J2230">
        <v>41</v>
      </c>
      <c r="K2230" s="17">
        <f t="shared" si="273"/>
        <v>2455.9</v>
      </c>
      <c r="L2230" t="str">
        <f t="shared" si="274"/>
        <v>Sufficuent Stock</v>
      </c>
      <c r="P2230" s="19">
        <f t="shared" si="275"/>
        <v>0</v>
      </c>
      <c r="R2230" s="19">
        <f t="shared" si="272"/>
        <v>0</v>
      </c>
      <c r="T2230" s="19">
        <f t="shared" si="276"/>
        <v>722933.1</v>
      </c>
      <c r="U2230" s="19">
        <f t="shared" si="277"/>
        <v>775135.95000000007</v>
      </c>
      <c r="V2230" s="21">
        <f t="shared" si="278"/>
        <v>52202.850000000093</v>
      </c>
      <c r="W2230" s="18">
        <f t="shared" si="279"/>
        <v>7.2209793686303883E-2</v>
      </c>
    </row>
    <row r="2231" spans="1:23" x14ac:dyDescent="0.3">
      <c r="A2231" t="s">
        <v>380</v>
      </c>
      <c r="B2231" t="s">
        <v>2148</v>
      </c>
      <c r="C2231" t="s">
        <v>23</v>
      </c>
      <c r="D2231" t="s">
        <v>13</v>
      </c>
      <c r="E2231">
        <v>3682</v>
      </c>
      <c r="F2231">
        <v>292.18</v>
      </c>
      <c r="G2231">
        <v>258.58</v>
      </c>
      <c r="H2231">
        <v>292.18</v>
      </c>
      <c r="I2231">
        <v>1825</v>
      </c>
      <c r="J2231">
        <v>64</v>
      </c>
      <c r="K2231" s="17">
        <f t="shared" si="273"/>
        <v>3893.3333333333335</v>
      </c>
      <c r="L2231" t="str">
        <f t="shared" si="274"/>
        <v>High Risk</v>
      </c>
      <c r="P2231" s="19">
        <f t="shared" si="275"/>
        <v>212</v>
      </c>
      <c r="R2231" s="19">
        <f t="shared" si="272"/>
        <v>61942.16</v>
      </c>
      <c r="T2231" s="19">
        <f t="shared" si="276"/>
        <v>471908.5</v>
      </c>
      <c r="U2231" s="19">
        <f t="shared" si="277"/>
        <v>533228.5</v>
      </c>
      <c r="V2231" s="21">
        <f t="shared" si="278"/>
        <v>61320</v>
      </c>
      <c r="W2231" s="18">
        <f t="shared" si="279"/>
        <v>0.12994044396318355</v>
      </c>
    </row>
    <row r="2232" spans="1:23" x14ac:dyDescent="0.3">
      <c r="A2232" t="s">
        <v>923</v>
      </c>
      <c r="B2232" t="s">
        <v>924</v>
      </c>
      <c r="C2232" t="s">
        <v>16</v>
      </c>
      <c r="D2232" t="s">
        <v>17</v>
      </c>
      <c r="E2232">
        <v>3685</v>
      </c>
      <c r="F2232">
        <v>211.35</v>
      </c>
      <c r="G2232">
        <v>180.7</v>
      </c>
      <c r="H2232">
        <v>211.35</v>
      </c>
      <c r="I2232">
        <v>3086</v>
      </c>
      <c r="J2232">
        <v>67</v>
      </c>
      <c r="K2232" s="17">
        <f t="shared" si="273"/>
        <v>6892.0666666666666</v>
      </c>
      <c r="L2232" t="str">
        <f t="shared" si="274"/>
        <v>High Risk</v>
      </c>
      <c r="P2232" s="19">
        <f t="shared" si="275"/>
        <v>3208</v>
      </c>
      <c r="R2232" s="19">
        <f t="shared" si="272"/>
        <v>678010.79999999993</v>
      </c>
      <c r="T2232" s="19">
        <f t="shared" si="276"/>
        <v>557640.19999999995</v>
      </c>
      <c r="U2232" s="19">
        <f t="shared" si="277"/>
        <v>652226.1</v>
      </c>
      <c r="V2232" s="21">
        <f t="shared" si="278"/>
        <v>94585.900000000023</v>
      </c>
      <c r="W2232" s="18">
        <f t="shared" si="279"/>
        <v>0.16961815163254018</v>
      </c>
    </row>
    <row r="2233" spans="1:23" x14ac:dyDescent="0.3">
      <c r="A2233" t="s">
        <v>455</v>
      </c>
      <c r="B2233" t="s">
        <v>1464</v>
      </c>
      <c r="C2233" t="s">
        <v>37</v>
      </c>
      <c r="D2233" t="s">
        <v>20</v>
      </c>
      <c r="E2233">
        <v>3687</v>
      </c>
      <c r="F2233">
        <v>132.65</v>
      </c>
      <c r="G2233">
        <v>125</v>
      </c>
      <c r="H2233">
        <v>132.65</v>
      </c>
      <c r="I2233">
        <v>3514</v>
      </c>
      <c r="J2233">
        <v>25</v>
      </c>
      <c r="K2233" s="17">
        <f t="shared" si="273"/>
        <v>2928.3333333333335</v>
      </c>
      <c r="L2233" t="str">
        <f t="shared" si="274"/>
        <v>Sufficuent Stock</v>
      </c>
      <c r="P2233" s="19">
        <f t="shared" si="275"/>
        <v>0</v>
      </c>
      <c r="R2233" s="19">
        <f t="shared" si="272"/>
        <v>0</v>
      </c>
      <c r="T2233" s="19">
        <f t="shared" si="276"/>
        <v>439250</v>
      </c>
      <c r="U2233" s="19">
        <f t="shared" si="277"/>
        <v>466132.10000000003</v>
      </c>
      <c r="V2233" s="21">
        <f t="shared" si="278"/>
        <v>26882.100000000035</v>
      </c>
      <c r="W2233" s="18">
        <f t="shared" si="279"/>
        <v>6.1200000000000081E-2</v>
      </c>
    </row>
    <row r="2234" spans="1:23" x14ac:dyDescent="0.3">
      <c r="A2234" t="s">
        <v>306</v>
      </c>
      <c r="B2234" t="s">
        <v>2927</v>
      </c>
      <c r="C2234" t="s">
        <v>16</v>
      </c>
      <c r="D2234" t="s">
        <v>69</v>
      </c>
      <c r="E2234">
        <v>3689</v>
      </c>
      <c r="F2234">
        <v>83.79</v>
      </c>
      <c r="G2234">
        <v>79.8</v>
      </c>
      <c r="H2234">
        <v>83.79</v>
      </c>
      <c r="I2234">
        <v>2784</v>
      </c>
      <c r="J2234">
        <v>90</v>
      </c>
      <c r="K2234" s="17">
        <f t="shared" si="273"/>
        <v>8352</v>
      </c>
      <c r="L2234" t="str">
        <f t="shared" si="274"/>
        <v>High Risk</v>
      </c>
      <c r="P2234" s="19">
        <f t="shared" si="275"/>
        <v>4663</v>
      </c>
      <c r="R2234" s="19">
        <f t="shared" si="272"/>
        <v>390712.77</v>
      </c>
      <c r="T2234" s="19">
        <f t="shared" si="276"/>
        <v>222163.19999999998</v>
      </c>
      <c r="U2234" s="19">
        <f t="shared" si="277"/>
        <v>233271.36000000002</v>
      </c>
      <c r="V2234" s="21">
        <f t="shared" si="278"/>
        <v>11108.160000000033</v>
      </c>
      <c r="W2234" s="18">
        <f t="shared" si="279"/>
        <v>5.0000000000000148E-2</v>
      </c>
    </row>
    <row r="2235" spans="1:23" x14ac:dyDescent="0.3">
      <c r="A2235" t="s">
        <v>597</v>
      </c>
      <c r="B2235" t="s">
        <v>1919</v>
      </c>
      <c r="C2235" t="s">
        <v>16</v>
      </c>
      <c r="D2235" t="s">
        <v>69</v>
      </c>
      <c r="E2235">
        <v>3690</v>
      </c>
      <c r="F2235">
        <v>25.19</v>
      </c>
      <c r="G2235">
        <v>22.87</v>
      </c>
      <c r="H2235">
        <v>25.19</v>
      </c>
      <c r="I2235">
        <v>1517</v>
      </c>
      <c r="J2235">
        <v>82</v>
      </c>
      <c r="K2235" s="17">
        <f t="shared" si="273"/>
        <v>4146.4666666666672</v>
      </c>
      <c r="L2235" t="str">
        <f t="shared" si="274"/>
        <v>High Risk</v>
      </c>
      <c r="P2235" s="19">
        <f t="shared" si="275"/>
        <v>457</v>
      </c>
      <c r="R2235" s="19">
        <f t="shared" si="272"/>
        <v>11511.83</v>
      </c>
      <c r="T2235" s="19">
        <f t="shared" si="276"/>
        <v>34693.79</v>
      </c>
      <c r="U2235" s="19">
        <f t="shared" si="277"/>
        <v>38213.230000000003</v>
      </c>
      <c r="V2235" s="21">
        <f t="shared" si="278"/>
        <v>3519.4400000000023</v>
      </c>
      <c r="W2235" s="18">
        <f t="shared" si="279"/>
        <v>0.10144293834717978</v>
      </c>
    </row>
    <row r="2236" spans="1:23" x14ac:dyDescent="0.3">
      <c r="A2236" t="s">
        <v>188</v>
      </c>
      <c r="B2236" t="s">
        <v>3102</v>
      </c>
      <c r="C2236" t="s">
        <v>16</v>
      </c>
      <c r="D2236" t="s">
        <v>17</v>
      </c>
      <c r="E2236">
        <v>3692</v>
      </c>
      <c r="F2236">
        <v>96.45</v>
      </c>
      <c r="G2236">
        <v>81.37</v>
      </c>
      <c r="H2236">
        <v>96.45</v>
      </c>
      <c r="I2236">
        <v>2555</v>
      </c>
      <c r="J2236">
        <v>19</v>
      </c>
      <c r="K2236" s="17">
        <f t="shared" si="273"/>
        <v>1618.1666666666667</v>
      </c>
      <c r="L2236" t="str">
        <f t="shared" si="274"/>
        <v>Sufficuent Stock</v>
      </c>
      <c r="P2236" s="19">
        <f t="shared" si="275"/>
        <v>0</v>
      </c>
      <c r="R2236" s="19">
        <f t="shared" si="272"/>
        <v>0</v>
      </c>
      <c r="T2236" s="19">
        <f t="shared" si="276"/>
        <v>207900.35</v>
      </c>
      <c r="U2236" s="19">
        <f t="shared" si="277"/>
        <v>246429.75</v>
      </c>
      <c r="V2236" s="21">
        <f t="shared" si="278"/>
        <v>38529.399999999994</v>
      </c>
      <c r="W2236" s="18">
        <f t="shared" si="279"/>
        <v>0.18532628732948259</v>
      </c>
    </row>
    <row r="2237" spans="1:23" x14ac:dyDescent="0.3">
      <c r="A2237" t="s">
        <v>298</v>
      </c>
      <c r="B2237" t="s">
        <v>994</v>
      </c>
      <c r="C2237" t="s">
        <v>12</v>
      </c>
      <c r="D2237" t="s">
        <v>13</v>
      </c>
      <c r="E2237">
        <v>3692</v>
      </c>
      <c r="F2237">
        <v>105.55</v>
      </c>
      <c r="G2237">
        <v>110.32</v>
      </c>
      <c r="H2237">
        <v>105.55</v>
      </c>
      <c r="I2237">
        <v>656</v>
      </c>
      <c r="J2237">
        <v>87</v>
      </c>
      <c r="K2237" s="17">
        <f t="shared" si="273"/>
        <v>1902.4</v>
      </c>
      <c r="L2237" t="str">
        <f t="shared" si="274"/>
        <v>Sufficuent Stock</v>
      </c>
      <c r="P2237" s="19">
        <f t="shared" si="275"/>
        <v>0</v>
      </c>
      <c r="R2237" s="19">
        <f t="shared" si="272"/>
        <v>0</v>
      </c>
      <c r="T2237" s="19">
        <f t="shared" si="276"/>
        <v>72369.919999999998</v>
      </c>
      <c r="U2237" s="19">
        <f t="shared" si="277"/>
        <v>69240.800000000003</v>
      </c>
      <c r="V2237" s="21">
        <f t="shared" si="278"/>
        <v>-3129.1199999999953</v>
      </c>
      <c r="W2237" s="18">
        <f t="shared" si="279"/>
        <v>-4.3237853517041271E-2</v>
      </c>
    </row>
    <row r="2238" spans="1:23" x14ac:dyDescent="0.3">
      <c r="A2238" t="s">
        <v>365</v>
      </c>
      <c r="B2238" t="s">
        <v>2716</v>
      </c>
      <c r="C2238" t="s">
        <v>23</v>
      </c>
      <c r="D2238" t="s">
        <v>13</v>
      </c>
      <c r="E2238">
        <v>3693</v>
      </c>
      <c r="F2238">
        <v>394.09</v>
      </c>
      <c r="G2238">
        <v>352.8</v>
      </c>
      <c r="H2238">
        <v>394.09</v>
      </c>
      <c r="I2238">
        <v>3365</v>
      </c>
      <c r="J2238">
        <v>24</v>
      </c>
      <c r="K2238" s="17">
        <f t="shared" si="273"/>
        <v>2692</v>
      </c>
      <c r="L2238" t="str">
        <f t="shared" si="274"/>
        <v>Sufficuent Stock</v>
      </c>
      <c r="P2238" s="19">
        <f t="shared" si="275"/>
        <v>0</v>
      </c>
      <c r="R2238" s="19">
        <f t="shared" si="272"/>
        <v>0</v>
      </c>
      <c r="T2238" s="19">
        <f t="shared" si="276"/>
        <v>1187172</v>
      </c>
      <c r="U2238" s="19">
        <f t="shared" si="277"/>
        <v>1326112.8499999999</v>
      </c>
      <c r="V2238" s="21">
        <f t="shared" si="278"/>
        <v>138940.84999999986</v>
      </c>
      <c r="W2238" s="18">
        <f t="shared" si="279"/>
        <v>0.11703514739229014</v>
      </c>
    </row>
    <row r="2239" spans="1:23" x14ac:dyDescent="0.3">
      <c r="A2239" t="s">
        <v>123</v>
      </c>
      <c r="B2239" t="s">
        <v>2435</v>
      </c>
      <c r="C2239" t="s">
        <v>16</v>
      </c>
      <c r="D2239" t="s">
        <v>17</v>
      </c>
      <c r="E2239">
        <v>3695</v>
      </c>
      <c r="F2239">
        <v>82.82</v>
      </c>
      <c r="G2239">
        <v>71.28</v>
      </c>
      <c r="H2239">
        <v>82.82</v>
      </c>
      <c r="I2239">
        <v>698</v>
      </c>
      <c r="J2239">
        <v>19</v>
      </c>
      <c r="K2239" s="17">
        <f t="shared" si="273"/>
        <v>442.06666666666666</v>
      </c>
      <c r="L2239" t="str">
        <f t="shared" si="274"/>
        <v>Sufficuent Stock</v>
      </c>
      <c r="P2239" s="19">
        <f t="shared" si="275"/>
        <v>0</v>
      </c>
      <c r="R2239" s="19">
        <f t="shared" si="272"/>
        <v>0</v>
      </c>
      <c r="T2239" s="19">
        <f t="shared" si="276"/>
        <v>49753.440000000002</v>
      </c>
      <c r="U2239" s="19">
        <f t="shared" si="277"/>
        <v>57808.359999999993</v>
      </c>
      <c r="V2239" s="21">
        <f t="shared" si="278"/>
        <v>8054.919999999991</v>
      </c>
      <c r="W2239" s="18">
        <f t="shared" si="279"/>
        <v>0.16189674523007838</v>
      </c>
    </row>
    <row r="2240" spans="1:23" x14ac:dyDescent="0.3">
      <c r="A2240" t="s">
        <v>1170</v>
      </c>
      <c r="B2240" t="s">
        <v>1492</v>
      </c>
      <c r="C2240" t="s">
        <v>50</v>
      </c>
      <c r="D2240" t="s">
        <v>13</v>
      </c>
      <c r="E2240">
        <v>3695</v>
      </c>
      <c r="F2240">
        <v>328.51</v>
      </c>
      <c r="G2240">
        <v>317.37</v>
      </c>
      <c r="H2240">
        <v>328.51</v>
      </c>
      <c r="I2240">
        <v>1883</v>
      </c>
      <c r="J2240">
        <v>82</v>
      </c>
      <c r="K2240" s="17">
        <f t="shared" si="273"/>
        <v>5146.8666666666668</v>
      </c>
      <c r="L2240" t="str">
        <f t="shared" si="274"/>
        <v>High Risk</v>
      </c>
      <c r="P2240" s="19">
        <f t="shared" si="275"/>
        <v>1452</v>
      </c>
      <c r="R2240" s="19">
        <f t="shared" si="272"/>
        <v>476996.51999999996</v>
      </c>
      <c r="T2240" s="19">
        <f t="shared" si="276"/>
        <v>597607.71</v>
      </c>
      <c r="U2240" s="19">
        <f t="shared" si="277"/>
        <v>618584.32999999996</v>
      </c>
      <c r="V2240" s="21">
        <f t="shared" si="278"/>
        <v>20976.619999999995</v>
      </c>
      <c r="W2240" s="18">
        <f t="shared" si="279"/>
        <v>3.5100986230582595E-2</v>
      </c>
    </row>
    <row r="2241" spans="1:23" x14ac:dyDescent="0.3">
      <c r="A2241" t="s">
        <v>157</v>
      </c>
      <c r="B2241" t="s">
        <v>701</v>
      </c>
      <c r="C2241" t="s">
        <v>12</v>
      </c>
      <c r="D2241" t="s">
        <v>17</v>
      </c>
      <c r="E2241">
        <v>3697</v>
      </c>
      <c r="F2241">
        <v>369.45</v>
      </c>
      <c r="G2241">
        <v>337.57</v>
      </c>
      <c r="H2241">
        <v>369.45</v>
      </c>
      <c r="I2241">
        <v>3097</v>
      </c>
      <c r="J2241">
        <v>40</v>
      </c>
      <c r="K2241" s="17">
        <f t="shared" si="273"/>
        <v>4129.333333333333</v>
      </c>
      <c r="L2241" t="str">
        <f t="shared" si="274"/>
        <v>High Risk</v>
      </c>
      <c r="P2241" s="19">
        <f t="shared" si="275"/>
        <v>433</v>
      </c>
      <c r="R2241" s="19">
        <f t="shared" si="272"/>
        <v>159971.85</v>
      </c>
      <c r="T2241" s="19">
        <f t="shared" si="276"/>
        <v>1045454.2899999999</v>
      </c>
      <c r="U2241" s="19">
        <f t="shared" si="277"/>
        <v>1144186.6499999999</v>
      </c>
      <c r="V2241" s="21">
        <f t="shared" si="278"/>
        <v>98732.359999999986</v>
      </c>
      <c r="W2241" s="18">
        <f t="shared" si="279"/>
        <v>9.4439671771780656E-2</v>
      </c>
    </row>
    <row r="2242" spans="1:23" x14ac:dyDescent="0.3">
      <c r="A2242" t="s">
        <v>218</v>
      </c>
      <c r="B2242" t="s">
        <v>2696</v>
      </c>
      <c r="C2242" t="s">
        <v>50</v>
      </c>
      <c r="D2242" t="s">
        <v>17</v>
      </c>
      <c r="E2242">
        <v>3699</v>
      </c>
      <c r="F2242">
        <v>372.11</v>
      </c>
      <c r="G2242">
        <v>395</v>
      </c>
      <c r="H2242">
        <v>372.11</v>
      </c>
      <c r="I2242">
        <v>1783</v>
      </c>
      <c r="J2242">
        <v>47</v>
      </c>
      <c r="K2242" s="17">
        <f t="shared" si="273"/>
        <v>2793.3666666666663</v>
      </c>
      <c r="L2242" t="str">
        <f t="shared" si="274"/>
        <v>Sufficuent Stock</v>
      </c>
      <c r="P2242" s="19">
        <f t="shared" si="275"/>
        <v>0</v>
      </c>
      <c r="R2242" s="19">
        <f t="shared" ref="R2242:R2305" si="280">P2242*H2242</f>
        <v>0</v>
      </c>
      <c r="T2242" s="19">
        <f t="shared" si="276"/>
        <v>704285</v>
      </c>
      <c r="U2242" s="19">
        <f t="shared" si="277"/>
        <v>663472.13</v>
      </c>
      <c r="V2242" s="21">
        <f t="shared" si="278"/>
        <v>-40812.869999999995</v>
      </c>
      <c r="W2242" s="18">
        <f t="shared" si="279"/>
        <v>-5.7949367088607588E-2</v>
      </c>
    </row>
    <row r="2243" spans="1:23" x14ac:dyDescent="0.3">
      <c r="A2243" t="s">
        <v>143</v>
      </c>
      <c r="B2243" t="s">
        <v>2740</v>
      </c>
      <c r="C2243" t="s">
        <v>12</v>
      </c>
      <c r="D2243" t="s">
        <v>20</v>
      </c>
      <c r="E2243">
        <v>3700</v>
      </c>
      <c r="F2243">
        <v>372.63</v>
      </c>
      <c r="G2243">
        <v>365.06</v>
      </c>
      <c r="H2243">
        <v>372.63</v>
      </c>
      <c r="I2243">
        <v>3322</v>
      </c>
      <c r="J2243">
        <v>29</v>
      </c>
      <c r="K2243" s="17">
        <f t="shared" ref="K2243:K2306" si="281">(I2243/30)*J2243</f>
        <v>3211.2666666666669</v>
      </c>
      <c r="L2243" t="str">
        <f t="shared" ref="L2243:L2306" si="282">IF(E2243&lt;K2243,"High Risk","Sufficuent Stock")</f>
        <v>Sufficuent Stock</v>
      </c>
      <c r="P2243" s="19">
        <f t="shared" ref="P2243:P2306" si="283">ROUNDUP(MAX(0,K2243-E2243),0)</f>
        <v>0</v>
      </c>
      <c r="R2243" s="19">
        <f t="shared" si="280"/>
        <v>0</v>
      </c>
      <c r="T2243" s="19">
        <f t="shared" ref="T2243:T2306" si="284">I2243*G2243</f>
        <v>1212729.32</v>
      </c>
      <c r="U2243" s="19">
        <f t="shared" ref="U2243:U2306" si="285">I2243*H2243</f>
        <v>1237876.8599999999</v>
      </c>
      <c r="V2243" s="21">
        <f t="shared" ref="V2243:V2306" si="286">U2243-T2243</f>
        <v>25147.539999999804</v>
      </c>
      <c r="W2243" s="18">
        <f t="shared" ref="W2243:W2306" si="287">IFERROR(V2243/T2243,0)</f>
        <v>2.0736317317701036E-2</v>
      </c>
    </row>
    <row r="2244" spans="1:23" x14ac:dyDescent="0.3">
      <c r="A2244" t="s">
        <v>642</v>
      </c>
      <c r="B2244" t="s">
        <v>2783</v>
      </c>
      <c r="C2244" t="s">
        <v>50</v>
      </c>
      <c r="D2244" t="s">
        <v>17</v>
      </c>
      <c r="E2244">
        <v>3702</v>
      </c>
      <c r="F2244">
        <v>73.39</v>
      </c>
      <c r="G2244">
        <v>79.63</v>
      </c>
      <c r="H2244">
        <v>73.39</v>
      </c>
      <c r="I2244">
        <v>719</v>
      </c>
      <c r="J2244">
        <v>55</v>
      </c>
      <c r="K2244" s="17">
        <f t="shared" si="281"/>
        <v>1318.1666666666665</v>
      </c>
      <c r="L2244" t="str">
        <f t="shared" si="282"/>
        <v>Sufficuent Stock</v>
      </c>
      <c r="P2244" s="19">
        <f t="shared" si="283"/>
        <v>0</v>
      </c>
      <c r="R2244" s="19">
        <f t="shared" si="280"/>
        <v>0</v>
      </c>
      <c r="T2244" s="19">
        <f t="shared" si="284"/>
        <v>57253.969999999994</v>
      </c>
      <c r="U2244" s="19">
        <f t="shared" si="285"/>
        <v>52767.41</v>
      </c>
      <c r="V2244" s="21">
        <f t="shared" si="286"/>
        <v>-4486.5599999999904</v>
      </c>
      <c r="W2244" s="18">
        <f t="shared" si="287"/>
        <v>-7.8362426221273235E-2</v>
      </c>
    </row>
    <row r="2245" spans="1:23" x14ac:dyDescent="0.3">
      <c r="A2245" t="s">
        <v>105</v>
      </c>
      <c r="B2245" t="s">
        <v>2420</v>
      </c>
      <c r="C2245" t="s">
        <v>12</v>
      </c>
      <c r="D2245" t="s">
        <v>13</v>
      </c>
      <c r="E2245">
        <v>3702</v>
      </c>
      <c r="F2245">
        <v>225.53</v>
      </c>
      <c r="G2245">
        <v>237.79</v>
      </c>
      <c r="H2245">
        <v>225.53</v>
      </c>
      <c r="I2245">
        <v>3003</v>
      </c>
      <c r="J2245">
        <v>59</v>
      </c>
      <c r="K2245" s="17">
        <f t="shared" si="281"/>
        <v>5905.9</v>
      </c>
      <c r="L2245" t="str">
        <f t="shared" si="282"/>
        <v>High Risk</v>
      </c>
      <c r="P2245" s="19">
        <f t="shared" si="283"/>
        <v>2204</v>
      </c>
      <c r="R2245" s="19">
        <f t="shared" si="280"/>
        <v>497068.12</v>
      </c>
      <c r="T2245" s="19">
        <f t="shared" si="284"/>
        <v>714083.37</v>
      </c>
      <c r="U2245" s="19">
        <f t="shared" si="285"/>
        <v>677266.59</v>
      </c>
      <c r="V2245" s="21">
        <f t="shared" si="286"/>
        <v>-36816.780000000028</v>
      </c>
      <c r="W2245" s="18">
        <f t="shared" si="287"/>
        <v>-5.1558097480970642E-2</v>
      </c>
    </row>
    <row r="2246" spans="1:23" x14ac:dyDescent="0.3">
      <c r="A2246" t="s">
        <v>605</v>
      </c>
      <c r="B2246" t="s">
        <v>1029</v>
      </c>
      <c r="C2246" t="s">
        <v>16</v>
      </c>
      <c r="D2246" t="s">
        <v>69</v>
      </c>
      <c r="E2246">
        <v>3704</v>
      </c>
      <c r="F2246">
        <v>434.3</v>
      </c>
      <c r="G2246">
        <v>388.38</v>
      </c>
      <c r="H2246">
        <v>434.3</v>
      </c>
      <c r="I2246">
        <v>482</v>
      </c>
      <c r="J2246">
        <v>84</v>
      </c>
      <c r="K2246" s="17">
        <f t="shared" si="281"/>
        <v>1349.6</v>
      </c>
      <c r="L2246" t="str">
        <f t="shared" si="282"/>
        <v>Sufficuent Stock</v>
      </c>
      <c r="P2246" s="19">
        <f t="shared" si="283"/>
        <v>0</v>
      </c>
      <c r="R2246" s="19">
        <f t="shared" si="280"/>
        <v>0</v>
      </c>
      <c r="T2246" s="19">
        <f t="shared" si="284"/>
        <v>187199.16</v>
      </c>
      <c r="U2246" s="19">
        <f t="shared" si="285"/>
        <v>209332.6</v>
      </c>
      <c r="V2246" s="21">
        <f t="shared" si="286"/>
        <v>22133.440000000002</v>
      </c>
      <c r="W2246" s="18">
        <f t="shared" si="287"/>
        <v>0.1182347185745919</v>
      </c>
    </row>
    <row r="2247" spans="1:23" x14ac:dyDescent="0.3">
      <c r="A2247" t="s">
        <v>175</v>
      </c>
      <c r="B2247" t="s">
        <v>357</v>
      </c>
      <c r="C2247" t="s">
        <v>16</v>
      </c>
      <c r="D2247" t="s">
        <v>17</v>
      </c>
      <c r="E2247">
        <v>3705</v>
      </c>
      <c r="F2247">
        <v>558.54</v>
      </c>
      <c r="G2247">
        <v>486.19</v>
      </c>
      <c r="H2247">
        <v>558.54</v>
      </c>
      <c r="I2247">
        <v>3361</v>
      </c>
      <c r="J2247">
        <v>14</v>
      </c>
      <c r="K2247" s="17">
        <f t="shared" si="281"/>
        <v>1568.4666666666667</v>
      </c>
      <c r="L2247" t="str">
        <f t="shared" si="282"/>
        <v>Sufficuent Stock</v>
      </c>
      <c r="P2247" s="19">
        <f t="shared" si="283"/>
        <v>0</v>
      </c>
      <c r="R2247" s="19">
        <f t="shared" si="280"/>
        <v>0</v>
      </c>
      <c r="T2247" s="19">
        <f t="shared" si="284"/>
        <v>1634084.59</v>
      </c>
      <c r="U2247" s="19">
        <f t="shared" si="285"/>
        <v>1877252.94</v>
      </c>
      <c r="V2247" s="21">
        <f t="shared" si="286"/>
        <v>243168.34999999986</v>
      </c>
      <c r="W2247" s="18">
        <f t="shared" si="287"/>
        <v>0.14881013595507919</v>
      </c>
    </row>
    <row r="2248" spans="1:23" x14ac:dyDescent="0.3">
      <c r="A2248" t="s">
        <v>72</v>
      </c>
      <c r="B2248" t="s">
        <v>73</v>
      </c>
      <c r="C2248" t="s">
        <v>50</v>
      </c>
      <c r="D2248" t="s">
        <v>26</v>
      </c>
      <c r="E2248">
        <v>3713</v>
      </c>
      <c r="F2248">
        <v>506.82</v>
      </c>
      <c r="G2248">
        <v>451.65</v>
      </c>
      <c r="H2248">
        <v>506.82</v>
      </c>
      <c r="I2248">
        <v>3178</v>
      </c>
      <c r="J2248">
        <v>68</v>
      </c>
      <c r="K2248" s="17">
        <f t="shared" si="281"/>
        <v>7203.4666666666672</v>
      </c>
      <c r="L2248" t="str">
        <f t="shared" si="282"/>
        <v>High Risk</v>
      </c>
      <c r="P2248" s="19">
        <f t="shared" si="283"/>
        <v>3491</v>
      </c>
      <c r="R2248" s="19">
        <f t="shared" si="280"/>
        <v>1769308.6199999999</v>
      </c>
      <c r="T2248" s="19">
        <f t="shared" si="284"/>
        <v>1435343.7</v>
      </c>
      <c r="U2248" s="19">
        <f t="shared" si="285"/>
        <v>1610673.96</v>
      </c>
      <c r="V2248" s="21">
        <f t="shared" si="286"/>
        <v>175330.26</v>
      </c>
      <c r="W2248" s="18">
        <f t="shared" si="287"/>
        <v>0.12215210893390901</v>
      </c>
    </row>
    <row r="2249" spans="1:23" x14ac:dyDescent="0.3">
      <c r="A2249" t="s">
        <v>838</v>
      </c>
      <c r="B2249" t="s">
        <v>2320</v>
      </c>
      <c r="C2249" t="s">
        <v>16</v>
      </c>
      <c r="D2249" t="s">
        <v>13</v>
      </c>
      <c r="E2249">
        <v>3715</v>
      </c>
      <c r="F2249">
        <v>360.44</v>
      </c>
      <c r="G2249">
        <v>343.26</v>
      </c>
      <c r="H2249">
        <v>360.44</v>
      </c>
      <c r="I2249">
        <v>2281</v>
      </c>
      <c r="J2249">
        <v>73</v>
      </c>
      <c r="K2249" s="17">
        <f t="shared" si="281"/>
        <v>5550.4333333333334</v>
      </c>
      <c r="L2249" t="str">
        <f t="shared" si="282"/>
        <v>High Risk</v>
      </c>
      <c r="P2249" s="19">
        <f t="shared" si="283"/>
        <v>1836</v>
      </c>
      <c r="R2249" s="19">
        <f t="shared" si="280"/>
        <v>661767.84</v>
      </c>
      <c r="T2249" s="19">
        <f t="shared" si="284"/>
        <v>782976.05999999994</v>
      </c>
      <c r="U2249" s="19">
        <f t="shared" si="285"/>
        <v>822163.64</v>
      </c>
      <c r="V2249" s="21">
        <f t="shared" si="286"/>
        <v>39187.580000000075</v>
      </c>
      <c r="W2249" s="18">
        <f t="shared" si="287"/>
        <v>5.0049525141292413E-2</v>
      </c>
    </row>
    <row r="2250" spans="1:23" x14ac:dyDescent="0.3">
      <c r="A2250" t="s">
        <v>559</v>
      </c>
      <c r="B2250" t="s">
        <v>1120</v>
      </c>
      <c r="C2250" t="s">
        <v>12</v>
      </c>
      <c r="D2250" t="s">
        <v>26</v>
      </c>
      <c r="E2250">
        <v>3715</v>
      </c>
      <c r="F2250">
        <v>343.61</v>
      </c>
      <c r="G2250">
        <v>320.10000000000002</v>
      </c>
      <c r="H2250">
        <v>343.61</v>
      </c>
      <c r="I2250">
        <v>1016</v>
      </c>
      <c r="J2250">
        <v>78</v>
      </c>
      <c r="K2250" s="17">
        <f t="shared" si="281"/>
        <v>2641.6</v>
      </c>
      <c r="L2250" t="str">
        <f t="shared" si="282"/>
        <v>Sufficuent Stock</v>
      </c>
      <c r="P2250" s="19">
        <f t="shared" si="283"/>
        <v>0</v>
      </c>
      <c r="R2250" s="19">
        <f t="shared" si="280"/>
        <v>0</v>
      </c>
      <c r="T2250" s="19">
        <f t="shared" si="284"/>
        <v>325221.60000000003</v>
      </c>
      <c r="U2250" s="19">
        <f t="shared" si="285"/>
        <v>349107.76</v>
      </c>
      <c r="V2250" s="21">
        <f t="shared" si="286"/>
        <v>23886.159999999974</v>
      </c>
      <c r="W2250" s="18">
        <f t="shared" si="287"/>
        <v>7.3445798188066139E-2</v>
      </c>
    </row>
    <row r="2251" spans="1:23" x14ac:dyDescent="0.3">
      <c r="A2251" t="s">
        <v>459</v>
      </c>
      <c r="B2251" t="s">
        <v>3128</v>
      </c>
      <c r="C2251" t="s">
        <v>50</v>
      </c>
      <c r="D2251" t="s">
        <v>17</v>
      </c>
      <c r="E2251">
        <v>3717</v>
      </c>
      <c r="F2251">
        <v>90.19</v>
      </c>
      <c r="G2251">
        <v>93.55</v>
      </c>
      <c r="H2251">
        <v>90.19</v>
      </c>
      <c r="I2251">
        <v>604</v>
      </c>
      <c r="J2251">
        <v>89</v>
      </c>
      <c r="K2251" s="17">
        <f t="shared" si="281"/>
        <v>1791.8666666666666</v>
      </c>
      <c r="L2251" t="str">
        <f t="shared" si="282"/>
        <v>Sufficuent Stock</v>
      </c>
      <c r="P2251" s="19">
        <f t="shared" si="283"/>
        <v>0</v>
      </c>
      <c r="R2251" s="19">
        <f t="shared" si="280"/>
        <v>0</v>
      </c>
      <c r="T2251" s="19">
        <f t="shared" si="284"/>
        <v>56504.2</v>
      </c>
      <c r="U2251" s="19">
        <f t="shared" si="285"/>
        <v>54474.76</v>
      </c>
      <c r="V2251" s="21">
        <f t="shared" si="286"/>
        <v>-2029.4399999999951</v>
      </c>
      <c r="W2251" s="18">
        <f t="shared" si="287"/>
        <v>-3.5916622127204617E-2</v>
      </c>
    </row>
    <row r="2252" spans="1:23" x14ac:dyDescent="0.3">
      <c r="A2252" t="s">
        <v>111</v>
      </c>
      <c r="B2252" t="s">
        <v>2973</v>
      </c>
      <c r="C2252" t="s">
        <v>12</v>
      </c>
      <c r="D2252" t="s">
        <v>20</v>
      </c>
      <c r="E2252">
        <v>3718</v>
      </c>
      <c r="F2252">
        <v>168.26</v>
      </c>
      <c r="G2252">
        <v>147.86000000000001</v>
      </c>
      <c r="H2252">
        <v>168.26</v>
      </c>
      <c r="I2252">
        <v>2380</v>
      </c>
      <c r="J2252">
        <v>6</v>
      </c>
      <c r="K2252" s="17">
        <f t="shared" si="281"/>
        <v>476</v>
      </c>
      <c r="L2252" t="str">
        <f t="shared" si="282"/>
        <v>Sufficuent Stock</v>
      </c>
      <c r="P2252" s="19">
        <f t="shared" si="283"/>
        <v>0</v>
      </c>
      <c r="R2252" s="19">
        <f t="shared" si="280"/>
        <v>0</v>
      </c>
      <c r="T2252" s="19">
        <f t="shared" si="284"/>
        <v>351906.80000000005</v>
      </c>
      <c r="U2252" s="19">
        <f t="shared" si="285"/>
        <v>400458.8</v>
      </c>
      <c r="V2252" s="21">
        <f t="shared" si="286"/>
        <v>48551.999999999942</v>
      </c>
      <c r="W2252" s="18">
        <f t="shared" si="287"/>
        <v>0.13796834843771116</v>
      </c>
    </row>
    <row r="2253" spans="1:23" x14ac:dyDescent="0.3">
      <c r="A2253" t="s">
        <v>1481</v>
      </c>
      <c r="B2253" t="s">
        <v>1815</v>
      </c>
      <c r="C2253" t="s">
        <v>16</v>
      </c>
      <c r="D2253" t="s">
        <v>13</v>
      </c>
      <c r="E2253">
        <v>3719</v>
      </c>
      <c r="F2253">
        <v>435.8</v>
      </c>
      <c r="G2253">
        <v>382.89</v>
      </c>
      <c r="H2253">
        <v>435.8</v>
      </c>
      <c r="I2253">
        <v>1468</v>
      </c>
      <c r="J2253">
        <v>86</v>
      </c>
      <c r="K2253" s="17">
        <f t="shared" si="281"/>
        <v>4208.2666666666664</v>
      </c>
      <c r="L2253" t="str">
        <f t="shared" si="282"/>
        <v>High Risk</v>
      </c>
      <c r="P2253" s="19">
        <f t="shared" si="283"/>
        <v>490</v>
      </c>
      <c r="R2253" s="19">
        <f t="shared" si="280"/>
        <v>213542</v>
      </c>
      <c r="T2253" s="19">
        <f t="shared" si="284"/>
        <v>562082.52</v>
      </c>
      <c r="U2253" s="19">
        <f t="shared" si="285"/>
        <v>639754.4</v>
      </c>
      <c r="V2253" s="21">
        <f t="shared" si="286"/>
        <v>77671.88</v>
      </c>
      <c r="W2253" s="18">
        <f t="shared" si="287"/>
        <v>0.13818590195617542</v>
      </c>
    </row>
    <row r="2254" spans="1:23" x14ac:dyDescent="0.3">
      <c r="A2254" t="s">
        <v>92</v>
      </c>
      <c r="B2254" t="s">
        <v>2488</v>
      </c>
      <c r="C2254" t="s">
        <v>12</v>
      </c>
      <c r="D2254" t="s">
        <v>13</v>
      </c>
      <c r="E2254">
        <v>3722</v>
      </c>
      <c r="F2254">
        <v>45.09</v>
      </c>
      <c r="G2254">
        <v>45.19</v>
      </c>
      <c r="H2254">
        <v>45.09</v>
      </c>
      <c r="I2254">
        <v>364</v>
      </c>
      <c r="J2254">
        <v>64</v>
      </c>
      <c r="K2254" s="17">
        <f t="shared" si="281"/>
        <v>776.5333333333333</v>
      </c>
      <c r="L2254" t="str">
        <f t="shared" si="282"/>
        <v>Sufficuent Stock</v>
      </c>
      <c r="P2254" s="19">
        <f t="shared" si="283"/>
        <v>0</v>
      </c>
      <c r="R2254" s="19">
        <f t="shared" si="280"/>
        <v>0</v>
      </c>
      <c r="T2254" s="19">
        <f t="shared" si="284"/>
        <v>16449.16</v>
      </c>
      <c r="U2254" s="19">
        <f t="shared" si="285"/>
        <v>16412.760000000002</v>
      </c>
      <c r="V2254" s="21">
        <f t="shared" si="286"/>
        <v>-36.399999999997817</v>
      </c>
      <c r="W2254" s="18">
        <f t="shared" si="287"/>
        <v>-2.2128789555210002E-3</v>
      </c>
    </row>
    <row r="2255" spans="1:23" x14ac:dyDescent="0.3">
      <c r="A2255" t="s">
        <v>165</v>
      </c>
      <c r="B2255" t="s">
        <v>3032</v>
      </c>
      <c r="C2255" t="s">
        <v>12</v>
      </c>
      <c r="D2255" t="s">
        <v>69</v>
      </c>
      <c r="E2255">
        <v>3723</v>
      </c>
      <c r="F2255">
        <v>478.18</v>
      </c>
      <c r="G2255">
        <v>484.09</v>
      </c>
      <c r="H2255">
        <v>478.18</v>
      </c>
      <c r="I2255">
        <v>3020</v>
      </c>
      <c r="J2255">
        <v>85</v>
      </c>
      <c r="K2255" s="17">
        <f t="shared" si="281"/>
        <v>8556.6666666666679</v>
      </c>
      <c r="L2255" t="str">
        <f t="shared" si="282"/>
        <v>High Risk</v>
      </c>
      <c r="P2255" s="19">
        <f t="shared" si="283"/>
        <v>4834</v>
      </c>
      <c r="R2255" s="19">
        <f t="shared" si="280"/>
        <v>2311522.12</v>
      </c>
      <c r="T2255" s="19">
        <f t="shared" si="284"/>
        <v>1461951.7999999998</v>
      </c>
      <c r="U2255" s="19">
        <f t="shared" si="285"/>
        <v>1444103.6</v>
      </c>
      <c r="V2255" s="21">
        <f t="shared" si="286"/>
        <v>-17848.199999999721</v>
      </c>
      <c r="W2255" s="18">
        <f t="shared" si="287"/>
        <v>-1.2208473630936207E-2</v>
      </c>
    </row>
    <row r="2256" spans="1:23" x14ac:dyDescent="0.3">
      <c r="A2256" t="s">
        <v>1264</v>
      </c>
      <c r="B2256" t="s">
        <v>3227</v>
      </c>
      <c r="C2256" t="s">
        <v>50</v>
      </c>
      <c r="D2256" t="s">
        <v>13</v>
      </c>
      <c r="E2256">
        <v>3724</v>
      </c>
      <c r="F2256">
        <v>446.8</v>
      </c>
      <c r="G2256">
        <v>455.04</v>
      </c>
      <c r="H2256">
        <v>446.8</v>
      </c>
      <c r="I2256">
        <v>3136</v>
      </c>
      <c r="J2256">
        <v>25</v>
      </c>
      <c r="K2256" s="17">
        <f t="shared" si="281"/>
        <v>2613.3333333333335</v>
      </c>
      <c r="L2256" t="str">
        <f t="shared" si="282"/>
        <v>Sufficuent Stock</v>
      </c>
      <c r="P2256" s="19">
        <f t="shared" si="283"/>
        <v>0</v>
      </c>
      <c r="R2256" s="19">
        <f t="shared" si="280"/>
        <v>0</v>
      </c>
      <c r="T2256" s="19">
        <f t="shared" si="284"/>
        <v>1427005.4400000002</v>
      </c>
      <c r="U2256" s="19">
        <f t="shared" si="285"/>
        <v>1401164.8</v>
      </c>
      <c r="V2256" s="21">
        <f t="shared" si="286"/>
        <v>-25840.64000000013</v>
      </c>
      <c r="W2256" s="18">
        <f t="shared" si="287"/>
        <v>-1.8108298171589401E-2</v>
      </c>
    </row>
    <row r="2257" spans="1:23" x14ac:dyDescent="0.3">
      <c r="A2257" t="s">
        <v>838</v>
      </c>
      <c r="B2257" t="s">
        <v>2265</v>
      </c>
      <c r="C2257" t="s">
        <v>50</v>
      </c>
      <c r="D2257" t="s">
        <v>26</v>
      </c>
      <c r="E2257">
        <v>3725</v>
      </c>
      <c r="F2257">
        <v>94.2</v>
      </c>
      <c r="G2257">
        <v>104.56</v>
      </c>
      <c r="H2257">
        <v>94.2</v>
      </c>
      <c r="I2257">
        <v>3370</v>
      </c>
      <c r="J2257">
        <v>81</v>
      </c>
      <c r="K2257" s="17">
        <f t="shared" si="281"/>
        <v>9099</v>
      </c>
      <c r="L2257" t="str">
        <f t="shared" si="282"/>
        <v>High Risk</v>
      </c>
      <c r="P2257" s="19">
        <f t="shared" si="283"/>
        <v>5374</v>
      </c>
      <c r="R2257" s="19">
        <f t="shared" si="280"/>
        <v>506230.8</v>
      </c>
      <c r="T2257" s="19">
        <f t="shared" si="284"/>
        <v>352367.2</v>
      </c>
      <c r="U2257" s="19">
        <f t="shared" si="285"/>
        <v>317454</v>
      </c>
      <c r="V2257" s="21">
        <f t="shared" si="286"/>
        <v>-34913.200000000012</v>
      </c>
      <c r="W2257" s="18">
        <f t="shared" si="287"/>
        <v>-9.9081866870696284E-2</v>
      </c>
    </row>
    <row r="2258" spans="1:23" x14ac:dyDescent="0.3">
      <c r="A2258" t="s">
        <v>422</v>
      </c>
      <c r="B2258" t="s">
        <v>3289</v>
      </c>
      <c r="C2258" t="s">
        <v>50</v>
      </c>
      <c r="D2258" t="s">
        <v>69</v>
      </c>
      <c r="E2258">
        <v>3725</v>
      </c>
      <c r="F2258">
        <v>401.73</v>
      </c>
      <c r="G2258">
        <v>439.19</v>
      </c>
      <c r="H2258">
        <v>401.73</v>
      </c>
      <c r="I2258">
        <v>1430</v>
      </c>
      <c r="J2258">
        <v>86</v>
      </c>
      <c r="K2258" s="17">
        <f t="shared" si="281"/>
        <v>4099.333333333333</v>
      </c>
      <c r="L2258" t="str">
        <f t="shared" si="282"/>
        <v>High Risk</v>
      </c>
      <c r="P2258" s="19">
        <f t="shared" si="283"/>
        <v>375</v>
      </c>
      <c r="R2258" s="19">
        <f t="shared" si="280"/>
        <v>150648.75</v>
      </c>
      <c r="T2258" s="19">
        <f t="shared" si="284"/>
        <v>628041.69999999995</v>
      </c>
      <c r="U2258" s="19">
        <f t="shared" si="285"/>
        <v>574473.9</v>
      </c>
      <c r="V2258" s="21">
        <f t="shared" si="286"/>
        <v>-53567.79999999993</v>
      </c>
      <c r="W2258" s="18">
        <f t="shared" si="287"/>
        <v>-8.5293380996834978E-2</v>
      </c>
    </row>
    <row r="2259" spans="1:23" x14ac:dyDescent="0.3">
      <c r="A2259" t="s">
        <v>163</v>
      </c>
      <c r="B2259" t="s">
        <v>164</v>
      </c>
      <c r="C2259" t="s">
        <v>16</v>
      </c>
      <c r="D2259" t="s">
        <v>17</v>
      </c>
      <c r="E2259">
        <v>3732</v>
      </c>
      <c r="F2259">
        <v>300.39</v>
      </c>
      <c r="G2259">
        <v>328.19</v>
      </c>
      <c r="H2259">
        <v>300.39</v>
      </c>
      <c r="I2259">
        <v>2741</v>
      </c>
      <c r="J2259">
        <v>20</v>
      </c>
      <c r="K2259" s="17">
        <f t="shared" si="281"/>
        <v>1827.3333333333333</v>
      </c>
      <c r="L2259" t="str">
        <f t="shared" si="282"/>
        <v>Sufficuent Stock</v>
      </c>
      <c r="P2259" s="19">
        <f t="shared" si="283"/>
        <v>0</v>
      </c>
      <c r="R2259" s="19">
        <f t="shared" si="280"/>
        <v>0</v>
      </c>
      <c r="T2259" s="19">
        <f t="shared" si="284"/>
        <v>899568.79</v>
      </c>
      <c r="U2259" s="19">
        <f t="shared" si="285"/>
        <v>823368.99</v>
      </c>
      <c r="V2259" s="21">
        <f t="shared" si="286"/>
        <v>-76199.800000000047</v>
      </c>
      <c r="W2259" s="18">
        <f t="shared" si="287"/>
        <v>-8.4707029464639427E-2</v>
      </c>
    </row>
    <row r="2260" spans="1:23" x14ac:dyDescent="0.3">
      <c r="A2260" t="s">
        <v>424</v>
      </c>
      <c r="B2260" t="s">
        <v>2695</v>
      </c>
      <c r="C2260" t="s">
        <v>37</v>
      </c>
      <c r="D2260" t="s">
        <v>20</v>
      </c>
      <c r="E2260">
        <v>3732</v>
      </c>
      <c r="F2260">
        <v>361.48</v>
      </c>
      <c r="G2260">
        <v>381.08</v>
      </c>
      <c r="H2260">
        <v>361.48</v>
      </c>
      <c r="I2260">
        <v>3920</v>
      </c>
      <c r="J2260">
        <v>37</v>
      </c>
      <c r="K2260" s="17">
        <f t="shared" si="281"/>
        <v>4834.6666666666661</v>
      </c>
      <c r="L2260" t="str">
        <f t="shared" si="282"/>
        <v>High Risk</v>
      </c>
      <c r="P2260" s="19">
        <f t="shared" si="283"/>
        <v>1103</v>
      </c>
      <c r="R2260" s="19">
        <f t="shared" si="280"/>
        <v>398712.44</v>
      </c>
      <c r="T2260" s="19">
        <f t="shared" si="284"/>
        <v>1493833.5999999999</v>
      </c>
      <c r="U2260" s="19">
        <f t="shared" si="285"/>
        <v>1417001.6</v>
      </c>
      <c r="V2260" s="21">
        <f t="shared" si="286"/>
        <v>-76831.999999999767</v>
      </c>
      <c r="W2260" s="18">
        <f t="shared" si="287"/>
        <v>-5.1432770022042468E-2</v>
      </c>
    </row>
    <row r="2261" spans="1:23" x14ac:dyDescent="0.3">
      <c r="A2261" t="s">
        <v>651</v>
      </c>
      <c r="B2261" t="s">
        <v>652</v>
      </c>
      <c r="C2261" t="s">
        <v>12</v>
      </c>
      <c r="D2261" t="s">
        <v>17</v>
      </c>
      <c r="E2261">
        <v>3733</v>
      </c>
      <c r="F2261">
        <v>19.57</v>
      </c>
      <c r="G2261">
        <v>21.61</v>
      </c>
      <c r="H2261">
        <v>19.57</v>
      </c>
      <c r="I2261">
        <v>2800</v>
      </c>
      <c r="J2261">
        <v>17</v>
      </c>
      <c r="K2261" s="17">
        <f t="shared" si="281"/>
        <v>1586.6666666666665</v>
      </c>
      <c r="L2261" t="str">
        <f t="shared" si="282"/>
        <v>Sufficuent Stock</v>
      </c>
      <c r="P2261" s="19">
        <f t="shared" si="283"/>
        <v>0</v>
      </c>
      <c r="R2261" s="19">
        <f t="shared" si="280"/>
        <v>0</v>
      </c>
      <c r="T2261" s="19">
        <f t="shared" si="284"/>
        <v>60508</v>
      </c>
      <c r="U2261" s="19">
        <f t="shared" si="285"/>
        <v>54796</v>
      </c>
      <c r="V2261" s="21">
        <f t="shared" si="286"/>
        <v>-5712</v>
      </c>
      <c r="W2261" s="18">
        <f t="shared" si="287"/>
        <v>-9.4400740397963909E-2</v>
      </c>
    </row>
    <row r="2262" spans="1:23" x14ac:dyDescent="0.3">
      <c r="A2262" t="s">
        <v>306</v>
      </c>
      <c r="B2262" t="s">
        <v>307</v>
      </c>
      <c r="C2262" t="s">
        <v>12</v>
      </c>
      <c r="D2262" t="s">
        <v>13</v>
      </c>
      <c r="E2262">
        <v>3734</v>
      </c>
      <c r="F2262">
        <v>373.73</v>
      </c>
      <c r="G2262">
        <v>326.87</v>
      </c>
      <c r="H2262">
        <v>373.73</v>
      </c>
      <c r="I2262">
        <v>2529</v>
      </c>
      <c r="J2262">
        <v>76</v>
      </c>
      <c r="K2262" s="17">
        <f t="shared" si="281"/>
        <v>6406.8</v>
      </c>
      <c r="L2262" t="str">
        <f t="shared" si="282"/>
        <v>High Risk</v>
      </c>
      <c r="P2262" s="19">
        <f t="shared" si="283"/>
        <v>2673</v>
      </c>
      <c r="R2262" s="19">
        <f t="shared" si="280"/>
        <v>998980.29</v>
      </c>
      <c r="T2262" s="19">
        <f t="shared" si="284"/>
        <v>826654.23</v>
      </c>
      <c r="U2262" s="19">
        <f t="shared" si="285"/>
        <v>945163.17</v>
      </c>
      <c r="V2262" s="21">
        <f t="shared" si="286"/>
        <v>118508.94000000006</v>
      </c>
      <c r="W2262" s="18">
        <f t="shared" si="287"/>
        <v>0.14335974546455785</v>
      </c>
    </row>
    <row r="2263" spans="1:23" x14ac:dyDescent="0.3">
      <c r="A2263" t="s">
        <v>432</v>
      </c>
      <c r="B2263" t="s">
        <v>2259</v>
      </c>
      <c r="C2263" t="s">
        <v>37</v>
      </c>
      <c r="D2263" t="s">
        <v>20</v>
      </c>
      <c r="E2263">
        <v>3734</v>
      </c>
      <c r="F2263">
        <v>87.99</v>
      </c>
      <c r="G2263">
        <v>92.2</v>
      </c>
      <c r="H2263">
        <v>87.99</v>
      </c>
      <c r="I2263">
        <v>507</v>
      </c>
      <c r="J2263">
        <v>48</v>
      </c>
      <c r="K2263" s="17">
        <f t="shared" si="281"/>
        <v>811.19999999999993</v>
      </c>
      <c r="L2263" t="str">
        <f t="shared" si="282"/>
        <v>Sufficuent Stock</v>
      </c>
      <c r="P2263" s="19">
        <f t="shared" si="283"/>
        <v>0</v>
      </c>
      <c r="R2263" s="19">
        <f t="shared" si="280"/>
        <v>0</v>
      </c>
      <c r="T2263" s="19">
        <f t="shared" si="284"/>
        <v>46745.4</v>
      </c>
      <c r="U2263" s="19">
        <f t="shared" si="285"/>
        <v>44610.93</v>
      </c>
      <c r="V2263" s="21">
        <f t="shared" si="286"/>
        <v>-2134.4700000000012</v>
      </c>
      <c r="W2263" s="18">
        <f t="shared" si="287"/>
        <v>-4.5661605206073777E-2</v>
      </c>
    </row>
    <row r="2264" spans="1:23" x14ac:dyDescent="0.3">
      <c r="A2264" t="s">
        <v>671</v>
      </c>
      <c r="B2264" t="s">
        <v>1238</v>
      </c>
      <c r="C2264" t="s">
        <v>12</v>
      </c>
      <c r="D2264" t="s">
        <v>69</v>
      </c>
      <c r="E2264">
        <v>3735</v>
      </c>
      <c r="F2264">
        <v>85.88</v>
      </c>
      <c r="G2264">
        <v>88.27</v>
      </c>
      <c r="H2264">
        <v>85.88</v>
      </c>
      <c r="I2264">
        <v>275</v>
      </c>
      <c r="J2264">
        <v>8</v>
      </c>
      <c r="K2264" s="17">
        <f t="shared" si="281"/>
        <v>73.333333333333329</v>
      </c>
      <c r="L2264" t="str">
        <f t="shared" si="282"/>
        <v>Sufficuent Stock</v>
      </c>
      <c r="P2264" s="19">
        <f t="shared" si="283"/>
        <v>0</v>
      </c>
      <c r="R2264" s="19">
        <f t="shared" si="280"/>
        <v>0</v>
      </c>
      <c r="T2264" s="19">
        <f t="shared" si="284"/>
        <v>24274.25</v>
      </c>
      <c r="U2264" s="19">
        <f t="shared" si="285"/>
        <v>23617</v>
      </c>
      <c r="V2264" s="21">
        <f t="shared" si="286"/>
        <v>-657.25</v>
      </c>
      <c r="W2264" s="18">
        <f t="shared" si="287"/>
        <v>-2.7076016766738417E-2</v>
      </c>
    </row>
    <row r="2265" spans="1:23" x14ac:dyDescent="0.3">
      <c r="A2265" t="s">
        <v>283</v>
      </c>
      <c r="B2265" t="s">
        <v>2074</v>
      </c>
      <c r="C2265" t="s">
        <v>16</v>
      </c>
      <c r="D2265" t="s">
        <v>69</v>
      </c>
      <c r="E2265">
        <v>3737</v>
      </c>
      <c r="F2265">
        <v>98.46</v>
      </c>
      <c r="G2265">
        <v>90.69</v>
      </c>
      <c r="H2265">
        <v>98.46</v>
      </c>
      <c r="I2265">
        <v>2437</v>
      </c>
      <c r="J2265">
        <v>68</v>
      </c>
      <c r="K2265" s="17">
        <f t="shared" si="281"/>
        <v>5523.8666666666668</v>
      </c>
      <c r="L2265" t="str">
        <f t="shared" si="282"/>
        <v>High Risk</v>
      </c>
      <c r="P2265" s="19">
        <f t="shared" si="283"/>
        <v>1787</v>
      </c>
      <c r="R2265" s="19">
        <f t="shared" si="280"/>
        <v>175948.02</v>
      </c>
      <c r="T2265" s="19">
        <f t="shared" si="284"/>
        <v>221011.53</v>
      </c>
      <c r="U2265" s="19">
        <f t="shared" si="285"/>
        <v>239947.02</v>
      </c>
      <c r="V2265" s="21">
        <f t="shared" si="286"/>
        <v>18935.489999999991</v>
      </c>
      <c r="W2265" s="18">
        <f t="shared" si="287"/>
        <v>8.5676480317565293E-2</v>
      </c>
    </row>
    <row r="2266" spans="1:23" x14ac:dyDescent="0.3">
      <c r="A2266" t="s">
        <v>201</v>
      </c>
      <c r="B2266" t="s">
        <v>2262</v>
      </c>
      <c r="C2266" t="s">
        <v>50</v>
      </c>
      <c r="D2266" t="s">
        <v>20</v>
      </c>
      <c r="E2266">
        <v>3737</v>
      </c>
      <c r="F2266">
        <v>188.68</v>
      </c>
      <c r="G2266">
        <v>180.41</v>
      </c>
      <c r="H2266">
        <v>188.68</v>
      </c>
      <c r="I2266">
        <v>2733</v>
      </c>
      <c r="J2266">
        <v>15</v>
      </c>
      <c r="K2266" s="17">
        <f t="shared" si="281"/>
        <v>1366.5</v>
      </c>
      <c r="L2266" t="str">
        <f t="shared" si="282"/>
        <v>Sufficuent Stock</v>
      </c>
      <c r="P2266" s="19">
        <f t="shared" si="283"/>
        <v>0</v>
      </c>
      <c r="R2266" s="19">
        <f t="shared" si="280"/>
        <v>0</v>
      </c>
      <c r="T2266" s="19">
        <f t="shared" si="284"/>
        <v>493060.52999999997</v>
      </c>
      <c r="U2266" s="19">
        <f t="shared" si="285"/>
        <v>515662.44</v>
      </c>
      <c r="V2266" s="21">
        <f t="shared" si="286"/>
        <v>22601.910000000033</v>
      </c>
      <c r="W2266" s="18">
        <f t="shared" si="287"/>
        <v>4.5840031040408027E-2</v>
      </c>
    </row>
    <row r="2267" spans="1:23" x14ac:dyDescent="0.3">
      <c r="A2267" t="s">
        <v>960</v>
      </c>
      <c r="B2267" t="s">
        <v>1390</v>
      </c>
      <c r="C2267" t="s">
        <v>16</v>
      </c>
      <c r="D2267" t="s">
        <v>13</v>
      </c>
      <c r="E2267">
        <v>3740</v>
      </c>
      <c r="F2267">
        <v>59.16</v>
      </c>
      <c r="G2267">
        <v>53.69</v>
      </c>
      <c r="H2267">
        <v>59.16</v>
      </c>
      <c r="I2267">
        <v>127</v>
      </c>
      <c r="J2267">
        <v>16</v>
      </c>
      <c r="K2267" s="17">
        <f t="shared" si="281"/>
        <v>67.733333333333334</v>
      </c>
      <c r="L2267" t="str">
        <f t="shared" si="282"/>
        <v>Sufficuent Stock</v>
      </c>
      <c r="P2267" s="19">
        <f t="shared" si="283"/>
        <v>0</v>
      </c>
      <c r="R2267" s="19">
        <f t="shared" si="280"/>
        <v>0</v>
      </c>
      <c r="T2267" s="19">
        <f t="shared" si="284"/>
        <v>6818.63</v>
      </c>
      <c r="U2267" s="19">
        <f t="shared" si="285"/>
        <v>7513.32</v>
      </c>
      <c r="V2267" s="21">
        <f t="shared" si="286"/>
        <v>694.6899999999996</v>
      </c>
      <c r="W2267" s="18">
        <f t="shared" si="287"/>
        <v>0.10188116967777978</v>
      </c>
    </row>
    <row r="2268" spans="1:23" x14ac:dyDescent="0.3">
      <c r="A2268" t="s">
        <v>1325</v>
      </c>
      <c r="B2268" t="s">
        <v>2141</v>
      </c>
      <c r="C2268" t="s">
        <v>23</v>
      </c>
      <c r="D2268" t="s">
        <v>20</v>
      </c>
      <c r="E2268">
        <v>3745</v>
      </c>
      <c r="F2268">
        <v>351.55</v>
      </c>
      <c r="G2268">
        <v>306.11</v>
      </c>
      <c r="H2268">
        <v>351.55</v>
      </c>
      <c r="I2268">
        <v>3961</v>
      </c>
      <c r="J2268">
        <v>19</v>
      </c>
      <c r="K2268" s="17">
        <f t="shared" si="281"/>
        <v>2508.6333333333332</v>
      </c>
      <c r="L2268" t="str">
        <f t="shared" si="282"/>
        <v>Sufficuent Stock</v>
      </c>
      <c r="P2268" s="19">
        <f t="shared" si="283"/>
        <v>0</v>
      </c>
      <c r="R2268" s="19">
        <f t="shared" si="280"/>
        <v>0</v>
      </c>
      <c r="T2268" s="19">
        <f t="shared" si="284"/>
        <v>1212501.71</v>
      </c>
      <c r="U2268" s="19">
        <f t="shared" si="285"/>
        <v>1392489.55</v>
      </c>
      <c r="V2268" s="21">
        <f t="shared" si="286"/>
        <v>179987.84000000008</v>
      </c>
      <c r="W2268" s="18">
        <f t="shared" si="287"/>
        <v>0.1484433700303813</v>
      </c>
    </row>
    <row r="2269" spans="1:23" x14ac:dyDescent="0.3">
      <c r="A2269" t="s">
        <v>393</v>
      </c>
      <c r="B2269" t="s">
        <v>1864</v>
      </c>
      <c r="C2269" t="s">
        <v>37</v>
      </c>
      <c r="D2269" t="s">
        <v>26</v>
      </c>
      <c r="E2269">
        <v>3745</v>
      </c>
      <c r="F2269">
        <v>184.74</v>
      </c>
      <c r="G2269">
        <v>166.99</v>
      </c>
      <c r="H2269">
        <v>184.74</v>
      </c>
      <c r="I2269">
        <v>1337</v>
      </c>
      <c r="J2269">
        <v>27</v>
      </c>
      <c r="K2269" s="17">
        <f t="shared" si="281"/>
        <v>1203.3000000000002</v>
      </c>
      <c r="L2269" t="str">
        <f t="shared" si="282"/>
        <v>Sufficuent Stock</v>
      </c>
      <c r="P2269" s="19">
        <f t="shared" si="283"/>
        <v>0</v>
      </c>
      <c r="R2269" s="19">
        <f t="shared" si="280"/>
        <v>0</v>
      </c>
      <c r="T2269" s="19">
        <f t="shared" si="284"/>
        <v>223265.63</v>
      </c>
      <c r="U2269" s="19">
        <f t="shared" si="285"/>
        <v>246997.38</v>
      </c>
      <c r="V2269" s="21">
        <f t="shared" si="286"/>
        <v>23731.75</v>
      </c>
      <c r="W2269" s="18">
        <f t="shared" si="287"/>
        <v>0.10629379004730823</v>
      </c>
    </row>
    <row r="2270" spans="1:23" x14ac:dyDescent="0.3">
      <c r="A2270" t="s">
        <v>149</v>
      </c>
      <c r="B2270" t="s">
        <v>195</v>
      </c>
      <c r="C2270" t="s">
        <v>37</v>
      </c>
      <c r="D2270" t="s">
        <v>17</v>
      </c>
      <c r="E2270">
        <v>3745</v>
      </c>
      <c r="F2270">
        <v>450.83</v>
      </c>
      <c r="G2270">
        <v>496.71</v>
      </c>
      <c r="H2270">
        <v>450.83</v>
      </c>
      <c r="I2270">
        <v>943</v>
      </c>
      <c r="J2270">
        <v>75</v>
      </c>
      <c r="K2270" s="17">
        <f t="shared" si="281"/>
        <v>2357.5</v>
      </c>
      <c r="L2270" t="str">
        <f t="shared" si="282"/>
        <v>Sufficuent Stock</v>
      </c>
      <c r="P2270" s="19">
        <f t="shared" si="283"/>
        <v>0</v>
      </c>
      <c r="R2270" s="19">
        <f t="shared" si="280"/>
        <v>0</v>
      </c>
      <c r="T2270" s="19">
        <f t="shared" si="284"/>
        <v>468397.52999999997</v>
      </c>
      <c r="U2270" s="19">
        <f t="shared" si="285"/>
        <v>425132.69</v>
      </c>
      <c r="V2270" s="21">
        <f t="shared" si="286"/>
        <v>-43264.839999999967</v>
      </c>
      <c r="W2270" s="18">
        <f t="shared" si="287"/>
        <v>-9.2367779992349602E-2</v>
      </c>
    </row>
    <row r="2271" spans="1:23" x14ac:dyDescent="0.3">
      <c r="A2271" t="s">
        <v>24</v>
      </c>
      <c r="B2271" t="s">
        <v>102</v>
      </c>
      <c r="C2271" t="s">
        <v>23</v>
      </c>
      <c r="D2271" t="s">
        <v>17</v>
      </c>
      <c r="E2271">
        <v>3747</v>
      </c>
      <c r="F2271">
        <v>434.9</v>
      </c>
      <c r="G2271">
        <v>436.45</v>
      </c>
      <c r="H2271">
        <v>434.9</v>
      </c>
      <c r="I2271">
        <v>995</v>
      </c>
      <c r="J2271">
        <v>89</v>
      </c>
      <c r="K2271" s="17">
        <f t="shared" si="281"/>
        <v>2951.833333333333</v>
      </c>
      <c r="L2271" t="str">
        <f t="shared" si="282"/>
        <v>Sufficuent Stock</v>
      </c>
      <c r="P2271" s="19">
        <f t="shared" si="283"/>
        <v>0</v>
      </c>
      <c r="R2271" s="19">
        <f t="shared" si="280"/>
        <v>0</v>
      </c>
      <c r="T2271" s="19">
        <f t="shared" si="284"/>
        <v>434267.75</v>
      </c>
      <c r="U2271" s="19">
        <f t="shared" si="285"/>
        <v>432725.5</v>
      </c>
      <c r="V2271" s="21">
        <f t="shared" si="286"/>
        <v>-1542.25</v>
      </c>
      <c r="W2271" s="18">
        <f t="shared" si="287"/>
        <v>-3.5513804559514262E-3</v>
      </c>
    </row>
    <row r="2272" spans="1:23" x14ac:dyDescent="0.3">
      <c r="A2272" t="s">
        <v>737</v>
      </c>
      <c r="B2272" t="s">
        <v>1453</v>
      </c>
      <c r="C2272" t="s">
        <v>12</v>
      </c>
      <c r="D2272" t="s">
        <v>17</v>
      </c>
      <c r="E2272">
        <v>3750</v>
      </c>
      <c r="F2272">
        <v>208.56</v>
      </c>
      <c r="G2272">
        <v>173.99</v>
      </c>
      <c r="H2272">
        <v>208.56</v>
      </c>
      <c r="I2272">
        <v>3476</v>
      </c>
      <c r="J2272">
        <v>88</v>
      </c>
      <c r="K2272" s="17">
        <f t="shared" si="281"/>
        <v>10196.266666666666</v>
      </c>
      <c r="L2272" t="str">
        <f t="shared" si="282"/>
        <v>High Risk</v>
      </c>
      <c r="P2272" s="19">
        <f t="shared" si="283"/>
        <v>6447</v>
      </c>
      <c r="R2272" s="19">
        <f t="shared" si="280"/>
        <v>1344586.32</v>
      </c>
      <c r="T2272" s="19">
        <f t="shared" si="284"/>
        <v>604789.24</v>
      </c>
      <c r="U2272" s="19">
        <f t="shared" si="285"/>
        <v>724954.56</v>
      </c>
      <c r="V2272" s="21">
        <f t="shared" si="286"/>
        <v>120165.32000000007</v>
      </c>
      <c r="W2272" s="18">
        <f t="shared" si="287"/>
        <v>0.19868957986091165</v>
      </c>
    </row>
    <row r="2273" spans="1:23" x14ac:dyDescent="0.3">
      <c r="A2273" t="s">
        <v>96</v>
      </c>
      <c r="B2273" t="s">
        <v>325</v>
      </c>
      <c r="C2273" t="s">
        <v>16</v>
      </c>
      <c r="D2273" t="s">
        <v>17</v>
      </c>
      <c r="E2273">
        <v>3752</v>
      </c>
      <c r="F2273">
        <v>152</v>
      </c>
      <c r="G2273">
        <v>133.06</v>
      </c>
      <c r="H2273">
        <v>152</v>
      </c>
      <c r="I2273">
        <v>513</v>
      </c>
      <c r="J2273">
        <v>49</v>
      </c>
      <c r="K2273" s="17">
        <f t="shared" si="281"/>
        <v>837.90000000000009</v>
      </c>
      <c r="L2273" t="str">
        <f t="shared" si="282"/>
        <v>Sufficuent Stock</v>
      </c>
      <c r="P2273" s="19">
        <f t="shared" si="283"/>
        <v>0</v>
      </c>
      <c r="R2273" s="19">
        <f t="shared" si="280"/>
        <v>0</v>
      </c>
      <c r="T2273" s="19">
        <f t="shared" si="284"/>
        <v>68259.78</v>
      </c>
      <c r="U2273" s="19">
        <f t="shared" si="285"/>
        <v>77976</v>
      </c>
      <c r="V2273" s="21">
        <f t="shared" si="286"/>
        <v>9716.2200000000012</v>
      </c>
      <c r="W2273" s="18">
        <f t="shared" si="287"/>
        <v>0.14234180069141741</v>
      </c>
    </row>
    <row r="2274" spans="1:23" x14ac:dyDescent="0.3">
      <c r="A2274" t="s">
        <v>671</v>
      </c>
      <c r="B2274" t="s">
        <v>1092</v>
      </c>
      <c r="C2274" t="s">
        <v>16</v>
      </c>
      <c r="D2274" t="s">
        <v>69</v>
      </c>
      <c r="E2274">
        <v>3755</v>
      </c>
      <c r="F2274">
        <v>231.72</v>
      </c>
      <c r="G2274">
        <v>193.95</v>
      </c>
      <c r="H2274">
        <v>231.72</v>
      </c>
      <c r="I2274">
        <v>885</v>
      </c>
      <c r="J2274">
        <v>59</v>
      </c>
      <c r="K2274" s="17">
        <f t="shared" si="281"/>
        <v>1740.5</v>
      </c>
      <c r="L2274" t="str">
        <f t="shared" si="282"/>
        <v>Sufficuent Stock</v>
      </c>
      <c r="P2274" s="19">
        <f t="shared" si="283"/>
        <v>0</v>
      </c>
      <c r="R2274" s="19">
        <f t="shared" si="280"/>
        <v>0</v>
      </c>
      <c r="T2274" s="19">
        <f t="shared" si="284"/>
        <v>171645.75</v>
      </c>
      <c r="U2274" s="19">
        <f t="shared" si="285"/>
        <v>205072.2</v>
      </c>
      <c r="V2274" s="21">
        <f t="shared" si="286"/>
        <v>33426.450000000012</v>
      </c>
      <c r="W2274" s="18">
        <f t="shared" si="287"/>
        <v>0.19474091260634191</v>
      </c>
    </row>
    <row r="2275" spans="1:23" x14ac:dyDescent="0.3">
      <c r="A2275" t="s">
        <v>134</v>
      </c>
      <c r="B2275" t="s">
        <v>1553</v>
      </c>
      <c r="C2275" t="s">
        <v>16</v>
      </c>
      <c r="D2275" t="s">
        <v>26</v>
      </c>
      <c r="E2275">
        <v>3756</v>
      </c>
      <c r="F2275">
        <v>331.37</v>
      </c>
      <c r="G2275">
        <v>307.38</v>
      </c>
      <c r="H2275">
        <v>331.37</v>
      </c>
      <c r="I2275">
        <v>1642</v>
      </c>
      <c r="J2275">
        <v>52</v>
      </c>
      <c r="K2275" s="17">
        <f t="shared" si="281"/>
        <v>2846.1333333333332</v>
      </c>
      <c r="L2275" t="str">
        <f t="shared" si="282"/>
        <v>Sufficuent Stock</v>
      </c>
      <c r="P2275" s="19">
        <f t="shared" si="283"/>
        <v>0</v>
      </c>
      <c r="R2275" s="19">
        <f t="shared" si="280"/>
        <v>0</v>
      </c>
      <c r="T2275" s="19">
        <f t="shared" si="284"/>
        <v>504717.96</v>
      </c>
      <c r="U2275" s="19">
        <f t="shared" si="285"/>
        <v>544109.54</v>
      </c>
      <c r="V2275" s="21">
        <f t="shared" si="286"/>
        <v>39391.580000000016</v>
      </c>
      <c r="W2275" s="18">
        <f t="shared" si="287"/>
        <v>7.8046717418179479E-2</v>
      </c>
    </row>
    <row r="2276" spans="1:23" x14ac:dyDescent="0.3">
      <c r="A2276" t="s">
        <v>712</v>
      </c>
      <c r="B2276" t="s">
        <v>1678</v>
      </c>
      <c r="C2276" t="s">
        <v>23</v>
      </c>
      <c r="D2276" t="s">
        <v>20</v>
      </c>
      <c r="E2276">
        <v>3756</v>
      </c>
      <c r="F2276">
        <v>505.1</v>
      </c>
      <c r="G2276">
        <v>472.05</v>
      </c>
      <c r="H2276">
        <v>505.1</v>
      </c>
      <c r="I2276">
        <v>3286</v>
      </c>
      <c r="J2276">
        <v>51</v>
      </c>
      <c r="K2276" s="17">
        <f t="shared" si="281"/>
        <v>5586.2</v>
      </c>
      <c r="L2276" t="str">
        <f t="shared" si="282"/>
        <v>High Risk</v>
      </c>
      <c r="P2276" s="19">
        <f t="shared" si="283"/>
        <v>1831</v>
      </c>
      <c r="R2276" s="19">
        <f t="shared" si="280"/>
        <v>924838.10000000009</v>
      </c>
      <c r="T2276" s="19">
        <f t="shared" si="284"/>
        <v>1551156.3</v>
      </c>
      <c r="U2276" s="19">
        <f t="shared" si="285"/>
        <v>1659758.6</v>
      </c>
      <c r="V2276" s="21">
        <f t="shared" si="286"/>
        <v>108602.30000000005</v>
      </c>
      <c r="W2276" s="18">
        <f t="shared" si="287"/>
        <v>7.0013769727783101E-2</v>
      </c>
    </row>
    <row r="2277" spans="1:23" x14ac:dyDescent="0.3">
      <c r="A2277" t="s">
        <v>1534</v>
      </c>
      <c r="B2277" t="s">
        <v>1535</v>
      </c>
      <c r="C2277" t="s">
        <v>23</v>
      </c>
      <c r="D2277" t="s">
        <v>17</v>
      </c>
      <c r="E2277">
        <v>3757</v>
      </c>
      <c r="F2277">
        <v>513.95000000000005</v>
      </c>
      <c r="G2277">
        <v>458.98</v>
      </c>
      <c r="H2277">
        <v>513.95000000000005</v>
      </c>
      <c r="I2277">
        <v>1852</v>
      </c>
      <c r="J2277">
        <v>53</v>
      </c>
      <c r="K2277" s="17">
        <f t="shared" si="281"/>
        <v>3271.8666666666668</v>
      </c>
      <c r="L2277" t="str">
        <f t="shared" si="282"/>
        <v>Sufficuent Stock</v>
      </c>
      <c r="P2277" s="19">
        <f t="shared" si="283"/>
        <v>0</v>
      </c>
      <c r="R2277" s="19">
        <f t="shared" si="280"/>
        <v>0</v>
      </c>
      <c r="T2277" s="19">
        <f t="shared" si="284"/>
        <v>850030.96000000008</v>
      </c>
      <c r="U2277" s="19">
        <f t="shared" si="285"/>
        <v>951835.40000000014</v>
      </c>
      <c r="V2277" s="21">
        <f t="shared" si="286"/>
        <v>101804.44000000006</v>
      </c>
      <c r="W2277" s="18">
        <f t="shared" si="287"/>
        <v>0.11976556712710799</v>
      </c>
    </row>
    <row r="2278" spans="1:23" x14ac:dyDescent="0.3">
      <c r="A2278" t="s">
        <v>566</v>
      </c>
      <c r="B2278" t="s">
        <v>2243</v>
      </c>
      <c r="C2278" t="s">
        <v>16</v>
      </c>
      <c r="D2278" t="s">
        <v>26</v>
      </c>
      <c r="E2278">
        <v>3764</v>
      </c>
      <c r="F2278">
        <v>121.14</v>
      </c>
      <c r="G2278">
        <v>118.25</v>
      </c>
      <c r="H2278">
        <v>121.14</v>
      </c>
      <c r="I2278">
        <v>274</v>
      </c>
      <c r="J2278">
        <v>34</v>
      </c>
      <c r="K2278" s="17">
        <f t="shared" si="281"/>
        <v>310.5333333333333</v>
      </c>
      <c r="L2278" t="str">
        <f t="shared" si="282"/>
        <v>Sufficuent Stock</v>
      </c>
      <c r="P2278" s="19">
        <f t="shared" si="283"/>
        <v>0</v>
      </c>
      <c r="R2278" s="19">
        <f t="shared" si="280"/>
        <v>0</v>
      </c>
      <c r="T2278" s="19">
        <f t="shared" si="284"/>
        <v>32400.5</v>
      </c>
      <c r="U2278" s="19">
        <f t="shared" si="285"/>
        <v>33192.36</v>
      </c>
      <c r="V2278" s="21">
        <f t="shared" si="286"/>
        <v>791.86000000000058</v>
      </c>
      <c r="W2278" s="18">
        <f t="shared" si="287"/>
        <v>2.4439746300211434E-2</v>
      </c>
    </row>
    <row r="2279" spans="1:23" x14ac:dyDescent="0.3">
      <c r="A2279" t="s">
        <v>829</v>
      </c>
      <c r="B2279" t="s">
        <v>2036</v>
      </c>
      <c r="C2279" t="s">
        <v>50</v>
      </c>
      <c r="D2279" t="s">
        <v>17</v>
      </c>
      <c r="E2279">
        <v>3764</v>
      </c>
      <c r="F2279">
        <v>46.12</v>
      </c>
      <c r="G2279">
        <v>47.74</v>
      </c>
      <c r="H2279">
        <v>46.12</v>
      </c>
      <c r="I2279">
        <v>1216</v>
      </c>
      <c r="J2279">
        <v>16</v>
      </c>
      <c r="K2279" s="17">
        <f t="shared" si="281"/>
        <v>648.5333333333333</v>
      </c>
      <c r="L2279" t="str">
        <f t="shared" si="282"/>
        <v>Sufficuent Stock</v>
      </c>
      <c r="P2279" s="19">
        <f t="shared" si="283"/>
        <v>0</v>
      </c>
      <c r="R2279" s="19">
        <f t="shared" si="280"/>
        <v>0</v>
      </c>
      <c r="T2279" s="19">
        <f t="shared" si="284"/>
        <v>58051.840000000004</v>
      </c>
      <c r="U2279" s="19">
        <f t="shared" si="285"/>
        <v>56081.919999999998</v>
      </c>
      <c r="V2279" s="21">
        <f t="shared" si="286"/>
        <v>-1969.9200000000055</v>
      </c>
      <c r="W2279" s="18">
        <f t="shared" si="287"/>
        <v>-3.3933808127356607E-2</v>
      </c>
    </row>
    <row r="2280" spans="1:23" x14ac:dyDescent="0.3">
      <c r="A2280" t="s">
        <v>1170</v>
      </c>
      <c r="B2280" t="s">
        <v>1171</v>
      </c>
      <c r="C2280" t="s">
        <v>23</v>
      </c>
      <c r="D2280" t="s">
        <v>13</v>
      </c>
      <c r="E2280">
        <v>3769</v>
      </c>
      <c r="F2280">
        <v>194.41</v>
      </c>
      <c r="G2280">
        <v>168.64</v>
      </c>
      <c r="H2280">
        <v>194.41</v>
      </c>
      <c r="I2280">
        <v>3131</v>
      </c>
      <c r="J2280">
        <v>6</v>
      </c>
      <c r="K2280" s="17">
        <f t="shared" si="281"/>
        <v>626.19999999999993</v>
      </c>
      <c r="L2280" t="str">
        <f t="shared" si="282"/>
        <v>Sufficuent Stock</v>
      </c>
      <c r="P2280" s="19">
        <f t="shared" si="283"/>
        <v>0</v>
      </c>
      <c r="R2280" s="19">
        <f t="shared" si="280"/>
        <v>0</v>
      </c>
      <c r="T2280" s="19">
        <f t="shared" si="284"/>
        <v>528011.84</v>
      </c>
      <c r="U2280" s="19">
        <f t="shared" si="285"/>
        <v>608697.71</v>
      </c>
      <c r="V2280" s="21">
        <f t="shared" si="286"/>
        <v>80685.87</v>
      </c>
      <c r="W2280" s="18">
        <f t="shared" si="287"/>
        <v>0.15281072106261859</v>
      </c>
    </row>
    <row r="2281" spans="1:23" x14ac:dyDescent="0.3">
      <c r="A2281" t="s">
        <v>988</v>
      </c>
      <c r="B2281" t="s">
        <v>1513</v>
      </c>
      <c r="C2281" t="s">
        <v>16</v>
      </c>
      <c r="D2281" t="s">
        <v>26</v>
      </c>
      <c r="E2281">
        <v>3773</v>
      </c>
      <c r="F2281">
        <v>341.37</v>
      </c>
      <c r="G2281">
        <v>309.17</v>
      </c>
      <c r="H2281">
        <v>341.37</v>
      </c>
      <c r="I2281">
        <v>2340</v>
      </c>
      <c r="J2281">
        <v>35</v>
      </c>
      <c r="K2281" s="17">
        <f t="shared" si="281"/>
        <v>2730</v>
      </c>
      <c r="L2281" t="str">
        <f t="shared" si="282"/>
        <v>Sufficuent Stock</v>
      </c>
      <c r="P2281" s="19">
        <f t="shared" si="283"/>
        <v>0</v>
      </c>
      <c r="R2281" s="19">
        <f t="shared" si="280"/>
        <v>0</v>
      </c>
      <c r="T2281" s="19">
        <f t="shared" si="284"/>
        <v>723457.8</v>
      </c>
      <c r="U2281" s="19">
        <f t="shared" si="285"/>
        <v>798805.8</v>
      </c>
      <c r="V2281" s="21">
        <f t="shared" si="286"/>
        <v>75348</v>
      </c>
      <c r="W2281" s="18">
        <f t="shared" si="287"/>
        <v>0.10414982048711065</v>
      </c>
    </row>
    <row r="2282" spans="1:23" x14ac:dyDescent="0.3">
      <c r="A2282" t="s">
        <v>310</v>
      </c>
      <c r="B2282" t="s">
        <v>2557</v>
      </c>
      <c r="C2282" t="s">
        <v>50</v>
      </c>
      <c r="D2282" t="s">
        <v>20</v>
      </c>
      <c r="E2282">
        <v>3774</v>
      </c>
      <c r="F2282">
        <v>165.21</v>
      </c>
      <c r="G2282">
        <v>146.76</v>
      </c>
      <c r="H2282">
        <v>165.21</v>
      </c>
      <c r="I2282">
        <v>3717</v>
      </c>
      <c r="J2282">
        <v>27</v>
      </c>
      <c r="K2282" s="17">
        <f t="shared" si="281"/>
        <v>3345.3</v>
      </c>
      <c r="L2282" t="str">
        <f t="shared" si="282"/>
        <v>Sufficuent Stock</v>
      </c>
      <c r="P2282" s="19">
        <f t="shared" si="283"/>
        <v>0</v>
      </c>
      <c r="R2282" s="19">
        <f t="shared" si="280"/>
        <v>0</v>
      </c>
      <c r="T2282" s="19">
        <f t="shared" si="284"/>
        <v>545506.91999999993</v>
      </c>
      <c r="U2282" s="19">
        <f t="shared" si="285"/>
        <v>614085.57000000007</v>
      </c>
      <c r="V2282" s="21">
        <f t="shared" si="286"/>
        <v>68578.65000000014</v>
      </c>
      <c r="W2282" s="18">
        <f t="shared" si="287"/>
        <v>0.1257154538021262</v>
      </c>
    </row>
    <row r="2283" spans="1:23" x14ac:dyDescent="0.3">
      <c r="A2283" t="s">
        <v>157</v>
      </c>
      <c r="B2283" t="s">
        <v>1126</v>
      </c>
      <c r="C2283" t="s">
        <v>16</v>
      </c>
      <c r="D2283" t="s">
        <v>17</v>
      </c>
      <c r="E2283">
        <v>3776</v>
      </c>
      <c r="F2283">
        <v>414.41</v>
      </c>
      <c r="G2283">
        <v>345.53</v>
      </c>
      <c r="H2283">
        <v>414.41</v>
      </c>
      <c r="I2283">
        <v>3735</v>
      </c>
      <c r="J2283">
        <v>44</v>
      </c>
      <c r="K2283" s="17">
        <f t="shared" si="281"/>
        <v>5478</v>
      </c>
      <c r="L2283" t="str">
        <f t="shared" si="282"/>
        <v>High Risk</v>
      </c>
      <c r="P2283" s="19">
        <f t="shared" si="283"/>
        <v>1702</v>
      </c>
      <c r="R2283" s="19">
        <f t="shared" si="280"/>
        <v>705325.82000000007</v>
      </c>
      <c r="T2283" s="19">
        <f t="shared" si="284"/>
        <v>1290554.5499999998</v>
      </c>
      <c r="U2283" s="19">
        <f t="shared" si="285"/>
        <v>1547821.35</v>
      </c>
      <c r="V2283" s="21">
        <f t="shared" si="286"/>
        <v>257266.80000000028</v>
      </c>
      <c r="W2283" s="18">
        <f t="shared" si="287"/>
        <v>0.19934593233583214</v>
      </c>
    </row>
    <row r="2284" spans="1:23" x14ac:dyDescent="0.3">
      <c r="A2284" t="s">
        <v>61</v>
      </c>
      <c r="B2284" t="s">
        <v>807</v>
      </c>
      <c r="C2284" t="s">
        <v>37</v>
      </c>
      <c r="D2284" t="s">
        <v>26</v>
      </c>
      <c r="E2284">
        <v>3777</v>
      </c>
      <c r="F2284">
        <v>303.04000000000002</v>
      </c>
      <c r="G2284">
        <v>329.09</v>
      </c>
      <c r="H2284">
        <v>303.04000000000002</v>
      </c>
      <c r="I2284">
        <v>944</v>
      </c>
      <c r="J2284">
        <v>11</v>
      </c>
      <c r="K2284" s="17">
        <f t="shared" si="281"/>
        <v>346.13333333333333</v>
      </c>
      <c r="L2284" t="str">
        <f t="shared" si="282"/>
        <v>Sufficuent Stock</v>
      </c>
      <c r="P2284" s="19">
        <f t="shared" si="283"/>
        <v>0</v>
      </c>
      <c r="R2284" s="19">
        <f t="shared" si="280"/>
        <v>0</v>
      </c>
      <c r="T2284" s="19">
        <f t="shared" si="284"/>
        <v>310660.95999999996</v>
      </c>
      <c r="U2284" s="19">
        <f t="shared" si="285"/>
        <v>286069.76000000001</v>
      </c>
      <c r="V2284" s="21">
        <f t="shared" si="286"/>
        <v>-24591.199999999953</v>
      </c>
      <c r="W2284" s="18">
        <f t="shared" si="287"/>
        <v>-7.9157677231152426E-2</v>
      </c>
    </row>
    <row r="2285" spans="1:23" x14ac:dyDescent="0.3">
      <c r="A2285" t="s">
        <v>494</v>
      </c>
      <c r="B2285" t="s">
        <v>1854</v>
      </c>
      <c r="C2285" t="s">
        <v>37</v>
      </c>
      <c r="D2285" t="s">
        <v>17</v>
      </c>
      <c r="E2285">
        <v>3777</v>
      </c>
      <c r="F2285">
        <v>174.89</v>
      </c>
      <c r="G2285">
        <v>169.53</v>
      </c>
      <c r="H2285">
        <v>174.89</v>
      </c>
      <c r="I2285">
        <v>2605</v>
      </c>
      <c r="J2285">
        <v>61</v>
      </c>
      <c r="K2285" s="17">
        <f t="shared" si="281"/>
        <v>5296.833333333333</v>
      </c>
      <c r="L2285" t="str">
        <f t="shared" si="282"/>
        <v>High Risk</v>
      </c>
      <c r="P2285" s="19">
        <f t="shared" si="283"/>
        <v>1520</v>
      </c>
      <c r="R2285" s="19">
        <f t="shared" si="280"/>
        <v>265832.8</v>
      </c>
      <c r="T2285" s="19">
        <f t="shared" si="284"/>
        <v>441625.65</v>
      </c>
      <c r="U2285" s="19">
        <f t="shared" si="285"/>
        <v>455588.44999999995</v>
      </c>
      <c r="V2285" s="21">
        <f t="shared" si="286"/>
        <v>13962.79999999993</v>
      </c>
      <c r="W2285" s="18">
        <f t="shared" si="287"/>
        <v>3.161682298118311E-2</v>
      </c>
    </row>
    <row r="2286" spans="1:23" x14ac:dyDescent="0.3">
      <c r="A2286" t="s">
        <v>801</v>
      </c>
      <c r="B2286" t="s">
        <v>2624</v>
      </c>
      <c r="C2286" t="s">
        <v>16</v>
      </c>
      <c r="D2286" t="s">
        <v>13</v>
      </c>
      <c r="E2286">
        <v>3777</v>
      </c>
      <c r="F2286">
        <v>570.75</v>
      </c>
      <c r="G2286">
        <v>483.08</v>
      </c>
      <c r="H2286">
        <v>570.75</v>
      </c>
      <c r="I2286">
        <v>1498</v>
      </c>
      <c r="J2286">
        <v>43</v>
      </c>
      <c r="K2286" s="17">
        <f t="shared" si="281"/>
        <v>2147.1333333333332</v>
      </c>
      <c r="L2286" t="str">
        <f t="shared" si="282"/>
        <v>Sufficuent Stock</v>
      </c>
      <c r="P2286" s="19">
        <f t="shared" si="283"/>
        <v>0</v>
      </c>
      <c r="R2286" s="19">
        <f t="shared" si="280"/>
        <v>0</v>
      </c>
      <c r="T2286" s="19">
        <f t="shared" si="284"/>
        <v>723653.84</v>
      </c>
      <c r="U2286" s="19">
        <f t="shared" si="285"/>
        <v>854983.5</v>
      </c>
      <c r="V2286" s="21">
        <f t="shared" si="286"/>
        <v>131329.66000000003</v>
      </c>
      <c r="W2286" s="18">
        <f t="shared" si="287"/>
        <v>0.18148132814440679</v>
      </c>
    </row>
    <row r="2287" spans="1:23" x14ac:dyDescent="0.3">
      <c r="A2287" t="s">
        <v>712</v>
      </c>
      <c r="B2287" t="s">
        <v>757</v>
      </c>
      <c r="C2287" t="s">
        <v>16</v>
      </c>
      <c r="D2287" t="s">
        <v>13</v>
      </c>
      <c r="E2287">
        <v>3781</v>
      </c>
      <c r="F2287">
        <v>352.64</v>
      </c>
      <c r="G2287">
        <v>298.41000000000003</v>
      </c>
      <c r="H2287">
        <v>352.64</v>
      </c>
      <c r="I2287">
        <v>920</v>
      </c>
      <c r="J2287">
        <v>41</v>
      </c>
      <c r="K2287" s="17">
        <f t="shared" si="281"/>
        <v>1257.3333333333335</v>
      </c>
      <c r="L2287" t="str">
        <f t="shared" si="282"/>
        <v>Sufficuent Stock</v>
      </c>
      <c r="P2287" s="19">
        <f t="shared" si="283"/>
        <v>0</v>
      </c>
      <c r="R2287" s="19">
        <f t="shared" si="280"/>
        <v>0</v>
      </c>
      <c r="T2287" s="19">
        <f t="shared" si="284"/>
        <v>274537.2</v>
      </c>
      <c r="U2287" s="19">
        <f t="shared" si="285"/>
        <v>324428.79999999999</v>
      </c>
      <c r="V2287" s="21">
        <f t="shared" si="286"/>
        <v>49891.599999999977</v>
      </c>
      <c r="W2287" s="18">
        <f t="shared" si="287"/>
        <v>0.1817298347910592</v>
      </c>
    </row>
    <row r="2288" spans="1:23" x14ac:dyDescent="0.3">
      <c r="A2288" t="s">
        <v>98</v>
      </c>
      <c r="B2288" t="s">
        <v>1945</v>
      </c>
      <c r="C2288" t="s">
        <v>16</v>
      </c>
      <c r="D2288" t="s">
        <v>69</v>
      </c>
      <c r="E2288">
        <v>3783</v>
      </c>
      <c r="F2288">
        <v>258.33999999999997</v>
      </c>
      <c r="G2288">
        <v>256.52</v>
      </c>
      <c r="H2288">
        <v>258.33999999999997</v>
      </c>
      <c r="I2288">
        <v>3701</v>
      </c>
      <c r="J2288">
        <v>67</v>
      </c>
      <c r="K2288" s="17">
        <f t="shared" si="281"/>
        <v>8265.5666666666657</v>
      </c>
      <c r="L2288" t="str">
        <f t="shared" si="282"/>
        <v>High Risk</v>
      </c>
      <c r="P2288" s="19">
        <f t="shared" si="283"/>
        <v>4483</v>
      </c>
      <c r="R2288" s="19">
        <f t="shared" si="280"/>
        <v>1158138.22</v>
      </c>
      <c r="T2288" s="19">
        <f t="shared" si="284"/>
        <v>949380.5199999999</v>
      </c>
      <c r="U2288" s="19">
        <f t="shared" si="285"/>
        <v>956116.33999999985</v>
      </c>
      <c r="V2288" s="21">
        <f t="shared" si="286"/>
        <v>6735.8199999999488</v>
      </c>
      <c r="W2288" s="18">
        <f t="shared" si="287"/>
        <v>7.0949633556837144E-3</v>
      </c>
    </row>
    <row r="2289" spans="1:23" x14ac:dyDescent="0.3">
      <c r="A2289" t="s">
        <v>855</v>
      </c>
      <c r="B2289" t="s">
        <v>1798</v>
      </c>
      <c r="C2289" t="s">
        <v>16</v>
      </c>
      <c r="D2289" t="s">
        <v>17</v>
      </c>
      <c r="E2289">
        <v>3783</v>
      </c>
      <c r="F2289">
        <v>539.21</v>
      </c>
      <c r="G2289">
        <v>457.22</v>
      </c>
      <c r="H2289">
        <v>539.21</v>
      </c>
      <c r="I2289">
        <v>1021</v>
      </c>
      <c r="J2289">
        <v>36</v>
      </c>
      <c r="K2289" s="17">
        <f t="shared" si="281"/>
        <v>1225.1999999999998</v>
      </c>
      <c r="L2289" t="str">
        <f t="shared" si="282"/>
        <v>Sufficuent Stock</v>
      </c>
      <c r="P2289" s="19">
        <f t="shared" si="283"/>
        <v>0</v>
      </c>
      <c r="R2289" s="19">
        <f t="shared" si="280"/>
        <v>0</v>
      </c>
      <c r="T2289" s="19">
        <f t="shared" si="284"/>
        <v>466821.62000000005</v>
      </c>
      <c r="U2289" s="19">
        <f t="shared" si="285"/>
        <v>550533.41</v>
      </c>
      <c r="V2289" s="21">
        <f t="shared" si="286"/>
        <v>83711.789999999979</v>
      </c>
      <c r="W2289" s="18">
        <f t="shared" si="287"/>
        <v>0.17932286426665495</v>
      </c>
    </row>
    <row r="2290" spans="1:23" x14ac:dyDescent="0.3">
      <c r="A2290" t="s">
        <v>1939</v>
      </c>
      <c r="B2290" t="s">
        <v>1940</v>
      </c>
      <c r="C2290" t="s">
        <v>37</v>
      </c>
      <c r="D2290" t="s">
        <v>26</v>
      </c>
      <c r="E2290">
        <v>3784</v>
      </c>
      <c r="F2290">
        <v>518.76</v>
      </c>
      <c r="G2290">
        <v>484.8</v>
      </c>
      <c r="H2290">
        <v>518.76</v>
      </c>
      <c r="I2290">
        <v>3265</v>
      </c>
      <c r="J2290">
        <v>26</v>
      </c>
      <c r="K2290" s="17">
        <f t="shared" si="281"/>
        <v>2829.6666666666665</v>
      </c>
      <c r="L2290" t="str">
        <f t="shared" si="282"/>
        <v>Sufficuent Stock</v>
      </c>
      <c r="P2290" s="19">
        <f t="shared" si="283"/>
        <v>0</v>
      </c>
      <c r="R2290" s="19">
        <f t="shared" si="280"/>
        <v>0</v>
      </c>
      <c r="T2290" s="19">
        <f t="shared" si="284"/>
        <v>1582872</v>
      </c>
      <c r="U2290" s="19">
        <f t="shared" si="285"/>
        <v>1693751.4</v>
      </c>
      <c r="V2290" s="21">
        <f t="shared" si="286"/>
        <v>110879.39999999991</v>
      </c>
      <c r="W2290" s="18">
        <f t="shared" si="287"/>
        <v>7.0049504950494987E-2</v>
      </c>
    </row>
    <row r="2291" spans="1:23" x14ac:dyDescent="0.3">
      <c r="A2291" t="s">
        <v>280</v>
      </c>
      <c r="B2291" t="s">
        <v>587</v>
      </c>
      <c r="C2291" t="s">
        <v>16</v>
      </c>
      <c r="D2291" t="s">
        <v>69</v>
      </c>
      <c r="E2291">
        <v>3785</v>
      </c>
      <c r="F2291">
        <v>410.92</v>
      </c>
      <c r="G2291">
        <v>361.1</v>
      </c>
      <c r="H2291">
        <v>410.92</v>
      </c>
      <c r="I2291">
        <v>509</v>
      </c>
      <c r="J2291">
        <v>15</v>
      </c>
      <c r="K2291" s="17">
        <f t="shared" si="281"/>
        <v>254.49999999999997</v>
      </c>
      <c r="L2291" t="str">
        <f t="shared" si="282"/>
        <v>Sufficuent Stock</v>
      </c>
      <c r="P2291" s="19">
        <f t="shared" si="283"/>
        <v>0</v>
      </c>
      <c r="R2291" s="19">
        <f t="shared" si="280"/>
        <v>0</v>
      </c>
      <c r="T2291" s="19">
        <f t="shared" si="284"/>
        <v>183799.90000000002</v>
      </c>
      <c r="U2291" s="19">
        <f t="shared" si="285"/>
        <v>209158.28</v>
      </c>
      <c r="V2291" s="21">
        <f t="shared" si="286"/>
        <v>25358.379999999976</v>
      </c>
      <c r="W2291" s="18">
        <f t="shared" si="287"/>
        <v>0.13796732207144821</v>
      </c>
    </row>
    <row r="2292" spans="1:23" x14ac:dyDescent="0.3">
      <c r="A2292" t="s">
        <v>416</v>
      </c>
      <c r="B2292" t="s">
        <v>417</v>
      </c>
      <c r="C2292" t="s">
        <v>50</v>
      </c>
      <c r="D2292" t="s">
        <v>20</v>
      </c>
      <c r="E2292">
        <v>3786</v>
      </c>
      <c r="F2292">
        <v>303.82</v>
      </c>
      <c r="G2292">
        <v>311.44</v>
      </c>
      <c r="H2292">
        <v>303.82</v>
      </c>
      <c r="I2292">
        <v>1319</v>
      </c>
      <c r="J2292">
        <v>43</v>
      </c>
      <c r="K2292" s="17">
        <f t="shared" si="281"/>
        <v>1890.5666666666668</v>
      </c>
      <c r="L2292" t="str">
        <f t="shared" si="282"/>
        <v>Sufficuent Stock</v>
      </c>
      <c r="P2292" s="19">
        <f t="shared" si="283"/>
        <v>0</v>
      </c>
      <c r="R2292" s="19">
        <f t="shared" si="280"/>
        <v>0</v>
      </c>
      <c r="T2292" s="19">
        <f t="shared" si="284"/>
        <v>410789.36</v>
      </c>
      <c r="U2292" s="19">
        <f t="shared" si="285"/>
        <v>400738.58</v>
      </c>
      <c r="V2292" s="21">
        <f t="shared" si="286"/>
        <v>-10050.77999999997</v>
      </c>
      <c r="W2292" s="18">
        <f t="shared" si="287"/>
        <v>-2.4466992036989394E-2</v>
      </c>
    </row>
    <row r="2293" spans="1:23" x14ac:dyDescent="0.3">
      <c r="A2293" t="s">
        <v>149</v>
      </c>
      <c r="B2293" t="s">
        <v>2042</v>
      </c>
      <c r="C2293" t="s">
        <v>23</v>
      </c>
      <c r="D2293" t="s">
        <v>17</v>
      </c>
      <c r="E2293">
        <v>3786</v>
      </c>
      <c r="F2293">
        <v>418.07</v>
      </c>
      <c r="G2293">
        <v>435.19</v>
      </c>
      <c r="H2293">
        <v>418.07</v>
      </c>
      <c r="I2293">
        <v>1696</v>
      </c>
      <c r="J2293">
        <v>12</v>
      </c>
      <c r="K2293" s="17">
        <f t="shared" si="281"/>
        <v>678.4</v>
      </c>
      <c r="L2293" t="str">
        <f t="shared" si="282"/>
        <v>Sufficuent Stock</v>
      </c>
      <c r="P2293" s="19">
        <f t="shared" si="283"/>
        <v>0</v>
      </c>
      <c r="R2293" s="19">
        <f t="shared" si="280"/>
        <v>0</v>
      </c>
      <c r="T2293" s="19">
        <f t="shared" si="284"/>
        <v>738082.24</v>
      </c>
      <c r="U2293" s="19">
        <f t="shared" si="285"/>
        <v>709046.72</v>
      </c>
      <c r="V2293" s="21">
        <f t="shared" si="286"/>
        <v>-29035.520000000019</v>
      </c>
      <c r="W2293" s="18">
        <f t="shared" si="287"/>
        <v>-3.933913922654475E-2</v>
      </c>
    </row>
    <row r="2294" spans="1:23" x14ac:dyDescent="0.3">
      <c r="A2294" t="s">
        <v>90</v>
      </c>
      <c r="B2294" t="s">
        <v>2403</v>
      </c>
      <c r="C2294" t="s">
        <v>37</v>
      </c>
      <c r="D2294" t="s">
        <v>69</v>
      </c>
      <c r="E2294">
        <v>3787</v>
      </c>
      <c r="F2294">
        <v>21.12</v>
      </c>
      <c r="G2294">
        <v>21.87</v>
      </c>
      <c r="H2294">
        <v>21.12</v>
      </c>
      <c r="I2294">
        <v>2214</v>
      </c>
      <c r="J2294">
        <v>54</v>
      </c>
      <c r="K2294" s="17">
        <f t="shared" si="281"/>
        <v>3985.2</v>
      </c>
      <c r="L2294" t="str">
        <f t="shared" si="282"/>
        <v>High Risk</v>
      </c>
      <c r="P2294" s="19">
        <f t="shared" si="283"/>
        <v>199</v>
      </c>
      <c r="R2294" s="19">
        <f t="shared" si="280"/>
        <v>4202.88</v>
      </c>
      <c r="T2294" s="19">
        <f t="shared" si="284"/>
        <v>48420.18</v>
      </c>
      <c r="U2294" s="19">
        <f t="shared" si="285"/>
        <v>46759.68</v>
      </c>
      <c r="V2294" s="21">
        <f t="shared" si="286"/>
        <v>-1660.5</v>
      </c>
      <c r="W2294" s="18">
        <f t="shared" si="287"/>
        <v>-3.4293552812071332E-2</v>
      </c>
    </row>
    <row r="2295" spans="1:23" x14ac:dyDescent="0.3">
      <c r="A2295" t="s">
        <v>238</v>
      </c>
      <c r="B2295" t="s">
        <v>476</v>
      </c>
      <c r="C2295" t="s">
        <v>12</v>
      </c>
      <c r="D2295" t="s">
        <v>69</v>
      </c>
      <c r="E2295">
        <v>3788</v>
      </c>
      <c r="F2295">
        <v>35.31</v>
      </c>
      <c r="G2295">
        <v>31.59</v>
      </c>
      <c r="H2295">
        <v>35.31</v>
      </c>
      <c r="I2295">
        <v>3032</v>
      </c>
      <c r="J2295">
        <v>50</v>
      </c>
      <c r="K2295" s="17">
        <f t="shared" si="281"/>
        <v>5053.333333333333</v>
      </c>
      <c r="L2295" t="str">
        <f t="shared" si="282"/>
        <v>High Risk</v>
      </c>
      <c r="P2295" s="19">
        <f t="shared" si="283"/>
        <v>1266</v>
      </c>
      <c r="R2295" s="19">
        <f t="shared" si="280"/>
        <v>44702.460000000006</v>
      </c>
      <c r="T2295" s="19">
        <f t="shared" si="284"/>
        <v>95780.88</v>
      </c>
      <c r="U2295" s="19">
        <f t="shared" si="285"/>
        <v>107059.92000000001</v>
      </c>
      <c r="V2295" s="21">
        <f t="shared" si="286"/>
        <v>11279.040000000008</v>
      </c>
      <c r="W2295" s="18">
        <f t="shared" si="287"/>
        <v>0.11775878442545117</v>
      </c>
    </row>
    <row r="2296" spans="1:23" x14ac:dyDescent="0.3">
      <c r="A2296" t="s">
        <v>884</v>
      </c>
      <c r="B2296" t="s">
        <v>1088</v>
      </c>
      <c r="C2296" t="s">
        <v>16</v>
      </c>
      <c r="D2296" t="s">
        <v>20</v>
      </c>
      <c r="E2296">
        <v>3788</v>
      </c>
      <c r="F2296">
        <v>452.43</v>
      </c>
      <c r="G2296">
        <v>465.39</v>
      </c>
      <c r="H2296">
        <v>452.43</v>
      </c>
      <c r="I2296">
        <v>1283</v>
      </c>
      <c r="J2296">
        <v>51</v>
      </c>
      <c r="K2296" s="17">
        <f t="shared" si="281"/>
        <v>2181.1</v>
      </c>
      <c r="L2296" t="str">
        <f t="shared" si="282"/>
        <v>Sufficuent Stock</v>
      </c>
      <c r="P2296" s="19">
        <f t="shared" si="283"/>
        <v>0</v>
      </c>
      <c r="R2296" s="19">
        <f t="shared" si="280"/>
        <v>0</v>
      </c>
      <c r="T2296" s="19">
        <f t="shared" si="284"/>
        <v>597095.37</v>
      </c>
      <c r="U2296" s="19">
        <f t="shared" si="285"/>
        <v>580467.69000000006</v>
      </c>
      <c r="V2296" s="21">
        <f t="shared" si="286"/>
        <v>-16627.679999999935</v>
      </c>
      <c r="W2296" s="18">
        <f t="shared" si="287"/>
        <v>-2.7847611680525901E-2</v>
      </c>
    </row>
    <row r="2297" spans="1:23" x14ac:dyDescent="0.3">
      <c r="A2297" t="s">
        <v>879</v>
      </c>
      <c r="B2297" t="s">
        <v>1142</v>
      </c>
      <c r="C2297" t="s">
        <v>37</v>
      </c>
      <c r="D2297" t="s">
        <v>20</v>
      </c>
      <c r="E2297">
        <v>3793</v>
      </c>
      <c r="F2297">
        <v>324.25</v>
      </c>
      <c r="G2297">
        <v>284.64</v>
      </c>
      <c r="H2297">
        <v>324.25</v>
      </c>
      <c r="I2297">
        <v>1329</v>
      </c>
      <c r="J2297">
        <v>27</v>
      </c>
      <c r="K2297" s="17">
        <f t="shared" si="281"/>
        <v>1196.0999999999999</v>
      </c>
      <c r="L2297" t="str">
        <f t="shared" si="282"/>
        <v>Sufficuent Stock</v>
      </c>
      <c r="P2297" s="19">
        <f t="shared" si="283"/>
        <v>0</v>
      </c>
      <c r="R2297" s="19">
        <f t="shared" si="280"/>
        <v>0</v>
      </c>
      <c r="T2297" s="19">
        <f t="shared" si="284"/>
        <v>378286.56</v>
      </c>
      <c r="U2297" s="19">
        <f t="shared" si="285"/>
        <v>430928.25</v>
      </c>
      <c r="V2297" s="21">
        <f t="shared" si="286"/>
        <v>52641.69</v>
      </c>
      <c r="W2297" s="18">
        <f t="shared" si="287"/>
        <v>0.13915823496346263</v>
      </c>
    </row>
    <row r="2298" spans="1:23" x14ac:dyDescent="0.3">
      <c r="A2298" t="s">
        <v>1559</v>
      </c>
      <c r="B2298" t="s">
        <v>1650</v>
      </c>
      <c r="C2298" t="s">
        <v>16</v>
      </c>
      <c r="D2298" t="s">
        <v>26</v>
      </c>
      <c r="E2298">
        <v>3794</v>
      </c>
      <c r="F2298">
        <v>93.31</v>
      </c>
      <c r="G2298">
        <v>87.24</v>
      </c>
      <c r="H2298">
        <v>93.31</v>
      </c>
      <c r="I2298">
        <v>743</v>
      </c>
      <c r="J2298">
        <v>63</v>
      </c>
      <c r="K2298" s="17">
        <f t="shared" si="281"/>
        <v>1560.3</v>
      </c>
      <c r="L2298" t="str">
        <f t="shared" si="282"/>
        <v>Sufficuent Stock</v>
      </c>
      <c r="P2298" s="19">
        <f t="shared" si="283"/>
        <v>0</v>
      </c>
      <c r="R2298" s="19">
        <f t="shared" si="280"/>
        <v>0</v>
      </c>
      <c r="T2298" s="19">
        <f t="shared" si="284"/>
        <v>64819.32</v>
      </c>
      <c r="U2298" s="19">
        <f t="shared" si="285"/>
        <v>69329.33</v>
      </c>
      <c r="V2298" s="21">
        <f t="shared" si="286"/>
        <v>4510.010000000002</v>
      </c>
      <c r="W2298" s="18">
        <f t="shared" si="287"/>
        <v>6.9578175149014251E-2</v>
      </c>
    </row>
    <row r="2299" spans="1:23" x14ac:dyDescent="0.3">
      <c r="A2299" t="s">
        <v>438</v>
      </c>
      <c r="B2299" t="s">
        <v>1341</v>
      </c>
      <c r="C2299" t="s">
        <v>16</v>
      </c>
      <c r="D2299" t="s">
        <v>17</v>
      </c>
      <c r="E2299">
        <v>3797</v>
      </c>
      <c r="F2299">
        <v>93.14</v>
      </c>
      <c r="G2299">
        <v>101.74</v>
      </c>
      <c r="H2299">
        <v>93.14</v>
      </c>
      <c r="I2299">
        <v>2827</v>
      </c>
      <c r="J2299">
        <v>62</v>
      </c>
      <c r="K2299" s="17">
        <f t="shared" si="281"/>
        <v>5842.4666666666672</v>
      </c>
      <c r="L2299" t="str">
        <f t="shared" si="282"/>
        <v>High Risk</v>
      </c>
      <c r="P2299" s="19">
        <f t="shared" si="283"/>
        <v>2046</v>
      </c>
      <c r="R2299" s="19">
        <f t="shared" si="280"/>
        <v>190564.44</v>
      </c>
      <c r="T2299" s="19">
        <f t="shared" si="284"/>
        <v>287618.98</v>
      </c>
      <c r="U2299" s="19">
        <f t="shared" si="285"/>
        <v>263306.78000000003</v>
      </c>
      <c r="V2299" s="21">
        <f t="shared" si="286"/>
        <v>-24312.199999999953</v>
      </c>
      <c r="W2299" s="18">
        <f t="shared" si="287"/>
        <v>-8.4529192058187375E-2</v>
      </c>
    </row>
    <row r="2300" spans="1:23" x14ac:dyDescent="0.3">
      <c r="A2300" t="s">
        <v>992</v>
      </c>
      <c r="B2300" t="s">
        <v>1304</v>
      </c>
      <c r="C2300" t="s">
        <v>23</v>
      </c>
      <c r="D2300" t="s">
        <v>17</v>
      </c>
      <c r="E2300">
        <v>3799</v>
      </c>
      <c r="F2300">
        <v>114.7</v>
      </c>
      <c r="G2300">
        <v>111.58</v>
      </c>
      <c r="H2300">
        <v>114.7</v>
      </c>
      <c r="I2300">
        <v>3832</v>
      </c>
      <c r="J2300">
        <v>87</v>
      </c>
      <c r="K2300" s="17">
        <f t="shared" si="281"/>
        <v>11112.8</v>
      </c>
      <c r="L2300" t="str">
        <f t="shared" si="282"/>
        <v>High Risk</v>
      </c>
      <c r="P2300" s="19">
        <f t="shared" si="283"/>
        <v>7314</v>
      </c>
      <c r="R2300" s="19">
        <f t="shared" si="280"/>
        <v>838915.8</v>
      </c>
      <c r="T2300" s="19">
        <f t="shared" si="284"/>
        <v>427574.56</v>
      </c>
      <c r="U2300" s="19">
        <f t="shared" si="285"/>
        <v>439530.4</v>
      </c>
      <c r="V2300" s="21">
        <f t="shared" si="286"/>
        <v>11955.840000000026</v>
      </c>
      <c r="W2300" s="18">
        <f t="shared" si="287"/>
        <v>2.7962000358487244E-2</v>
      </c>
    </row>
    <row r="2301" spans="1:23" x14ac:dyDescent="0.3">
      <c r="A2301" t="s">
        <v>782</v>
      </c>
      <c r="B2301" t="s">
        <v>2797</v>
      </c>
      <c r="C2301" t="s">
        <v>23</v>
      </c>
      <c r="D2301" t="s">
        <v>20</v>
      </c>
      <c r="E2301">
        <v>3800</v>
      </c>
      <c r="F2301">
        <v>300.16000000000003</v>
      </c>
      <c r="G2301">
        <v>252</v>
      </c>
      <c r="H2301">
        <v>300.16000000000003</v>
      </c>
      <c r="I2301">
        <v>2694</v>
      </c>
      <c r="J2301">
        <v>46</v>
      </c>
      <c r="K2301" s="17">
        <f t="shared" si="281"/>
        <v>4130.8</v>
      </c>
      <c r="L2301" t="str">
        <f t="shared" si="282"/>
        <v>High Risk</v>
      </c>
      <c r="P2301" s="19">
        <f t="shared" si="283"/>
        <v>331</v>
      </c>
      <c r="R2301" s="19">
        <f t="shared" si="280"/>
        <v>99352.960000000006</v>
      </c>
      <c r="T2301" s="19">
        <f t="shared" si="284"/>
        <v>678888</v>
      </c>
      <c r="U2301" s="19">
        <f t="shared" si="285"/>
        <v>808631.04</v>
      </c>
      <c r="V2301" s="21">
        <f t="shared" si="286"/>
        <v>129743.04000000004</v>
      </c>
      <c r="W2301" s="18">
        <f t="shared" si="287"/>
        <v>0.19111111111111118</v>
      </c>
    </row>
    <row r="2302" spans="1:23" x14ac:dyDescent="0.3">
      <c r="A2302" t="s">
        <v>413</v>
      </c>
      <c r="B2302" t="s">
        <v>816</v>
      </c>
      <c r="C2302" t="s">
        <v>50</v>
      </c>
      <c r="D2302" t="s">
        <v>26</v>
      </c>
      <c r="E2302">
        <v>3800</v>
      </c>
      <c r="F2302">
        <v>47.11</v>
      </c>
      <c r="G2302">
        <v>43.77</v>
      </c>
      <c r="H2302">
        <v>47.11</v>
      </c>
      <c r="I2302">
        <v>931</v>
      </c>
      <c r="J2302">
        <v>45</v>
      </c>
      <c r="K2302" s="17">
        <f t="shared" si="281"/>
        <v>1396.5</v>
      </c>
      <c r="L2302" t="str">
        <f t="shared" si="282"/>
        <v>Sufficuent Stock</v>
      </c>
      <c r="P2302" s="19">
        <f t="shared" si="283"/>
        <v>0</v>
      </c>
      <c r="R2302" s="19">
        <f t="shared" si="280"/>
        <v>0</v>
      </c>
      <c r="T2302" s="19">
        <f t="shared" si="284"/>
        <v>40749.870000000003</v>
      </c>
      <c r="U2302" s="19">
        <f t="shared" si="285"/>
        <v>43859.409999999996</v>
      </c>
      <c r="V2302" s="21">
        <f t="shared" si="286"/>
        <v>3109.5399999999936</v>
      </c>
      <c r="W2302" s="18">
        <f t="shared" si="287"/>
        <v>7.6307973497829404E-2</v>
      </c>
    </row>
    <row r="2303" spans="1:23" x14ac:dyDescent="0.3">
      <c r="A2303" t="s">
        <v>115</v>
      </c>
      <c r="B2303" t="s">
        <v>318</v>
      </c>
      <c r="C2303" t="s">
        <v>23</v>
      </c>
      <c r="D2303" t="s">
        <v>13</v>
      </c>
      <c r="E2303">
        <v>3802</v>
      </c>
      <c r="F2303">
        <v>472.35</v>
      </c>
      <c r="G2303">
        <v>448.49</v>
      </c>
      <c r="H2303">
        <v>472.35</v>
      </c>
      <c r="I2303">
        <v>3240</v>
      </c>
      <c r="J2303">
        <v>78</v>
      </c>
      <c r="K2303" s="17">
        <f t="shared" si="281"/>
        <v>8424</v>
      </c>
      <c r="L2303" t="str">
        <f t="shared" si="282"/>
        <v>High Risk</v>
      </c>
      <c r="P2303" s="19">
        <f t="shared" si="283"/>
        <v>4622</v>
      </c>
      <c r="R2303" s="19">
        <f t="shared" si="280"/>
        <v>2183201.7000000002</v>
      </c>
      <c r="T2303" s="19">
        <f t="shared" si="284"/>
        <v>1453107.6</v>
      </c>
      <c r="U2303" s="19">
        <f t="shared" si="285"/>
        <v>1530414</v>
      </c>
      <c r="V2303" s="21">
        <f t="shared" si="286"/>
        <v>77306.399999999907</v>
      </c>
      <c r="W2303" s="18">
        <f t="shared" si="287"/>
        <v>5.3200740261767195E-2</v>
      </c>
    </row>
    <row r="2304" spans="1:23" x14ac:dyDescent="0.3">
      <c r="A2304" t="s">
        <v>615</v>
      </c>
      <c r="B2304" t="s">
        <v>2150</v>
      </c>
      <c r="C2304" t="s">
        <v>12</v>
      </c>
      <c r="D2304" t="s">
        <v>13</v>
      </c>
      <c r="E2304">
        <v>3805</v>
      </c>
      <c r="F2304">
        <v>327.14</v>
      </c>
      <c r="G2304">
        <v>281.52999999999997</v>
      </c>
      <c r="H2304">
        <v>327.14</v>
      </c>
      <c r="I2304">
        <v>3768</v>
      </c>
      <c r="J2304">
        <v>64</v>
      </c>
      <c r="K2304" s="17">
        <f t="shared" si="281"/>
        <v>8038.4</v>
      </c>
      <c r="L2304" t="str">
        <f t="shared" si="282"/>
        <v>High Risk</v>
      </c>
      <c r="P2304" s="19">
        <f t="shared" si="283"/>
        <v>4234</v>
      </c>
      <c r="R2304" s="19">
        <f t="shared" si="280"/>
        <v>1385110.76</v>
      </c>
      <c r="T2304" s="19">
        <f t="shared" si="284"/>
        <v>1060805.0399999998</v>
      </c>
      <c r="U2304" s="19">
        <f t="shared" si="285"/>
        <v>1232663.52</v>
      </c>
      <c r="V2304" s="21">
        <f t="shared" si="286"/>
        <v>171858.48000000021</v>
      </c>
      <c r="W2304" s="18">
        <f t="shared" si="287"/>
        <v>0.16200760132135142</v>
      </c>
    </row>
    <row r="2305" spans="1:23" x14ac:dyDescent="0.3">
      <c r="A2305" t="s">
        <v>541</v>
      </c>
      <c r="B2305" t="s">
        <v>3284</v>
      </c>
      <c r="C2305" t="s">
        <v>37</v>
      </c>
      <c r="D2305" t="s">
        <v>69</v>
      </c>
      <c r="E2305">
        <v>3808</v>
      </c>
      <c r="F2305">
        <v>355.13</v>
      </c>
      <c r="G2305">
        <v>317.56</v>
      </c>
      <c r="H2305">
        <v>355.13</v>
      </c>
      <c r="I2305">
        <v>217</v>
      </c>
      <c r="J2305">
        <v>63</v>
      </c>
      <c r="K2305" s="17">
        <f t="shared" si="281"/>
        <v>455.7</v>
      </c>
      <c r="L2305" t="str">
        <f t="shared" si="282"/>
        <v>Sufficuent Stock</v>
      </c>
      <c r="P2305" s="19">
        <f t="shared" si="283"/>
        <v>0</v>
      </c>
      <c r="R2305" s="19">
        <f t="shared" si="280"/>
        <v>0</v>
      </c>
      <c r="T2305" s="19">
        <f t="shared" si="284"/>
        <v>68910.52</v>
      </c>
      <c r="U2305" s="19">
        <f t="shared" si="285"/>
        <v>77063.209999999992</v>
      </c>
      <c r="V2305" s="21">
        <f t="shared" si="286"/>
        <v>8152.6899999999878</v>
      </c>
      <c r="W2305" s="18">
        <f t="shared" si="287"/>
        <v>0.11830835117773</v>
      </c>
    </row>
    <row r="2306" spans="1:23" x14ac:dyDescent="0.3">
      <c r="A2306" t="s">
        <v>260</v>
      </c>
      <c r="B2306" t="s">
        <v>2968</v>
      </c>
      <c r="C2306" t="s">
        <v>50</v>
      </c>
      <c r="D2306" t="s">
        <v>13</v>
      </c>
      <c r="E2306">
        <v>3808</v>
      </c>
      <c r="F2306">
        <v>195.88</v>
      </c>
      <c r="G2306">
        <v>201.01</v>
      </c>
      <c r="H2306">
        <v>195.88</v>
      </c>
      <c r="I2306">
        <v>448</v>
      </c>
      <c r="J2306">
        <v>9</v>
      </c>
      <c r="K2306" s="17">
        <f t="shared" si="281"/>
        <v>134.4</v>
      </c>
      <c r="L2306" t="str">
        <f t="shared" si="282"/>
        <v>Sufficuent Stock</v>
      </c>
      <c r="P2306" s="19">
        <f t="shared" si="283"/>
        <v>0</v>
      </c>
      <c r="R2306" s="19">
        <f t="shared" ref="R2306:R2369" si="288">P2306*H2306</f>
        <v>0</v>
      </c>
      <c r="T2306" s="19">
        <f t="shared" si="284"/>
        <v>90052.479999999996</v>
      </c>
      <c r="U2306" s="19">
        <f t="shared" si="285"/>
        <v>87754.239999999991</v>
      </c>
      <c r="V2306" s="21">
        <f t="shared" si="286"/>
        <v>-2298.2400000000052</v>
      </c>
      <c r="W2306" s="18">
        <f t="shared" si="287"/>
        <v>-2.5521118352320838E-2</v>
      </c>
    </row>
    <row r="2307" spans="1:23" x14ac:dyDescent="0.3">
      <c r="A2307" t="s">
        <v>1379</v>
      </c>
      <c r="B2307" t="s">
        <v>2485</v>
      </c>
      <c r="C2307" t="s">
        <v>12</v>
      </c>
      <c r="D2307" t="s">
        <v>26</v>
      </c>
      <c r="E2307">
        <v>3813</v>
      </c>
      <c r="F2307">
        <v>316.02</v>
      </c>
      <c r="G2307">
        <v>324.27999999999997</v>
      </c>
      <c r="H2307">
        <v>316.02</v>
      </c>
      <c r="I2307">
        <v>1438</v>
      </c>
      <c r="J2307">
        <v>71</v>
      </c>
      <c r="K2307" s="17">
        <f t="shared" ref="K2307:K2370" si="289">(I2307/30)*J2307</f>
        <v>3403.2666666666664</v>
      </c>
      <c r="L2307" t="str">
        <f t="shared" ref="L2307:L2370" si="290">IF(E2307&lt;K2307,"High Risk","Sufficuent Stock")</f>
        <v>Sufficuent Stock</v>
      </c>
      <c r="P2307" s="19">
        <f t="shared" ref="P2307:P2370" si="291">ROUNDUP(MAX(0,K2307-E2307),0)</f>
        <v>0</v>
      </c>
      <c r="R2307" s="19">
        <f t="shared" si="288"/>
        <v>0</v>
      </c>
      <c r="T2307" s="19">
        <f t="shared" ref="T2307:T2370" si="292">I2307*G2307</f>
        <v>466314.63999999996</v>
      </c>
      <c r="U2307" s="19">
        <f t="shared" ref="U2307:U2370" si="293">I2307*H2307</f>
        <v>454436.75999999995</v>
      </c>
      <c r="V2307" s="21">
        <f t="shared" ref="V2307:V2370" si="294">U2307-T2307</f>
        <v>-11877.880000000005</v>
      </c>
      <c r="W2307" s="18">
        <f t="shared" ref="W2307:W2370" si="295">IFERROR(V2307/T2307,0)</f>
        <v>-2.5471814481312458E-2</v>
      </c>
    </row>
    <row r="2308" spans="1:23" x14ac:dyDescent="0.3">
      <c r="A2308" t="s">
        <v>1542</v>
      </c>
      <c r="B2308" t="s">
        <v>1543</v>
      </c>
      <c r="C2308" t="s">
        <v>37</v>
      </c>
      <c r="D2308" t="s">
        <v>26</v>
      </c>
      <c r="E2308">
        <v>3814</v>
      </c>
      <c r="F2308">
        <v>326.22000000000003</v>
      </c>
      <c r="G2308">
        <v>312.11</v>
      </c>
      <c r="H2308">
        <v>326.22000000000003</v>
      </c>
      <c r="I2308">
        <v>1424</v>
      </c>
      <c r="J2308">
        <v>32</v>
      </c>
      <c r="K2308" s="17">
        <f t="shared" si="289"/>
        <v>1518.9333333333334</v>
      </c>
      <c r="L2308" t="str">
        <f t="shared" si="290"/>
        <v>Sufficuent Stock</v>
      </c>
      <c r="P2308" s="19">
        <f t="shared" si="291"/>
        <v>0</v>
      </c>
      <c r="R2308" s="19">
        <f t="shared" si="288"/>
        <v>0</v>
      </c>
      <c r="T2308" s="19">
        <f t="shared" si="292"/>
        <v>444444.64</v>
      </c>
      <c r="U2308" s="19">
        <f t="shared" si="293"/>
        <v>464537.28</v>
      </c>
      <c r="V2308" s="21">
        <f t="shared" si="294"/>
        <v>20092.640000000014</v>
      </c>
      <c r="W2308" s="18">
        <f t="shared" si="295"/>
        <v>4.5208420108295184E-2</v>
      </c>
    </row>
    <row r="2309" spans="1:23" x14ac:dyDescent="0.3">
      <c r="A2309" t="s">
        <v>2201</v>
      </c>
      <c r="B2309" t="s">
        <v>2258</v>
      </c>
      <c r="C2309" t="s">
        <v>12</v>
      </c>
      <c r="D2309" t="s">
        <v>17</v>
      </c>
      <c r="E2309">
        <v>3815</v>
      </c>
      <c r="F2309">
        <v>434.87</v>
      </c>
      <c r="G2309">
        <v>412.43</v>
      </c>
      <c r="H2309">
        <v>434.87</v>
      </c>
      <c r="I2309">
        <v>3465</v>
      </c>
      <c r="J2309">
        <v>17</v>
      </c>
      <c r="K2309" s="17">
        <f t="shared" si="289"/>
        <v>1963.5</v>
      </c>
      <c r="L2309" t="str">
        <f t="shared" si="290"/>
        <v>Sufficuent Stock</v>
      </c>
      <c r="P2309" s="19">
        <f t="shared" si="291"/>
        <v>0</v>
      </c>
      <c r="R2309" s="19">
        <f t="shared" si="288"/>
        <v>0</v>
      </c>
      <c r="T2309" s="19">
        <f t="shared" si="292"/>
        <v>1429069.95</v>
      </c>
      <c r="U2309" s="19">
        <f t="shared" si="293"/>
        <v>1506824.55</v>
      </c>
      <c r="V2309" s="21">
        <f t="shared" si="294"/>
        <v>77754.600000000093</v>
      </c>
      <c r="W2309" s="18">
        <f t="shared" si="295"/>
        <v>5.4409233081977613E-2</v>
      </c>
    </row>
    <row r="2310" spans="1:23" x14ac:dyDescent="0.3">
      <c r="A2310" t="s">
        <v>211</v>
      </c>
      <c r="B2310" t="s">
        <v>2215</v>
      </c>
      <c r="C2310" t="s">
        <v>37</v>
      </c>
      <c r="D2310" t="s">
        <v>69</v>
      </c>
      <c r="E2310">
        <v>3821</v>
      </c>
      <c r="F2310">
        <v>115.62</v>
      </c>
      <c r="G2310">
        <v>104.08</v>
      </c>
      <c r="H2310">
        <v>115.62</v>
      </c>
      <c r="I2310">
        <v>1106</v>
      </c>
      <c r="J2310">
        <v>60</v>
      </c>
      <c r="K2310" s="17">
        <f t="shared" si="289"/>
        <v>2212</v>
      </c>
      <c r="L2310" t="str">
        <f t="shared" si="290"/>
        <v>Sufficuent Stock</v>
      </c>
      <c r="P2310" s="19">
        <f t="shared" si="291"/>
        <v>0</v>
      </c>
      <c r="R2310" s="19">
        <f t="shared" si="288"/>
        <v>0</v>
      </c>
      <c r="T2310" s="19">
        <f t="shared" si="292"/>
        <v>115112.48</v>
      </c>
      <c r="U2310" s="19">
        <f t="shared" si="293"/>
        <v>127875.72</v>
      </c>
      <c r="V2310" s="21">
        <f t="shared" si="294"/>
        <v>12763.240000000005</v>
      </c>
      <c r="W2310" s="18">
        <f t="shared" si="295"/>
        <v>0.11087624903920067</v>
      </c>
    </row>
    <row r="2311" spans="1:23" x14ac:dyDescent="0.3">
      <c r="A2311" t="s">
        <v>10</v>
      </c>
      <c r="B2311" t="s">
        <v>2784</v>
      </c>
      <c r="C2311" t="s">
        <v>23</v>
      </c>
      <c r="D2311" t="s">
        <v>20</v>
      </c>
      <c r="E2311">
        <v>3822</v>
      </c>
      <c r="F2311">
        <v>451.71</v>
      </c>
      <c r="G2311">
        <v>449.45</v>
      </c>
      <c r="H2311">
        <v>451.71</v>
      </c>
      <c r="I2311">
        <v>2248</v>
      </c>
      <c r="J2311">
        <v>84</v>
      </c>
      <c r="K2311" s="17">
        <f t="shared" si="289"/>
        <v>6294.4000000000005</v>
      </c>
      <c r="L2311" t="str">
        <f t="shared" si="290"/>
        <v>High Risk</v>
      </c>
      <c r="P2311" s="19">
        <f t="shared" si="291"/>
        <v>2473</v>
      </c>
      <c r="R2311" s="19">
        <f t="shared" si="288"/>
        <v>1117078.8299999998</v>
      </c>
      <c r="T2311" s="19">
        <f t="shared" si="292"/>
        <v>1010363.6</v>
      </c>
      <c r="U2311" s="19">
        <f t="shared" si="293"/>
        <v>1015444.08</v>
      </c>
      <c r="V2311" s="21">
        <f t="shared" si="294"/>
        <v>5080.4799999999814</v>
      </c>
      <c r="W2311" s="18">
        <f t="shared" si="295"/>
        <v>5.0283680053398415E-3</v>
      </c>
    </row>
    <row r="2312" spans="1:23" x14ac:dyDescent="0.3">
      <c r="A2312" t="s">
        <v>1445</v>
      </c>
      <c r="B2312" t="s">
        <v>1551</v>
      </c>
      <c r="C2312" t="s">
        <v>23</v>
      </c>
      <c r="D2312" t="s">
        <v>69</v>
      </c>
      <c r="E2312">
        <v>3823</v>
      </c>
      <c r="F2312">
        <v>43.56</v>
      </c>
      <c r="G2312">
        <v>46.6</v>
      </c>
      <c r="H2312">
        <v>43.56</v>
      </c>
      <c r="I2312">
        <v>3102</v>
      </c>
      <c r="J2312">
        <v>74</v>
      </c>
      <c r="K2312" s="17">
        <f t="shared" si="289"/>
        <v>7651.6</v>
      </c>
      <c r="L2312" t="str">
        <f t="shared" si="290"/>
        <v>High Risk</v>
      </c>
      <c r="P2312" s="19">
        <f t="shared" si="291"/>
        <v>3829</v>
      </c>
      <c r="R2312" s="19">
        <f t="shared" si="288"/>
        <v>166791.24000000002</v>
      </c>
      <c r="T2312" s="19">
        <f t="shared" si="292"/>
        <v>144553.20000000001</v>
      </c>
      <c r="U2312" s="19">
        <f t="shared" si="293"/>
        <v>135123.12</v>
      </c>
      <c r="V2312" s="21">
        <f t="shared" si="294"/>
        <v>-9430.0800000000163</v>
      </c>
      <c r="W2312" s="18">
        <f t="shared" si="295"/>
        <v>-6.5236051502146036E-2</v>
      </c>
    </row>
    <row r="2313" spans="1:23" x14ac:dyDescent="0.3">
      <c r="A2313" t="s">
        <v>57</v>
      </c>
      <c r="B2313" t="s">
        <v>2206</v>
      </c>
      <c r="C2313" t="s">
        <v>23</v>
      </c>
      <c r="D2313" t="s">
        <v>13</v>
      </c>
      <c r="E2313">
        <v>3825</v>
      </c>
      <c r="F2313">
        <v>17.850000000000001</v>
      </c>
      <c r="G2313">
        <v>18.510000000000002</v>
      </c>
      <c r="H2313">
        <v>17.850000000000001</v>
      </c>
      <c r="I2313">
        <v>192</v>
      </c>
      <c r="J2313">
        <v>89</v>
      </c>
      <c r="K2313" s="17">
        <f t="shared" si="289"/>
        <v>569.6</v>
      </c>
      <c r="L2313" t="str">
        <f t="shared" si="290"/>
        <v>Sufficuent Stock</v>
      </c>
      <c r="P2313" s="19">
        <f t="shared" si="291"/>
        <v>0</v>
      </c>
      <c r="R2313" s="19">
        <f t="shared" si="288"/>
        <v>0</v>
      </c>
      <c r="T2313" s="19">
        <f t="shared" si="292"/>
        <v>3553.92</v>
      </c>
      <c r="U2313" s="19">
        <f t="shared" si="293"/>
        <v>3427.2000000000003</v>
      </c>
      <c r="V2313" s="21">
        <f t="shared" si="294"/>
        <v>-126.7199999999998</v>
      </c>
      <c r="W2313" s="18">
        <f t="shared" si="295"/>
        <v>-3.5656401944894597E-2</v>
      </c>
    </row>
    <row r="2314" spans="1:23" x14ac:dyDescent="0.3">
      <c r="A2314" t="s">
        <v>147</v>
      </c>
      <c r="B2314" t="s">
        <v>2913</v>
      </c>
      <c r="C2314" t="s">
        <v>16</v>
      </c>
      <c r="D2314" t="s">
        <v>26</v>
      </c>
      <c r="E2314">
        <v>3826</v>
      </c>
      <c r="F2314">
        <v>238.18</v>
      </c>
      <c r="G2314">
        <v>224.7</v>
      </c>
      <c r="H2314">
        <v>238.18</v>
      </c>
      <c r="I2314">
        <v>575</v>
      </c>
      <c r="J2314">
        <v>58</v>
      </c>
      <c r="K2314" s="17">
        <f t="shared" si="289"/>
        <v>1111.6666666666667</v>
      </c>
      <c r="L2314" t="str">
        <f t="shared" si="290"/>
        <v>Sufficuent Stock</v>
      </c>
      <c r="P2314" s="19">
        <f t="shared" si="291"/>
        <v>0</v>
      </c>
      <c r="R2314" s="19">
        <f t="shared" si="288"/>
        <v>0</v>
      </c>
      <c r="T2314" s="19">
        <f t="shared" si="292"/>
        <v>129202.5</v>
      </c>
      <c r="U2314" s="19">
        <f t="shared" si="293"/>
        <v>136953.5</v>
      </c>
      <c r="V2314" s="21">
        <f t="shared" si="294"/>
        <v>7751</v>
      </c>
      <c r="W2314" s="18">
        <f t="shared" si="295"/>
        <v>5.9991099243435694E-2</v>
      </c>
    </row>
    <row r="2315" spans="1:23" x14ac:dyDescent="0.3">
      <c r="A2315" t="s">
        <v>436</v>
      </c>
      <c r="B2315" t="s">
        <v>1728</v>
      </c>
      <c r="C2315" t="s">
        <v>16</v>
      </c>
      <c r="D2315" t="s">
        <v>20</v>
      </c>
      <c r="E2315">
        <v>3828</v>
      </c>
      <c r="F2315">
        <v>93.46</v>
      </c>
      <c r="G2315">
        <v>84.58</v>
      </c>
      <c r="H2315">
        <v>93.46</v>
      </c>
      <c r="I2315">
        <v>540</v>
      </c>
      <c r="J2315">
        <v>70</v>
      </c>
      <c r="K2315" s="17">
        <f t="shared" si="289"/>
        <v>1260</v>
      </c>
      <c r="L2315" t="str">
        <f t="shared" si="290"/>
        <v>Sufficuent Stock</v>
      </c>
      <c r="P2315" s="19">
        <f t="shared" si="291"/>
        <v>0</v>
      </c>
      <c r="R2315" s="19">
        <f t="shared" si="288"/>
        <v>0</v>
      </c>
      <c r="T2315" s="19">
        <f t="shared" si="292"/>
        <v>45673.2</v>
      </c>
      <c r="U2315" s="19">
        <f t="shared" si="293"/>
        <v>50468.399999999994</v>
      </c>
      <c r="V2315" s="21">
        <f t="shared" si="294"/>
        <v>4795.1999999999971</v>
      </c>
      <c r="W2315" s="18">
        <f t="shared" si="295"/>
        <v>0.10498935918656888</v>
      </c>
    </row>
    <row r="2316" spans="1:23" x14ac:dyDescent="0.3">
      <c r="A2316" t="s">
        <v>211</v>
      </c>
      <c r="B2316" t="s">
        <v>2761</v>
      </c>
      <c r="C2316" t="s">
        <v>23</v>
      </c>
      <c r="D2316" t="s">
        <v>17</v>
      </c>
      <c r="E2316">
        <v>3828</v>
      </c>
      <c r="F2316">
        <v>512.19000000000005</v>
      </c>
      <c r="G2316">
        <v>469.74</v>
      </c>
      <c r="H2316">
        <v>512.19000000000005</v>
      </c>
      <c r="I2316">
        <v>279</v>
      </c>
      <c r="J2316">
        <v>39</v>
      </c>
      <c r="K2316" s="17">
        <f t="shared" si="289"/>
        <v>362.70000000000005</v>
      </c>
      <c r="L2316" t="str">
        <f t="shared" si="290"/>
        <v>Sufficuent Stock</v>
      </c>
      <c r="P2316" s="19">
        <f t="shared" si="291"/>
        <v>0</v>
      </c>
      <c r="R2316" s="19">
        <f t="shared" si="288"/>
        <v>0</v>
      </c>
      <c r="T2316" s="19">
        <f t="shared" si="292"/>
        <v>131057.46</v>
      </c>
      <c r="U2316" s="19">
        <f t="shared" si="293"/>
        <v>142901.01</v>
      </c>
      <c r="V2316" s="21">
        <f t="shared" si="294"/>
        <v>11843.550000000003</v>
      </c>
      <c r="W2316" s="18">
        <f t="shared" si="295"/>
        <v>9.0369140375526902E-2</v>
      </c>
    </row>
    <row r="2317" spans="1:23" x14ac:dyDescent="0.3">
      <c r="A2317" t="s">
        <v>829</v>
      </c>
      <c r="B2317" t="s">
        <v>1522</v>
      </c>
      <c r="C2317" t="s">
        <v>16</v>
      </c>
      <c r="D2317" t="s">
        <v>20</v>
      </c>
      <c r="E2317">
        <v>3829</v>
      </c>
      <c r="F2317">
        <v>342.61</v>
      </c>
      <c r="G2317">
        <v>353.29</v>
      </c>
      <c r="H2317">
        <v>342.61</v>
      </c>
      <c r="I2317">
        <v>1772</v>
      </c>
      <c r="J2317">
        <v>11</v>
      </c>
      <c r="K2317" s="17">
        <f t="shared" si="289"/>
        <v>649.73333333333335</v>
      </c>
      <c r="L2317" t="str">
        <f t="shared" si="290"/>
        <v>Sufficuent Stock</v>
      </c>
      <c r="P2317" s="19">
        <f t="shared" si="291"/>
        <v>0</v>
      </c>
      <c r="R2317" s="19">
        <f t="shared" si="288"/>
        <v>0</v>
      </c>
      <c r="T2317" s="19">
        <f t="shared" si="292"/>
        <v>626029.88</v>
      </c>
      <c r="U2317" s="19">
        <f t="shared" si="293"/>
        <v>607104.92000000004</v>
      </c>
      <c r="V2317" s="21">
        <f t="shared" si="294"/>
        <v>-18924.959999999963</v>
      </c>
      <c r="W2317" s="18">
        <f t="shared" si="295"/>
        <v>-3.0230122562200964E-2</v>
      </c>
    </row>
    <row r="2318" spans="1:23" x14ac:dyDescent="0.3">
      <c r="A2318" t="s">
        <v>1353</v>
      </c>
      <c r="B2318" t="s">
        <v>2574</v>
      </c>
      <c r="C2318" t="s">
        <v>50</v>
      </c>
      <c r="D2318" t="s">
        <v>69</v>
      </c>
      <c r="E2318">
        <v>3830</v>
      </c>
      <c r="F2318">
        <v>113.75</v>
      </c>
      <c r="G2318">
        <v>111.43</v>
      </c>
      <c r="H2318">
        <v>113.75</v>
      </c>
      <c r="I2318">
        <v>3418</v>
      </c>
      <c r="J2318">
        <v>17</v>
      </c>
      <c r="K2318" s="17">
        <f t="shared" si="289"/>
        <v>1936.8666666666668</v>
      </c>
      <c r="L2318" t="str">
        <f t="shared" si="290"/>
        <v>Sufficuent Stock</v>
      </c>
      <c r="P2318" s="19">
        <f t="shared" si="291"/>
        <v>0</v>
      </c>
      <c r="R2318" s="19">
        <f t="shared" si="288"/>
        <v>0</v>
      </c>
      <c r="T2318" s="19">
        <f t="shared" si="292"/>
        <v>380867.74000000005</v>
      </c>
      <c r="U2318" s="19">
        <f t="shared" si="293"/>
        <v>388797.5</v>
      </c>
      <c r="V2318" s="21">
        <f t="shared" si="294"/>
        <v>7929.7599999999511</v>
      </c>
      <c r="W2318" s="18">
        <f t="shared" si="295"/>
        <v>2.0820245894283277E-2</v>
      </c>
    </row>
    <row r="2319" spans="1:23" x14ac:dyDescent="0.3">
      <c r="A2319" t="s">
        <v>462</v>
      </c>
      <c r="B2319" t="s">
        <v>2630</v>
      </c>
      <c r="C2319" t="s">
        <v>16</v>
      </c>
      <c r="D2319" t="s">
        <v>69</v>
      </c>
      <c r="E2319">
        <v>3830</v>
      </c>
      <c r="F2319">
        <v>339.05</v>
      </c>
      <c r="G2319">
        <v>322.55</v>
      </c>
      <c r="H2319">
        <v>339.05</v>
      </c>
      <c r="I2319">
        <v>3843</v>
      </c>
      <c r="J2319">
        <v>69</v>
      </c>
      <c r="K2319" s="17">
        <f t="shared" si="289"/>
        <v>8838.9</v>
      </c>
      <c r="L2319" t="str">
        <f t="shared" si="290"/>
        <v>High Risk</v>
      </c>
      <c r="P2319" s="19">
        <f t="shared" si="291"/>
        <v>5009</v>
      </c>
      <c r="R2319" s="19">
        <f t="shared" si="288"/>
        <v>1698301.45</v>
      </c>
      <c r="T2319" s="19">
        <f t="shared" si="292"/>
        <v>1239559.6500000001</v>
      </c>
      <c r="U2319" s="19">
        <f t="shared" si="293"/>
        <v>1302969.1500000001</v>
      </c>
      <c r="V2319" s="21">
        <f t="shared" si="294"/>
        <v>63409.5</v>
      </c>
      <c r="W2319" s="18">
        <f t="shared" si="295"/>
        <v>5.11548597116726E-2</v>
      </c>
    </row>
    <row r="2320" spans="1:23" x14ac:dyDescent="0.3">
      <c r="A2320" t="s">
        <v>739</v>
      </c>
      <c r="B2320" t="s">
        <v>1321</v>
      </c>
      <c r="C2320" t="s">
        <v>23</v>
      </c>
      <c r="D2320" t="s">
        <v>26</v>
      </c>
      <c r="E2320">
        <v>3830</v>
      </c>
      <c r="F2320">
        <v>270.19</v>
      </c>
      <c r="G2320">
        <v>263.8</v>
      </c>
      <c r="H2320">
        <v>270.19</v>
      </c>
      <c r="I2320">
        <v>3117</v>
      </c>
      <c r="J2320">
        <v>10</v>
      </c>
      <c r="K2320" s="17">
        <f t="shared" si="289"/>
        <v>1039</v>
      </c>
      <c r="L2320" t="str">
        <f t="shared" si="290"/>
        <v>Sufficuent Stock</v>
      </c>
      <c r="P2320" s="19">
        <f t="shared" si="291"/>
        <v>0</v>
      </c>
      <c r="R2320" s="19">
        <f t="shared" si="288"/>
        <v>0</v>
      </c>
      <c r="T2320" s="19">
        <f t="shared" si="292"/>
        <v>822264.60000000009</v>
      </c>
      <c r="U2320" s="19">
        <f t="shared" si="293"/>
        <v>842182.23</v>
      </c>
      <c r="V2320" s="21">
        <f t="shared" si="294"/>
        <v>19917.629999999888</v>
      </c>
      <c r="W2320" s="18">
        <f t="shared" si="295"/>
        <v>2.4222896133434282E-2</v>
      </c>
    </row>
    <row r="2321" spans="1:23" x14ac:dyDescent="0.3">
      <c r="A2321" t="s">
        <v>430</v>
      </c>
      <c r="B2321" t="s">
        <v>1235</v>
      </c>
      <c r="C2321" t="s">
        <v>37</v>
      </c>
      <c r="D2321" t="s">
        <v>20</v>
      </c>
      <c r="E2321">
        <v>3831</v>
      </c>
      <c r="F2321">
        <v>540.65</v>
      </c>
      <c r="G2321">
        <v>475.57</v>
      </c>
      <c r="H2321">
        <v>540.65</v>
      </c>
      <c r="I2321">
        <v>3580</v>
      </c>
      <c r="J2321">
        <v>89</v>
      </c>
      <c r="K2321" s="17">
        <f t="shared" si="289"/>
        <v>10620.666666666666</v>
      </c>
      <c r="L2321" t="str">
        <f t="shared" si="290"/>
        <v>High Risk</v>
      </c>
      <c r="P2321" s="19">
        <f t="shared" si="291"/>
        <v>6790</v>
      </c>
      <c r="R2321" s="19">
        <f t="shared" si="288"/>
        <v>3671013.5</v>
      </c>
      <c r="T2321" s="19">
        <f t="shared" si="292"/>
        <v>1702540.5999999999</v>
      </c>
      <c r="U2321" s="19">
        <f t="shared" si="293"/>
        <v>1935527</v>
      </c>
      <c r="V2321" s="21">
        <f t="shared" si="294"/>
        <v>232986.40000000014</v>
      </c>
      <c r="W2321" s="18">
        <f t="shared" si="295"/>
        <v>0.1368463107428981</v>
      </c>
    </row>
    <row r="2322" spans="1:23" x14ac:dyDescent="0.3">
      <c r="A2322" t="s">
        <v>132</v>
      </c>
      <c r="B2322" t="s">
        <v>568</v>
      </c>
      <c r="C2322" t="s">
        <v>50</v>
      </c>
      <c r="D2322" t="s">
        <v>13</v>
      </c>
      <c r="E2322">
        <v>3837</v>
      </c>
      <c r="F2322">
        <v>342.23</v>
      </c>
      <c r="G2322">
        <v>306.68</v>
      </c>
      <c r="H2322">
        <v>342.23</v>
      </c>
      <c r="I2322">
        <v>1210</v>
      </c>
      <c r="J2322">
        <v>87</v>
      </c>
      <c r="K2322" s="17">
        <f t="shared" si="289"/>
        <v>3509</v>
      </c>
      <c r="L2322" t="str">
        <f t="shared" si="290"/>
        <v>Sufficuent Stock</v>
      </c>
      <c r="P2322" s="19">
        <f t="shared" si="291"/>
        <v>0</v>
      </c>
      <c r="R2322" s="19">
        <f t="shared" si="288"/>
        <v>0</v>
      </c>
      <c r="T2322" s="19">
        <f t="shared" si="292"/>
        <v>371082.8</v>
      </c>
      <c r="U2322" s="19">
        <f t="shared" si="293"/>
        <v>414098.30000000005</v>
      </c>
      <c r="V2322" s="21">
        <f t="shared" si="294"/>
        <v>43015.500000000058</v>
      </c>
      <c r="W2322" s="18">
        <f t="shared" si="295"/>
        <v>0.11591887309247439</v>
      </c>
    </row>
    <row r="2323" spans="1:23" x14ac:dyDescent="0.3">
      <c r="A2323" t="s">
        <v>132</v>
      </c>
      <c r="B2323" t="s">
        <v>1755</v>
      </c>
      <c r="C2323" t="s">
        <v>23</v>
      </c>
      <c r="D2323" t="s">
        <v>20</v>
      </c>
      <c r="E2323">
        <v>3841</v>
      </c>
      <c r="F2323">
        <v>258.83999999999997</v>
      </c>
      <c r="G2323">
        <v>256.68</v>
      </c>
      <c r="H2323">
        <v>258.83999999999997</v>
      </c>
      <c r="I2323">
        <v>2667</v>
      </c>
      <c r="J2323">
        <v>26</v>
      </c>
      <c r="K2323" s="17">
        <f t="shared" si="289"/>
        <v>2311.4</v>
      </c>
      <c r="L2323" t="str">
        <f t="shared" si="290"/>
        <v>Sufficuent Stock</v>
      </c>
      <c r="P2323" s="19">
        <f t="shared" si="291"/>
        <v>0</v>
      </c>
      <c r="R2323" s="19">
        <f t="shared" si="288"/>
        <v>0</v>
      </c>
      <c r="T2323" s="19">
        <f t="shared" si="292"/>
        <v>684565.56</v>
      </c>
      <c r="U2323" s="19">
        <f t="shared" si="293"/>
        <v>690326.27999999991</v>
      </c>
      <c r="V2323" s="21">
        <f t="shared" si="294"/>
        <v>5760.7199999998556</v>
      </c>
      <c r="W2323" s="18">
        <f t="shared" si="295"/>
        <v>8.415147265076927E-3</v>
      </c>
    </row>
    <row r="2324" spans="1:23" x14ac:dyDescent="0.3">
      <c r="A2324" t="s">
        <v>472</v>
      </c>
      <c r="B2324" t="s">
        <v>2942</v>
      </c>
      <c r="C2324" t="s">
        <v>37</v>
      </c>
      <c r="D2324" t="s">
        <v>26</v>
      </c>
      <c r="E2324">
        <v>3841</v>
      </c>
      <c r="F2324">
        <v>443.85</v>
      </c>
      <c r="G2324">
        <v>377.49</v>
      </c>
      <c r="H2324">
        <v>443.85</v>
      </c>
      <c r="I2324">
        <v>1737</v>
      </c>
      <c r="J2324">
        <v>32</v>
      </c>
      <c r="K2324" s="17">
        <f t="shared" si="289"/>
        <v>1852.8</v>
      </c>
      <c r="L2324" t="str">
        <f t="shared" si="290"/>
        <v>Sufficuent Stock</v>
      </c>
      <c r="P2324" s="19">
        <f t="shared" si="291"/>
        <v>0</v>
      </c>
      <c r="R2324" s="19">
        <f t="shared" si="288"/>
        <v>0</v>
      </c>
      <c r="T2324" s="19">
        <f t="shared" si="292"/>
        <v>655700.13</v>
      </c>
      <c r="U2324" s="19">
        <f t="shared" si="293"/>
        <v>770967.45000000007</v>
      </c>
      <c r="V2324" s="21">
        <f t="shared" si="294"/>
        <v>115267.32000000007</v>
      </c>
      <c r="W2324" s="18">
        <f t="shared" si="295"/>
        <v>0.17579273623142344</v>
      </c>
    </row>
    <row r="2325" spans="1:23" x14ac:dyDescent="0.3">
      <c r="A2325" t="s">
        <v>748</v>
      </c>
      <c r="B2325" t="s">
        <v>2749</v>
      </c>
      <c r="C2325" t="s">
        <v>50</v>
      </c>
      <c r="D2325" t="s">
        <v>20</v>
      </c>
      <c r="E2325">
        <v>3842</v>
      </c>
      <c r="F2325">
        <v>242.38</v>
      </c>
      <c r="G2325">
        <v>232.18</v>
      </c>
      <c r="H2325">
        <v>242.38</v>
      </c>
      <c r="I2325">
        <v>1263</v>
      </c>
      <c r="J2325">
        <v>28</v>
      </c>
      <c r="K2325" s="17">
        <f t="shared" si="289"/>
        <v>1178.8</v>
      </c>
      <c r="L2325" t="str">
        <f t="shared" si="290"/>
        <v>Sufficuent Stock</v>
      </c>
      <c r="P2325" s="19">
        <f t="shared" si="291"/>
        <v>0</v>
      </c>
      <c r="R2325" s="19">
        <f t="shared" si="288"/>
        <v>0</v>
      </c>
      <c r="T2325" s="19">
        <f t="shared" si="292"/>
        <v>293243.34000000003</v>
      </c>
      <c r="U2325" s="19">
        <f t="shared" si="293"/>
        <v>306125.94</v>
      </c>
      <c r="V2325" s="21">
        <f t="shared" si="294"/>
        <v>12882.599999999977</v>
      </c>
      <c r="W2325" s="18">
        <f t="shared" si="295"/>
        <v>4.3931432509259974E-2</v>
      </c>
    </row>
    <row r="2326" spans="1:23" x14ac:dyDescent="0.3">
      <c r="A2326" t="s">
        <v>184</v>
      </c>
      <c r="B2326" t="s">
        <v>1355</v>
      </c>
      <c r="C2326" t="s">
        <v>23</v>
      </c>
      <c r="D2326" t="s">
        <v>26</v>
      </c>
      <c r="E2326">
        <v>3843</v>
      </c>
      <c r="F2326">
        <v>188.29</v>
      </c>
      <c r="G2326">
        <v>186.93</v>
      </c>
      <c r="H2326">
        <v>188.29</v>
      </c>
      <c r="I2326">
        <v>1396</v>
      </c>
      <c r="J2326">
        <v>7</v>
      </c>
      <c r="K2326" s="17">
        <f t="shared" si="289"/>
        <v>325.73333333333335</v>
      </c>
      <c r="L2326" t="str">
        <f t="shared" si="290"/>
        <v>Sufficuent Stock</v>
      </c>
      <c r="P2326" s="19">
        <f t="shared" si="291"/>
        <v>0</v>
      </c>
      <c r="R2326" s="19">
        <f t="shared" si="288"/>
        <v>0</v>
      </c>
      <c r="T2326" s="19">
        <f t="shared" si="292"/>
        <v>260954.28</v>
      </c>
      <c r="U2326" s="19">
        <f t="shared" si="293"/>
        <v>262852.83999999997</v>
      </c>
      <c r="V2326" s="21">
        <f t="shared" si="294"/>
        <v>1898.5599999999686</v>
      </c>
      <c r="W2326" s="18">
        <f t="shared" si="295"/>
        <v>7.2754507034717671E-3</v>
      </c>
    </row>
    <row r="2327" spans="1:23" x14ac:dyDescent="0.3">
      <c r="A2327" t="s">
        <v>320</v>
      </c>
      <c r="B2327" t="s">
        <v>2727</v>
      </c>
      <c r="C2327" t="s">
        <v>23</v>
      </c>
      <c r="D2327" t="s">
        <v>17</v>
      </c>
      <c r="E2327">
        <v>3847</v>
      </c>
      <c r="F2327">
        <v>205.83</v>
      </c>
      <c r="G2327">
        <v>175.63</v>
      </c>
      <c r="H2327">
        <v>205.83</v>
      </c>
      <c r="I2327">
        <v>1220</v>
      </c>
      <c r="J2327">
        <v>42</v>
      </c>
      <c r="K2327" s="17">
        <f t="shared" si="289"/>
        <v>1708</v>
      </c>
      <c r="L2327" t="str">
        <f t="shared" si="290"/>
        <v>Sufficuent Stock</v>
      </c>
      <c r="P2327" s="19">
        <f t="shared" si="291"/>
        <v>0</v>
      </c>
      <c r="R2327" s="19">
        <f t="shared" si="288"/>
        <v>0</v>
      </c>
      <c r="T2327" s="19">
        <f t="shared" si="292"/>
        <v>214268.6</v>
      </c>
      <c r="U2327" s="19">
        <f t="shared" si="293"/>
        <v>251112.6</v>
      </c>
      <c r="V2327" s="21">
        <f t="shared" si="294"/>
        <v>36844</v>
      </c>
      <c r="W2327" s="18">
        <f t="shared" si="295"/>
        <v>0.17195239993167455</v>
      </c>
    </row>
    <row r="2328" spans="1:23" x14ac:dyDescent="0.3">
      <c r="A2328" t="s">
        <v>923</v>
      </c>
      <c r="B2328" t="s">
        <v>2067</v>
      </c>
      <c r="C2328" t="s">
        <v>12</v>
      </c>
      <c r="D2328" t="s">
        <v>20</v>
      </c>
      <c r="E2328">
        <v>3850</v>
      </c>
      <c r="F2328">
        <v>209.64</v>
      </c>
      <c r="G2328">
        <v>184.08</v>
      </c>
      <c r="H2328">
        <v>209.64</v>
      </c>
      <c r="I2328">
        <v>2323</v>
      </c>
      <c r="J2328">
        <v>44</v>
      </c>
      <c r="K2328" s="17">
        <f t="shared" si="289"/>
        <v>3407.0666666666666</v>
      </c>
      <c r="L2328" t="str">
        <f t="shared" si="290"/>
        <v>Sufficuent Stock</v>
      </c>
      <c r="P2328" s="19">
        <f t="shared" si="291"/>
        <v>0</v>
      </c>
      <c r="R2328" s="19">
        <f t="shared" si="288"/>
        <v>0</v>
      </c>
      <c r="T2328" s="19">
        <f t="shared" si="292"/>
        <v>427617.84</v>
      </c>
      <c r="U2328" s="19">
        <f t="shared" si="293"/>
        <v>486993.72</v>
      </c>
      <c r="V2328" s="21">
        <f t="shared" si="294"/>
        <v>59375.879999999946</v>
      </c>
      <c r="W2328" s="18">
        <f t="shared" si="295"/>
        <v>0.13885267275097771</v>
      </c>
    </row>
    <row r="2329" spans="1:23" x14ac:dyDescent="0.3">
      <c r="A2329" t="s">
        <v>42</v>
      </c>
      <c r="B2329" t="s">
        <v>1053</v>
      </c>
      <c r="C2329" t="s">
        <v>16</v>
      </c>
      <c r="D2329" t="s">
        <v>17</v>
      </c>
      <c r="E2329">
        <v>3851</v>
      </c>
      <c r="F2329">
        <v>243.69</v>
      </c>
      <c r="G2329">
        <v>261.52999999999997</v>
      </c>
      <c r="H2329">
        <v>243.69</v>
      </c>
      <c r="I2329">
        <v>1625</v>
      </c>
      <c r="J2329">
        <v>70</v>
      </c>
      <c r="K2329" s="17">
        <f t="shared" si="289"/>
        <v>3791.6666666666665</v>
      </c>
      <c r="L2329" t="str">
        <f t="shared" si="290"/>
        <v>Sufficuent Stock</v>
      </c>
      <c r="P2329" s="19">
        <f t="shared" si="291"/>
        <v>0</v>
      </c>
      <c r="R2329" s="19">
        <f t="shared" si="288"/>
        <v>0</v>
      </c>
      <c r="T2329" s="19">
        <f t="shared" si="292"/>
        <v>424986.24999999994</v>
      </c>
      <c r="U2329" s="19">
        <f t="shared" si="293"/>
        <v>395996.25</v>
      </c>
      <c r="V2329" s="21">
        <f t="shared" si="294"/>
        <v>-28989.999999999942</v>
      </c>
      <c r="W2329" s="18">
        <f t="shared" si="295"/>
        <v>-6.8213971628493741E-2</v>
      </c>
    </row>
    <row r="2330" spans="1:23" x14ac:dyDescent="0.3">
      <c r="A2330" t="s">
        <v>727</v>
      </c>
      <c r="B2330" t="s">
        <v>1655</v>
      </c>
      <c r="C2330" t="s">
        <v>12</v>
      </c>
      <c r="D2330" t="s">
        <v>13</v>
      </c>
      <c r="E2330">
        <v>3853</v>
      </c>
      <c r="F2330">
        <v>400.65</v>
      </c>
      <c r="G2330">
        <v>404.66</v>
      </c>
      <c r="H2330">
        <v>400.65</v>
      </c>
      <c r="I2330">
        <v>3622</v>
      </c>
      <c r="J2330">
        <v>29</v>
      </c>
      <c r="K2330" s="17">
        <f t="shared" si="289"/>
        <v>3501.2666666666669</v>
      </c>
      <c r="L2330" t="str">
        <f t="shared" si="290"/>
        <v>Sufficuent Stock</v>
      </c>
      <c r="P2330" s="19">
        <f t="shared" si="291"/>
        <v>0</v>
      </c>
      <c r="R2330" s="19">
        <f t="shared" si="288"/>
        <v>0</v>
      </c>
      <c r="T2330" s="19">
        <f t="shared" si="292"/>
        <v>1465678.52</v>
      </c>
      <c r="U2330" s="19">
        <f t="shared" si="293"/>
        <v>1451154.2999999998</v>
      </c>
      <c r="V2330" s="21">
        <f t="shared" si="294"/>
        <v>-14524.220000000205</v>
      </c>
      <c r="W2330" s="18">
        <f t="shared" si="295"/>
        <v>-9.9095536994021072E-3</v>
      </c>
    </row>
    <row r="2331" spans="1:23" x14ac:dyDescent="0.3">
      <c r="A2331" t="s">
        <v>100</v>
      </c>
      <c r="B2331" t="s">
        <v>1545</v>
      </c>
      <c r="C2331" t="s">
        <v>16</v>
      </c>
      <c r="D2331" t="s">
        <v>26</v>
      </c>
      <c r="E2331">
        <v>3857</v>
      </c>
      <c r="F2331">
        <v>472.76</v>
      </c>
      <c r="G2331">
        <v>457.81</v>
      </c>
      <c r="H2331">
        <v>472.76</v>
      </c>
      <c r="I2331">
        <v>2730</v>
      </c>
      <c r="J2331">
        <v>70</v>
      </c>
      <c r="K2331" s="17">
        <f t="shared" si="289"/>
        <v>6370</v>
      </c>
      <c r="L2331" t="str">
        <f t="shared" si="290"/>
        <v>High Risk</v>
      </c>
      <c r="P2331" s="19">
        <f t="shared" si="291"/>
        <v>2513</v>
      </c>
      <c r="R2331" s="19">
        <f t="shared" si="288"/>
        <v>1188045.8799999999</v>
      </c>
      <c r="T2331" s="19">
        <f t="shared" si="292"/>
        <v>1249821.3</v>
      </c>
      <c r="U2331" s="19">
        <f t="shared" si="293"/>
        <v>1290634.8</v>
      </c>
      <c r="V2331" s="21">
        <f t="shared" si="294"/>
        <v>40813.5</v>
      </c>
      <c r="W2331" s="18">
        <f t="shared" si="295"/>
        <v>3.2655468425766145E-2</v>
      </c>
    </row>
    <row r="2332" spans="1:23" x14ac:dyDescent="0.3">
      <c r="A2332" t="s">
        <v>235</v>
      </c>
      <c r="B2332" t="s">
        <v>1726</v>
      </c>
      <c r="C2332" t="s">
        <v>12</v>
      </c>
      <c r="D2332" t="s">
        <v>13</v>
      </c>
      <c r="E2332">
        <v>3859</v>
      </c>
      <c r="F2332">
        <v>283.01</v>
      </c>
      <c r="G2332">
        <v>251.74</v>
      </c>
      <c r="H2332">
        <v>283.01</v>
      </c>
      <c r="I2332">
        <v>1503</v>
      </c>
      <c r="J2332">
        <v>41</v>
      </c>
      <c r="K2332" s="17">
        <f t="shared" si="289"/>
        <v>2054.1</v>
      </c>
      <c r="L2332" t="str">
        <f t="shared" si="290"/>
        <v>Sufficuent Stock</v>
      </c>
      <c r="P2332" s="19">
        <f t="shared" si="291"/>
        <v>0</v>
      </c>
      <c r="R2332" s="19">
        <f t="shared" si="288"/>
        <v>0</v>
      </c>
      <c r="T2332" s="19">
        <f t="shared" si="292"/>
        <v>378365.22000000003</v>
      </c>
      <c r="U2332" s="19">
        <f t="shared" si="293"/>
        <v>425364.02999999997</v>
      </c>
      <c r="V2332" s="21">
        <f t="shared" si="294"/>
        <v>46998.809999999939</v>
      </c>
      <c r="W2332" s="18">
        <f t="shared" si="295"/>
        <v>0.12421546039564613</v>
      </c>
    </row>
    <row r="2333" spans="1:23" x14ac:dyDescent="0.3">
      <c r="A2333" t="s">
        <v>654</v>
      </c>
      <c r="B2333" t="s">
        <v>655</v>
      </c>
      <c r="C2333" t="s">
        <v>37</v>
      </c>
      <c r="D2333" t="s">
        <v>69</v>
      </c>
      <c r="E2333">
        <v>3861</v>
      </c>
      <c r="F2333">
        <v>474.39</v>
      </c>
      <c r="G2333">
        <v>487.32</v>
      </c>
      <c r="H2333">
        <v>474.39</v>
      </c>
      <c r="I2333">
        <v>1076</v>
      </c>
      <c r="J2333">
        <v>90</v>
      </c>
      <c r="K2333" s="17">
        <f t="shared" si="289"/>
        <v>3228</v>
      </c>
      <c r="L2333" t="str">
        <f t="shared" si="290"/>
        <v>Sufficuent Stock</v>
      </c>
      <c r="P2333" s="19">
        <f t="shared" si="291"/>
        <v>0</v>
      </c>
      <c r="R2333" s="19">
        <f t="shared" si="288"/>
        <v>0</v>
      </c>
      <c r="T2333" s="19">
        <f t="shared" si="292"/>
        <v>524356.31999999995</v>
      </c>
      <c r="U2333" s="19">
        <f t="shared" si="293"/>
        <v>510443.64</v>
      </c>
      <c r="V2333" s="21">
        <f t="shared" si="294"/>
        <v>-13912.679999999935</v>
      </c>
      <c r="W2333" s="18">
        <f t="shared" si="295"/>
        <v>-2.6532873676434254E-2</v>
      </c>
    </row>
    <row r="2334" spans="1:23" x14ac:dyDescent="0.3">
      <c r="A2334" t="s">
        <v>298</v>
      </c>
      <c r="B2334" t="s">
        <v>2731</v>
      </c>
      <c r="C2334" t="s">
        <v>23</v>
      </c>
      <c r="D2334" t="s">
        <v>26</v>
      </c>
      <c r="E2334">
        <v>3866</v>
      </c>
      <c r="F2334">
        <v>257.63</v>
      </c>
      <c r="G2334">
        <v>230.57</v>
      </c>
      <c r="H2334">
        <v>257.63</v>
      </c>
      <c r="I2334">
        <v>890</v>
      </c>
      <c r="J2334">
        <v>31</v>
      </c>
      <c r="K2334" s="17">
        <f t="shared" si="289"/>
        <v>919.66666666666674</v>
      </c>
      <c r="L2334" t="str">
        <f t="shared" si="290"/>
        <v>Sufficuent Stock</v>
      </c>
      <c r="P2334" s="19">
        <f t="shared" si="291"/>
        <v>0</v>
      </c>
      <c r="R2334" s="19">
        <f t="shared" si="288"/>
        <v>0</v>
      </c>
      <c r="T2334" s="19">
        <f t="shared" si="292"/>
        <v>205207.3</v>
      </c>
      <c r="U2334" s="19">
        <f t="shared" si="293"/>
        <v>229290.69999999998</v>
      </c>
      <c r="V2334" s="21">
        <f t="shared" si="294"/>
        <v>24083.399999999994</v>
      </c>
      <c r="W2334" s="18">
        <f t="shared" si="295"/>
        <v>0.11736132194127595</v>
      </c>
    </row>
    <row r="2335" spans="1:23" x14ac:dyDescent="0.3">
      <c r="A2335" t="s">
        <v>590</v>
      </c>
      <c r="B2335" t="s">
        <v>2733</v>
      </c>
      <c r="C2335" t="s">
        <v>50</v>
      </c>
      <c r="D2335" t="s">
        <v>20</v>
      </c>
      <c r="E2335">
        <v>3867</v>
      </c>
      <c r="F2335">
        <v>353.77</v>
      </c>
      <c r="G2335">
        <v>339.93</v>
      </c>
      <c r="H2335">
        <v>353.77</v>
      </c>
      <c r="I2335">
        <v>893</v>
      </c>
      <c r="J2335">
        <v>59</v>
      </c>
      <c r="K2335" s="17">
        <f t="shared" si="289"/>
        <v>1756.2333333333333</v>
      </c>
      <c r="L2335" t="str">
        <f t="shared" si="290"/>
        <v>Sufficuent Stock</v>
      </c>
      <c r="P2335" s="19">
        <f t="shared" si="291"/>
        <v>0</v>
      </c>
      <c r="R2335" s="19">
        <f t="shared" si="288"/>
        <v>0</v>
      </c>
      <c r="T2335" s="19">
        <f t="shared" si="292"/>
        <v>303557.49</v>
      </c>
      <c r="U2335" s="19">
        <f t="shared" si="293"/>
        <v>315916.61</v>
      </c>
      <c r="V2335" s="21">
        <f t="shared" si="294"/>
        <v>12359.119999999995</v>
      </c>
      <c r="W2335" s="18">
        <f t="shared" si="295"/>
        <v>4.0714264701556188E-2</v>
      </c>
    </row>
    <row r="2336" spans="1:23" x14ac:dyDescent="0.3">
      <c r="A2336" t="s">
        <v>88</v>
      </c>
      <c r="B2336" t="s">
        <v>2817</v>
      </c>
      <c r="C2336" t="s">
        <v>50</v>
      </c>
      <c r="D2336" t="s">
        <v>17</v>
      </c>
      <c r="E2336">
        <v>3869</v>
      </c>
      <c r="F2336">
        <v>226.96</v>
      </c>
      <c r="G2336">
        <v>195.08</v>
      </c>
      <c r="H2336">
        <v>226.96</v>
      </c>
      <c r="I2336">
        <v>1585</v>
      </c>
      <c r="J2336">
        <v>27</v>
      </c>
      <c r="K2336" s="17">
        <f t="shared" si="289"/>
        <v>1426.5</v>
      </c>
      <c r="L2336" t="str">
        <f t="shared" si="290"/>
        <v>Sufficuent Stock</v>
      </c>
      <c r="P2336" s="19">
        <f t="shared" si="291"/>
        <v>0</v>
      </c>
      <c r="R2336" s="19">
        <f t="shared" si="288"/>
        <v>0</v>
      </c>
      <c r="T2336" s="19">
        <f t="shared" si="292"/>
        <v>309201.80000000005</v>
      </c>
      <c r="U2336" s="19">
        <f t="shared" si="293"/>
        <v>359731.60000000003</v>
      </c>
      <c r="V2336" s="21">
        <f t="shared" si="294"/>
        <v>50529.799999999988</v>
      </c>
      <c r="W2336" s="18">
        <f t="shared" si="295"/>
        <v>0.16342013532909569</v>
      </c>
    </row>
    <row r="2337" spans="1:23" x14ac:dyDescent="0.3">
      <c r="A2337" t="s">
        <v>67</v>
      </c>
      <c r="B2337" t="s">
        <v>2826</v>
      </c>
      <c r="C2337" t="s">
        <v>16</v>
      </c>
      <c r="D2337" t="s">
        <v>13</v>
      </c>
      <c r="E2337">
        <v>3870</v>
      </c>
      <c r="F2337">
        <v>448.26</v>
      </c>
      <c r="G2337">
        <v>401.01</v>
      </c>
      <c r="H2337">
        <v>448.26</v>
      </c>
      <c r="I2337">
        <v>642</v>
      </c>
      <c r="J2337">
        <v>44</v>
      </c>
      <c r="K2337" s="17">
        <f t="shared" si="289"/>
        <v>941.59999999999991</v>
      </c>
      <c r="L2337" t="str">
        <f t="shared" si="290"/>
        <v>Sufficuent Stock</v>
      </c>
      <c r="P2337" s="19">
        <f t="shared" si="291"/>
        <v>0</v>
      </c>
      <c r="R2337" s="19">
        <f t="shared" si="288"/>
        <v>0</v>
      </c>
      <c r="T2337" s="19">
        <f t="shared" si="292"/>
        <v>257448.41999999998</v>
      </c>
      <c r="U2337" s="19">
        <f t="shared" si="293"/>
        <v>287782.92</v>
      </c>
      <c r="V2337" s="21">
        <f t="shared" si="294"/>
        <v>30334.5</v>
      </c>
      <c r="W2337" s="18">
        <f t="shared" si="295"/>
        <v>0.11782748559886289</v>
      </c>
    </row>
    <row r="2338" spans="1:23" x14ac:dyDescent="0.3">
      <c r="A2338" t="s">
        <v>203</v>
      </c>
      <c r="B2338" t="s">
        <v>971</v>
      </c>
      <c r="C2338" t="s">
        <v>16</v>
      </c>
      <c r="D2338" t="s">
        <v>13</v>
      </c>
      <c r="E2338">
        <v>3871</v>
      </c>
      <c r="F2338">
        <v>380.46</v>
      </c>
      <c r="G2338">
        <v>372.33</v>
      </c>
      <c r="H2338">
        <v>380.46</v>
      </c>
      <c r="I2338">
        <v>530</v>
      </c>
      <c r="J2338">
        <v>41</v>
      </c>
      <c r="K2338" s="17">
        <f t="shared" si="289"/>
        <v>724.33333333333337</v>
      </c>
      <c r="L2338" t="str">
        <f t="shared" si="290"/>
        <v>Sufficuent Stock</v>
      </c>
      <c r="P2338" s="19">
        <f t="shared" si="291"/>
        <v>0</v>
      </c>
      <c r="R2338" s="19">
        <f t="shared" si="288"/>
        <v>0</v>
      </c>
      <c r="T2338" s="19">
        <f t="shared" si="292"/>
        <v>197334.9</v>
      </c>
      <c r="U2338" s="19">
        <f t="shared" si="293"/>
        <v>201643.8</v>
      </c>
      <c r="V2338" s="21">
        <f t="shared" si="294"/>
        <v>4308.8999999999942</v>
      </c>
      <c r="W2338" s="18">
        <f t="shared" si="295"/>
        <v>2.1835468535976121E-2</v>
      </c>
    </row>
    <row r="2339" spans="1:23" x14ac:dyDescent="0.3">
      <c r="A2339" t="s">
        <v>1839</v>
      </c>
      <c r="B2339" t="s">
        <v>2906</v>
      </c>
      <c r="C2339" t="s">
        <v>16</v>
      </c>
      <c r="D2339" t="s">
        <v>20</v>
      </c>
      <c r="E2339">
        <v>3872</v>
      </c>
      <c r="F2339">
        <v>50.22</v>
      </c>
      <c r="G2339">
        <v>51.08</v>
      </c>
      <c r="H2339">
        <v>50.22</v>
      </c>
      <c r="I2339">
        <v>542</v>
      </c>
      <c r="J2339">
        <v>54</v>
      </c>
      <c r="K2339" s="17">
        <f t="shared" si="289"/>
        <v>975.6</v>
      </c>
      <c r="L2339" t="str">
        <f t="shared" si="290"/>
        <v>Sufficuent Stock</v>
      </c>
      <c r="P2339" s="19">
        <f t="shared" si="291"/>
        <v>0</v>
      </c>
      <c r="R2339" s="19">
        <f t="shared" si="288"/>
        <v>0</v>
      </c>
      <c r="T2339" s="19">
        <f t="shared" si="292"/>
        <v>27685.360000000001</v>
      </c>
      <c r="U2339" s="19">
        <f t="shared" si="293"/>
        <v>27219.239999999998</v>
      </c>
      <c r="V2339" s="21">
        <f t="shared" si="294"/>
        <v>-466.12000000000262</v>
      </c>
      <c r="W2339" s="18">
        <f t="shared" si="295"/>
        <v>-1.6836335160532592E-2</v>
      </c>
    </row>
    <row r="2340" spans="1:23" x14ac:dyDescent="0.3">
      <c r="A2340" t="s">
        <v>444</v>
      </c>
      <c r="B2340" t="s">
        <v>1682</v>
      </c>
      <c r="C2340" t="s">
        <v>16</v>
      </c>
      <c r="D2340" t="s">
        <v>13</v>
      </c>
      <c r="E2340">
        <v>3875</v>
      </c>
      <c r="F2340">
        <v>69.05</v>
      </c>
      <c r="G2340">
        <v>64.89</v>
      </c>
      <c r="H2340">
        <v>69.05</v>
      </c>
      <c r="I2340">
        <v>2816</v>
      </c>
      <c r="J2340">
        <v>79</v>
      </c>
      <c r="K2340" s="17">
        <f t="shared" si="289"/>
        <v>7415.4666666666662</v>
      </c>
      <c r="L2340" t="str">
        <f t="shared" si="290"/>
        <v>High Risk</v>
      </c>
      <c r="P2340" s="19">
        <f t="shared" si="291"/>
        <v>3541</v>
      </c>
      <c r="R2340" s="19">
        <f t="shared" si="288"/>
        <v>244506.05</v>
      </c>
      <c r="T2340" s="19">
        <f t="shared" si="292"/>
        <v>182730.23999999999</v>
      </c>
      <c r="U2340" s="19">
        <f t="shared" si="293"/>
        <v>194444.79999999999</v>
      </c>
      <c r="V2340" s="21">
        <f t="shared" si="294"/>
        <v>11714.559999999998</v>
      </c>
      <c r="W2340" s="18">
        <f t="shared" si="295"/>
        <v>6.4108491292957301E-2</v>
      </c>
    </row>
    <row r="2341" spans="1:23" x14ac:dyDescent="0.3">
      <c r="A2341" t="s">
        <v>57</v>
      </c>
      <c r="B2341" t="s">
        <v>1512</v>
      </c>
      <c r="C2341" t="s">
        <v>12</v>
      </c>
      <c r="D2341" t="s">
        <v>69</v>
      </c>
      <c r="E2341">
        <v>3876</v>
      </c>
      <c r="F2341">
        <v>248.44</v>
      </c>
      <c r="G2341">
        <v>248.95</v>
      </c>
      <c r="H2341">
        <v>248.44</v>
      </c>
      <c r="I2341">
        <v>887</v>
      </c>
      <c r="J2341">
        <v>52</v>
      </c>
      <c r="K2341" s="17">
        <f t="shared" si="289"/>
        <v>1537.4666666666667</v>
      </c>
      <c r="L2341" t="str">
        <f t="shared" si="290"/>
        <v>Sufficuent Stock</v>
      </c>
      <c r="P2341" s="19">
        <f t="shared" si="291"/>
        <v>0</v>
      </c>
      <c r="R2341" s="19">
        <f t="shared" si="288"/>
        <v>0</v>
      </c>
      <c r="T2341" s="19">
        <f t="shared" si="292"/>
        <v>220818.65</v>
      </c>
      <c r="U2341" s="19">
        <f t="shared" si="293"/>
        <v>220366.28</v>
      </c>
      <c r="V2341" s="21">
        <f t="shared" si="294"/>
        <v>-452.36999999999534</v>
      </c>
      <c r="W2341" s="18">
        <f t="shared" si="295"/>
        <v>-2.0486041373769621E-3</v>
      </c>
    </row>
    <row r="2342" spans="1:23" x14ac:dyDescent="0.3">
      <c r="A2342" t="s">
        <v>1379</v>
      </c>
      <c r="B2342" t="s">
        <v>1959</v>
      </c>
      <c r="C2342" t="s">
        <v>50</v>
      </c>
      <c r="D2342" t="s">
        <v>69</v>
      </c>
      <c r="E2342">
        <v>3877</v>
      </c>
      <c r="F2342">
        <v>47.37</v>
      </c>
      <c r="G2342">
        <v>41.16</v>
      </c>
      <c r="H2342">
        <v>47.37</v>
      </c>
      <c r="I2342">
        <v>2527</v>
      </c>
      <c r="J2342">
        <v>49</v>
      </c>
      <c r="K2342" s="17">
        <f t="shared" si="289"/>
        <v>4127.4333333333334</v>
      </c>
      <c r="L2342" t="str">
        <f t="shared" si="290"/>
        <v>High Risk</v>
      </c>
      <c r="P2342" s="19">
        <f t="shared" si="291"/>
        <v>251</v>
      </c>
      <c r="R2342" s="19">
        <f t="shared" si="288"/>
        <v>11889.869999999999</v>
      </c>
      <c r="T2342" s="19">
        <f t="shared" si="292"/>
        <v>104011.31999999999</v>
      </c>
      <c r="U2342" s="19">
        <f t="shared" si="293"/>
        <v>119703.98999999999</v>
      </c>
      <c r="V2342" s="21">
        <f t="shared" si="294"/>
        <v>15692.669999999998</v>
      </c>
      <c r="W2342" s="18">
        <f t="shared" si="295"/>
        <v>0.1508746355685131</v>
      </c>
    </row>
    <row r="2343" spans="1:23" x14ac:dyDescent="0.3">
      <c r="A2343" t="s">
        <v>1264</v>
      </c>
      <c r="B2343" t="s">
        <v>1265</v>
      </c>
      <c r="C2343" t="s">
        <v>50</v>
      </c>
      <c r="D2343" t="s">
        <v>13</v>
      </c>
      <c r="E2343">
        <v>3877</v>
      </c>
      <c r="F2343">
        <v>269.66000000000003</v>
      </c>
      <c r="G2343">
        <v>279.11</v>
      </c>
      <c r="H2343">
        <v>269.66000000000003</v>
      </c>
      <c r="I2343">
        <v>1917</v>
      </c>
      <c r="J2343">
        <v>15</v>
      </c>
      <c r="K2343" s="17">
        <f t="shared" si="289"/>
        <v>958.5</v>
      </c>
      <c r="L2343" t="str">
        <f t="shared" si="290"/>
        <v>Sufficuent Stock</v>
      </c>
      <c r="P2343" s="19">
        <f t="shared" si="291"/>
        <v>0</v>
      </c>
      <c r="R2343" s="19">
        <f t="shared" si="288"/>
        <v>0</v>
      </c>
      <c r="T2343" s="19">
        <f t="shared" si="292"/>
        <v>535053.87</v>
      </c>
      <c r="U2343" s="19">
        <f t="shared" si="293"/>
        <v>516938.22000000003</v>
      </c>
      <c r="V2343" s="21">
        <f t="shared" si="294"/>
        <v>-18115.649999999965</v>
      </c>
      <c r="W2343" s="18">
        <f t="shared" si="295"/>
        <v>-3.3857618859947626E-2</v>
      </c>
    </row>
    <row r="2344" spans="1:23" x14ac:dyDescent="0.3">
      <c r="A2344" t="s">
        <v>2115</v>
      </c>
      <c r="B2344" t="s">
        <v>2116</v>
      </c>
      <c r="C2344" t="s">
        <v>50</v>
      </c>
      <c r="D2344" t="s">
        <v>13</v>
      </c>
      <c r="E2344">
        <v>3886</v>
      </c>
      <c r="F2344">
        <v>186.42</v>
      </c>
      <c r="G2344">
        <v>183.68</v>
      </c>
      <c r="H2344">
        <v>186.42</v>
      </c>
      <c r="I2344">
        <v>3804</v>
      </c>
      <c r="J2344">
        <v>34</v>
      </c>
      <c r="K2344" s="17">
        <f t="shared" si="289"/>
        <v>4311.2</v>
      </c>
      <c r="L2344" t="str">
        <f t="shared" si="290"/>
        <v>High Risk</v>
      </c>
      <c r="P2344" s="19">
        <f t="shared" si="291"/>
        <v>426</v>
      </c>
      <c r="R2344" s="19">
        <f t="shared" si="288"/>
        <v>79414.92</v>
      </c>
      <c r="T2344" s="19">
        <f t="shared" si="292"/>
        <v>698718.71999999997</v>
      </c>
      <c r="U2344" s="19">
        <f t="shared" si="293"/>
        <v>709141.67999999993</v>
      </c>
      <c r="V2344" s="21">
        <f t="shared" si="294"/>
        <v>10422.959999999963</v>
      </c>
      <c r="W2344" s="18">
        <f t="shared" si="295"/>
        <v>1.4917247386759529E-2</v>
      </c>
    </row>
    <row r="2345" spans="1:23" x14ac:dyDescent="0.3">
      <c r="A2345" t="s">
        <v>714</v>
      </c>
      <c r="B2345" t="s">
        <v>3374</v>
      </c>
      <c r="C2345" t="s">
        <v>16</v>
      </c>
      <c r="D2345" t="s">
        <v>13</v>
      </c>
      <c r="E2345">
        <v>3886</v>
      </c>
      <c r="F2345">
        <v>107.18</v>
      </c>
      <c r="G2345">
        <v>103.67</v>
      </c>
      <c r="H2345">
        <v>107.18</v>
      </c>
      <c r="I2345">
        <v>896</v>
      </c>
      <c r="J2345">
        <v>13</v>
      </c>
      <c r="K2345" s="17">
        <f t="shared" si="289"/>
        <v>388.26666666666665</v>
      </c>
      <c r="L2345" t="str">
        <f t="shared" si="290"/>
        <v>Sufficuent Stock</v>
      </c>
      <c r="P2345" s="19">
        <f t="shared" si="291"/>
        <v>0</v>
      </c>
      <c r="R2345" s="19">
        <f t="shared" si="288"/>
        <v>0</v>
      </c>
      <c r="T2345" s="19">
        <f t="shared" si="292"/>
        <v>92888.320000000007</v>
      </c>
      <c r="U2345" s="19">
        <f t="shared" si="293"/>
        <v>96033.279999999999</v>
      </c>
      <c r="V2345" s="21">
        <f t="shared" si="294"/>
        <v>3144.9599999999919</v>
      </c>
      <c r="W2345" s="18">
        <f t="shared" si="295"/>
        <v>3.3857432236905474E-2</v>
      </c>
    </row>
    <row r="2346" spans="1:23" x14ac:dyDescent="0.3">
      <c r="A2346" t="s">
        <v>509</v>
      </c>
      <c r="B2346" t="s">
        <v>962</v>
      </c>
      <c r="C2346" t="s">
        <v>16</v>
      </c>
      <c r="D2346" t="s">
        <v>17</v>
      </c>
      <c r="E2346">
        <v>3888</v>
      </c>
      <c r="F2346">
        <v>247.85</v>
      </c>
      <c r="G2346">
        <v>241.52</v>
      </c>
      <c r="H2346">
        <v>247.85</v>
      </c>
      <c r="I2346">
        <v>2176</v>
      </c>
      <c r="J2346">
        <v>11</v>
      </c>
      <c r="K2346" s="17">
        <f t="shared" si="289"/>
        <v>797.86666666666667</v>
      </c>
      <c r="L2346" t="str">
        <f t="shared" si="290"/>
        <v>Sufficuent Stock</v>
      </c>
      <c r="P2346" s="19">
        <f t="shared" si="291"/>
        <v>0</v>
      </c>
      <c r="R2346" s="19">
        <f t="shared" si="288"/>
        <v>0</v>
      </c>
      <c r="T2346" s="19">
        <f t="shared" si="292"/>
        <v>525547.52000000002</v>
      </c>
      <c r="U2346" s="19">
        <f t="shared" si="293"/>
        <v>539321.59999999998</v>
      </c>
      <c r="V2346" s="21">
        <f t="shared" si="294"/>
        <v>13774.079999999958</v>
      </c>
      <c r="W2346" s="18">
        <f t="shared" si="295"/>
        <v>2.6209009605829663E-2</v>
      </c>
    </row>
    <row r="2347" spans="1:23" x14ac:dyDescent="0.3">
      <c r="A2347" t="s">
        <v>288</v>
      </c>
      <c r="B2347" t="s">
        <v>2835</v>
      </c>
      <c r="C2347" t="s">
        <v>23</v>
      </c>
      <c r="D2347" t="s">
        <v>69</v>
      </c>
      <c r="E2347">
        <v>3893</v>
      </c>
      <c r="F2347">
        <v>326.45999999999998</v>
      </c>
      <c r="G2347">
        <v>343.02</v>
      </c>
      <c r="H2347">
        <v>326.45999999999998</v>
      </c>
      <c r="I2347">
        <v>2834</v>
      </c>
      <c r="J2347">
        <v>80</v>
      </c>
      <c r="K2347" s="17">
        <f t="shared" si="289"/>
        <v>7557.3333333333339</v>
      </c>
      <c r="L2347" t="str">
        <f t="shared" si="290"/>
        <v>High Risk</v>
      </c>
      <c r="P2347" s="19">
        <f t="shared" si="291"/>
        <v>3665</v>
      </c>
      <c r="R2347" s="19">
        <f t="shared" si="288"/>
        <v>1196475.8999999999</v>
      </c>
      <c r="T2347" s="19">
        <f t="shared" si="292"/>
        <v>972118.67999999993</v>
      </c>
      <c r="U2347" s="19">
        <f t="shared" si="293"/>
        <v>925187.6399999999</v>
      </c>
      <c r="V2347" s="21">
        <f t="shared" si="294"/>
        <v>-46931.040000000037</v>
      </c>
      <c r="W2347" s="18">
        <f t="shared" si="295"/>
        <v>-4.8277068392513597E-2</v>
      </c>
    </row>
    <row r="2348" spans="1:23" x14ac:dyDescent="0.3">
      <c r="A2348" t="s">
        <v>1679</v>
      </c>
      <c r="B2348" t="s">
        <v>2945</v>
      </c>
      <c r="C2348" t="s">
        <v>37</v>
      </c>
      <c r="D2348" t="s">
        <v>13</v>
      </c>
      <c r="E2348">
        <v>3895</v>
      </c>
      <c r="F2348">
        <v>48.42</v>
      </c>
      <c r="G2348">
        <v>49.17</v>
      </c>
      <c r="H2348">
        <v>48.42</v>
      </c>
      <c r="I2348">
        <v>2671</v>
      </c>
      <c r="J2348">
        <v>32</v>
      </c>
      <c r="K2348" s="17">
        <f t="shared" si="289"/>
        <v>2849.0666666666666</v>
      </c>
      <c r="L2348" t="str">
        <f t="shared" si="290"/>
        <v>Sufficuent Stock</v>
      </c>
      <c r="P2348" s="19">
        <f t="shared" si="291"/>
        <v>0</v>
      </c>
      <c r="R2348" s="19">
        <f t="shared" si="288"/>
        <v>0</v>
      </c>
      <c r="T2348" s="19">
        <f t="shared" si="292"/>
        <v>131333.07</v>
      </c>
      <c r="U2348" s="19">
        <f t="shared" si="293"/>
        <v>129329.82</v>
      </c>
      <c r="V2348" s="21">
        <f t="shared" si="294"/>
        <v>-2003.25</v>
      </c>
      <c r="W2348" s="18">
        <f t="shared" si="295"/>
        <v>-1.525320317266626E-2</v>
      </c>
    </row>
    <row r="2349" spans="1:23" x14ac:dyDescent="0.3">
      <c r="A2349" t="s">
        <v>260</v>
      </c>
      <c r="B2349" t="s">
        <v>440</v>
      </c>
      <c r="C2349" t="s">
        <v>23</v>
      </c>
      <c r="D2349" t="s">
        <v>26</v>
      </c>
      <c r="E2349">
        <v>3898</v>
      </c>
      <c r="F2349">
        <v>229.68</v>
      </c>
      <c r="G2349">
        <v>200.9</v>
      </c>
      <c r="H2349">
        <v>229.68</v>
      </c>
      <c r="I2349">
        <v>1177</v>
      </c>
      <c r="J2349">
        <v>37</v>
      </c>
      <c r="K2349" s="17">
        <f t="shared" si="289"/>
        <v>1451.6333333333334</v>
      </c>
      <c r="L2349" t="str">
        <f t="shared" si="290"/>
        <v>Sufficuent Stock</v>
      </c>
      <c r="P2349" s="19">
        <f t="shared" si="291"/>
        <v>0</v>
      </c>
      <c r="R2349" s="19">
        <f t="shared" si="288"/>
        <v>0</v>
      </c>
      <c r="T2349" s="19">
        <f t="shared" si="292"/>
        <v>236459.30000000002</v>
      </c>
      <c r="U2349" s="19">
        <f t="shared" si="293"/>
        <v>270333.36</v>
      </c>
      <c r="V2349" s="21">
        <f t="shared" si="294"/>
        <v>33874.059999999969</v>
      </c>
      <c r="W2349" s="18">
        <f t="shared" si="295"/>
        <v>0.14325535092085601</v>
      </c>
    </row>
    <row r="2350" spans="1:23" x14ac:dyDescent="0.3">
      <c r="A2350" t="s">
        <v>76</v>
      </c>
      <c r="B2350" t="s">
        <v>2295</v>
      </c>
      <c r="C2350" t="s">
        <v>16</v>
      </c>
      <c r="D2350" t="s">
        <v>26</v>
      </c>
      <c r="E2350">
        <v>3904</v>
      </c>
      <c r="F2350">
        <v>18.59</v>
      </c>
      <c r="G2350">
        <v>18.41</v>
      </c>
      <c r="H2350">
        <v>18.59</v>
      </c>
      <c r="I2350">
        <v>3289</v>
      </c>
      <c r="J2350">
        <v>80</v>
      </c>
      <c r="K2350" s="17">
        <f t="shared" si="289"/>
        <v>8770.6666666666679</v>
      </c>
      <c r="L2350" t="str">
        <f t="shared" si="290"/>
        <v>High Risk</v>
      </c>
      <c r="P2350" s="19">
        <f t="shared" si="291"/>
        <v>4867</v>
      </c>
      <c r="R2350" s="19">
        <f t="shared" si="288"/>
        <v>90477.53</v>
      </c>
      <c r="T2350" s="19">
        <f t="shared" si="292"/>
        <v>60550.49</v>
      </c>
      <c r="U2350" s="19">
        <f t="shared" si="293"/>
        <v>61142.51</v>
      </c>
      <c r="V2350" s="21">
        <f t="shared" si="294"/>
        <v>592.02000000000407</v>
      </c>
      <c r="W2350" s="18">
        <f t="shared" si="295"/>
        <v>9.777294948397677E-3</v>
      </c>
    </row>
    <row r="2351" spans="1:23" x14ac:dyDescent="0.3">
      <c r="A2351" t="s">
        <v>1033</v>
      </c>
      <c r="B2351" t="s">
        <v>1764</v>
      </c>
      <c r="C2351" t="s">
        <v>23</v>
      </c>
      <c r="D2351" t="s">
        <v>26</v>
      </c>
      <c r="E2351">
        <v>3904</v>
      </c>
      <c r="F2351">
        <v>225.35</v>
      </c>
      <c r="G2351">
        <v>232.66</v>
      </c>
      <c r="H2351">
        <v>225.35</v>
      </c>
      <c r="I2351">
        <v>3539</v>
      </c>
      <c r="J2351">
        <v>90</v>
      </c>
      <c r="K2351" s="17">
        <f t="shared" si="289"/>
        <v>10617</v>
      </c>
      <c r="L2351" t="str">
        <f t="shared" si="290"/>
        <v>High Risk</v>
      </c>
      <c r="P2351" s="19">
        <f t="shared" si="291"/>
        <v>6713</v>
      </c>
      <c r="R2351" s="19">
        <f t="shared" si="288"/>
        <v>1512774.55</v>
      </c>
      <c r="T2351" s="19">
        <f t="shared" si="292"/>
        <v>823383.74</v>
      </c>
      <c r="U2351" s="19">
        <f t="shared" si="293"/>
        <v>797513.65</v>
      </c>
      <c r="V2351" s="21">
        <f t="shared" si="294"/>
        <v>-25870.089999999967</v>
      </c>
      <c r="W2351" s="18">
        <f t="shared" si="295"/>
        <v>-3.1419238373592326E-2</v>
      </c>
    </row>
    <row r="2352" spans="1:23" x14ac:dyDescent="0.3">
      <c r="A2352" t="s">
        <v>952</v>
      </c>
      <c r="B2352" t="s">
        <v>953</v>
      </c>
      <c r="C2352" t="s">
        <v>12</v>
      </c>
      <c r="D2352" t="s">
        <v>17</v>
      </c>
      <c r="E2352">
        <v>3908</v>
      </c>
      <c r="F2352">
        <v>295.76</v>
      </c>
      <c r="G2352">
        <v>252.45</v>
      </c>
      <c r="H2352">
        <v>295.76</v>
      </c>
      <c r="I2352">
        <v>3872</v>
      </c>
      <c r="J2352">
        <v>61</v>
      </c>
      <c r="K2352" s="17">
        <f t="shared" si="289"/>
        <v>7873.0666666666666</v>
      </c>
      <c r="L2352" t="str">
        <f t="shared" si="290"/>
        <v>High Risk</v>
      </c>
      <c r="P2352" s="19">
        <f t="shared" si="291"/>
        <v>3966</v>
      </c>
      <c r="R2352" s="19">
        <f t="shared" si="288"/>
        <v>1172984.1599999999</v>
      </c>
      <c r="T2352" s="19">
        <f t="shared" si="292"/>
        <v>977486.39999999991</v>
      </c>
      <c r="U2352" s="19">
        <f t="shared" si="293"/>
        <v>1145182.72</v>
      </c>
      <c r="V2352" s="21">
        <f t="shared" si="294"/>
        <v>167696.32000000007</v>
      </c>
      <c r="W2352" s="18">
        <f t="shared" si="295"/>
        <v>0.17155872449990106</v>
      </c>
    </row>
    <row r="2353" spans="1:23" x14ac:dyDescent="0.3">
      <c r="A2353" t="s">
        <v>24</v>
      </c>
      <c r="B2353" t="s">
        <v>2991</v>
      </c>
      <c r="C2353" t="s">
        <v>16</v>
      </c>
      <c r="D2353" t="s">
        <v>13</v>
      </c>
      <c r="E2353">
        <v>3908</v>
      </c>
      <c r="F2353">
        <v>415.37</v>
      </c>
      <c r="G2353">
        <v>400.28</v>
      </c>
      <c r="H2353">
        <v>415.37</v>
      </c>
      <c r="I2353">
        <v>2681</v>
      </c>
      <c r="J2353">
        <v>47</v>
      </c>
      <c r="K2353" s="17">
        <f t="shared" si="289"/>
        <v>4200.2333333333327</v>
      </c>
      <c r="L2353" t="str">
        <f t="shared" si="290"/>
        <v>High Risk</v>
      </c>
      <c r="P2353" s="19">
        <f t="shared" si="291"/>
        <v>293</v>
      </c>
      <c r="R2353" s="19">
        <f t="shared" si="288"/>
        <v>121703.41</v>
      </c>
      <c r="T2353" s="19">
        <f t="shared" si="292"/>
        <v>1073150.68</v>
      </c>
      <c r="U2353" s="19">
        <f t="shared" si="293"/>
        <v>1113606.97</v>
      </c>
      <c r="V2353" s="21">
        <f t="shared" si="294"/>
        <v>40456.290000000037</v>
      </c>
      <c r="W2353" s="18">
        <f t="shared" si="295"/>
        <v>3.7698610972319413E-2</v>
      </c>
    </row>
    <row r="2354" spans="1:23" x14ac:dyDescent="0.3">
      <c r="A2354" t="s">
        <v>115</v>
      </c>
      <c r="B2354" t="s">
        <v>2526</v>
      </c>
      <c r="C2354" t="s">
        <v>23</v>
      </c>
      <c r="D2354" t="s">
        <v>17</v>
      </c>
      <c r="E2354">
        <v>3909</v>
      </c>
      <c r="F2354">
        <v>295.23</v>
      </c>
      <c r="G2354">
        <v>259.33</v>
      </c>
      <c r="H2354">
        <v>295.23</v>
      </c>
      <c r="I2354">
        <v>74</v>
      </c>
      <c r="J2354">
        <v>46</v>
      </c>
      <c r="K2354" s="17">
        <f t="shared" si="289"/>
        <v>113.46666666666667</v>
      </c>
      <c r="L2354" t="str">
        <f t="shared" si="290"/>
        <v>Sufficuent Stock</v>
      </c>
      <c r="P2354" s="19">
        <f t="shared" si="291"/>
        <v>0</v>
      </c>
      <c r="R2354" s="19">
        <f t="shared" si="288"/>
        <v>0</v>
      </c>
      <c r="T2354" s="19">
        <f t="shared" si="292"/>
        <v>19190.419999999998</v>
      </c>
      <c r="U2354" s="19">
        <f t="shared" si="293"/>
        <v>21847.02</v>
      </c>
      <c r="V2354" s="21">
        <f t="shared" si="294"/>
        <v>2656.6000000000022</v>
      </c>
      <c r="W2354" s="18">
        <f t="shared" si="295"/>
        <v>0.13843365595958829</v>
      </c>
    </row>
    <row r="2355" spans="1:23" x14ac:dyDescent="0.3">
      <c r="A2355" t="s">
        <v>872</v>
      </c>
      <c r="B2355" t="s">
        <v>873</v>
      </c>
      <c r="C2355" t="s">
        <v>23</v>
      </c>
      <c r="D2355" t="s">
        <v>17</v>
      </c>
      <c r="E2355">
        <v>3910</v>
      </c>
      <c r="F2355">
        <v>131.85</v>
      </c>
      <c r="G2355">
        <v>123.26</v>
      </c>
      <c r="H2355">
        <v>131.85</v>
      </c>
      <c r="I2355">
        <v>3972</v>
      </c>
      <c r="J2355">
        <v>43</v>
      </c>
      <c r="K2355" s="17">
        <f t="shared" si="289"/>
        <v>5693.2</v>
      </c>
      <c r="L2355" t="str">
        <f t="shared" si="290"/>
        <v>High Risk</v>
      </c>
      <c r="P2355" s="19">
        <f t="shared" si="291"/>
        <v>1784</v>
      </c>
      <c r="R2355" s="19">
        <f t="shared" si="288"/>
        <v>235220.4</v>
      </c>
      <c r="T2355" s="19">
        <f t="shared" si="292"/>
        <v>489588.72000000003</v>
      </c>
      <c r="U2355" s="19">
        <f t="shared" si="293"/>
        <v>523708.19999999995</v>
      </c>
      <c r="V2355" s="21">
        <f t="shared" si="294"/>
        <v>34119.479999999923</v>
      </c>
      <c r="W2355" s="18">
        <f t="shared" si="295"/>
        <v>6.9690085997079182E-2</v>
      </c>
    </row>
    <row r="2356" spans="1:23" x14ac:dyDescent="0.3">
      <c r="A2356" t="s">
        <v>940</v>
      </c>
      <c r="B2356" t="s">
        <v>1743</v>
      </c>
      <c r="C2356" t="s">
        <v>12</v>
      </c>
      <c r="D2356" t="s">
        <v>17</v>
      </c>
      <c r="E2356">
        <v>3916</v>
      </c>
      <c r="F2356">
        <v>272.66000000000003</v>
      </c>
      <c r="G2356">
        <v>231.36</v>
      </c>
      <c r="H2356">
        <v>272.66000000000003</v>
      </c>
      <c r="I2356">
        <v>3234</v>
      </c>
      <c r="J2356">
        <v>9</v>
      </c>
      <c r="K2356" s="17">
        <f t="shared" si="289"/>
        <v>970.19999999999993</v>
      </c>
      <c r="L2356" t="str">
        <f t="shared" si="290"/>
        <v>Sufficuent Stock</v>
      </c>
      <c r="P2356" s="19">
        <f t="shared" si="291"/>
        <v>0</v>
      </c>
      <c r="R2356" s="19">
        <f t="shared" si="288"/>
        <v>0</v>
      </c>
      <c r="T2356" s="19">
        <f t="shared" si="292"/>
        <v>748218.24</v>
      </c>
      <c r="U2356" s="19">
        <f t="shared" si="293"/>
        <v>881782.44000000006</v>
      </c>
      <c r="V2356" s="21">
        <f t="shared" si="294"/>
        <v>133564.20000000007</v>
      </c>
      <c r="W2356" s="18">
        <f t="shared" si="295"/>
        <v>0.17850968188105126</v>
      </c>
    </row>
    <row r="2357" spans="1:23" x14ac:dyDescent="0.3">
      <c r="A2357" t="s">
        <v>436</v>
      </c>
      <c r="B2357" t="s">
        <v>2109</v>
      </c>
      <c r="C2357" t="s">
        <v>50</v>
      </c>
      <c r="D2357" t="s">
        <v>13</v>
      </c>
      <c r="E2357">
        <v>3919</v>
      </c>
      <c r="F2357">
        <v>97.39</v>
      </c>
      <c r="G2357">
        <v>101.21</v>
      </c>
      <c r="H2357">
        <v>97.39</v>
      </c>
      <c r="I2357">
        <v>2949</v>
      </c>
      <c r="J2357">
        <v>27</v>
      </c>
      <c r="K2357" s="17">
        <f t="shared" si="289"/>
        <v>2654.1</v>
      </c>
      <c r="L2357" t="str">
        <f t="shared" si="290"/>
        <v>Sufficuent Stock</v>
      </c>
      <c r="P2357" s="19">
        <f t="shared" si="291"/>
        <v>0</v>
      </c>
      <c r="R2357" s="19">
        <f t="shared" si="288"/>
        <v>0</v>
      </c>
      <c r="T2357" s="19">
        <f t="shared" si="292"/>
        <v>298468.28999999998</v>
      </c>
      <c r="U2357" s="19">
        <f t="shared" si="293"/>
        <v>287203.11</v>
      </c>
      <c r="V2357" s="21">
        <f t="shared" si="294"/>
        <v>-11265.179999999993</v>
      </c>
      <c r="W2357" s="18">
        <f t="shared" si="295"/>
        <v>-3.7743305997431066E-2</v>
      </c>
    </row>
    <row r="2358" spans="1:23" x14ac:dyDescent="0.3">
      <c r="A2358" t="s">
        <v>549</v>
      </c>
      <c r="B2358" t="s">
        <v>815</v>
      </c>
      <c r="C2358" t="s">
        <v>16</v>
      </c>
      <c r="D2358" t="s">
        <v>13</v>
      </c>
      <c r="E2358">
        <v>3923</v>
      </c>
      <c r="F2358">
        <v>393.49</v>
      </c>
      <c r="G2358">
        <v>417.21</v>
      </c>
      <c r="H2358">
        <v>393.49</v>
      </c>
      <c r="I2358">
        <v>2336</v>
      </c>
      <c r="J2358">
        <v>10</v>
      </c>
      <c r="K2358" s="17">
        <f t="shared" si="289"/>
        <v>778.66666666666663</v>
      </c>
      <c r="L2358" t="str">
        <f t="shared" si="290"/>
        <v>Sufficuent Stock</v>
      </c>
      <c r="P2358" s="19">
        <f t="shared" si="291"/>
        <v>0</v>
      </c>
      <c r="R2358" s="19">
        <f t="shared" si="288"/>
        <v>0</v>
      </c>
      <c r="T2358" s="19">
        <f t="shared" si="292"/>
        <v>974602.55999999994</v>
      </c>
      <c r="U2358" s="19">
        <f t="shared" si="293"/>
        <v>919192.64</v>
      </c>
      <c r="V2358" s="21">
        <f t="shared" si="294"/>
        <v>-55409.919999999925</v>
      </c>
      <c r="W2358" s="18">
        <f t="shared" si="295"/>
        <v>-5.6853862563217492E-2</v>
      </c>
    </row>
    <row r="2359" spans="1:23" x14ac:dyDescent="0.3">
      <c r="A2359" t="s">
        <v>295</v>
      </c>
      <c r="B2359" t="s">
        <v>2210</v>
      </c>
      <c r="C2359" t="s">
        <v>16</v>
      </c>
      <c r="D2359" t="s">
        <v>26</v>
      </c>
      <c r="E2359">
        <v>3927</v>
      </c>
      <c r="F2359">
        <v>79.38</v>
      </c>
      <c r="G2359">
        <v>73.23</v>
      </c>
      <c r="H2359">
        <v>79.38</v>
      </c>
      <c r="I2359">
        <v>1367</v>
      </c>
      <c r="J2359">
        <v>78</v>
      </c>
      <c r="K2359" s="17">
        <f t="shared" si="289"/>
        <v>3554.2000000000003</v>
      </c>
      <c r="L2359" t="str">
        <f t="shared" si="290"/>
        <v>Sufficuent Stock</v>
      </c>
      <c r="P2359" s="19">
        <f t="shared" si="291"/>
        <v>0</v>
      </c>
      <c r="R2359" s="19">
        <f t="shared" si="288"/>
        <v>0</v>
      </c>
      <c r="T2359" s="19">
        <f t="shared" si="292"/>
        <v>100105.41</v>
      </c>
      <c r="U2359" s="19">
        <f t="shared" si="293"/>
        <v>108512.45999999999</v>
      </c>
      <c r="V2359" s="21">
        <f t="shared" si="294"/>
        <v>8407.0499999999884</v>
      </c>
      <c r="W2359" s="18">
        <f t="shared" si="295"/>
        <v>8.3981974600573411E-2</v>
      </c>
    </row>
    <row r="2360" spans="1:23" x14ac:dyDescent="0.3">
      <c r="A2360" t="s">
        <v>275</v>
      </c>
      <c r="B2360" t="s">
        <v>3367</v>
      </c>
      <c r="C2360" t="s">
        <v>37</v>
      </c>
      <c r="D2360" t="s">
        <v>26</v>
      </c>
      <c r="E2360">
        <v>3928</v>
      </c>
      <c r="F2360">
        <v>185.44</v>
      </c>
      <c r="G2360">
        <v>157.51</v>
      </c>
      <c r="H2360">
        <v>185.44</v>
      </c>
      <c r="I2360">
        <v>2179</v>
      </c>
      <c r="J2360">
        <v>41</v>
      </c>
      <c r="K2360" s="17">
        <f t="shared" si="289"/>
        <v>2977.9666666666672</v>
      </c>
      <c r="L2360" t="str">
        <f t="shared" si="290"/>
        <v>Sufficuent Stock</v>
      </c>
      <c r="P2360" s="19">
        <f t="shared" si="291"/>
        <v>0</v>
      </c>
      <c r="R2360" s="19">
        <f t="shared" si="288"/>
        <v>0</v>
      </c>
      <c r="T2360" s="19">
        <f t="shared" si="292"/>
        <v>343214.29</v>
      </c>
      <c r="U2360" s="19">
        <f t="shared" si="293"/>
        <v>404073.76</v>
      </c>
      <c r="V2360" s="21">
        <f t="shared" si="294"/>
        <v>60859.47000000003</v>
      </c>
      <c r="W2360" s="18">
        <f t="shared" si="295"/>
        <v>0.17732207478890238</v>
      </c>
    </row>
    <row r="2361" spans="1:23" x14ac:dyDescent="0.3">
      <c r="A2361" t="s">
        <v>1335</v>
      </c>
      <c r="B2361" t="s">
        <v>2432</v>
      </c>
      <c r="C2361" t="s">
        <v>37</v>
      </c>
      <c r="D2361" t="s">
        <v>17</v>
      </c>
      <c r="E2361">
        <v>3929</v>
      </c>
      <c r="F2361">
        <v>248.71</v>
      </c>
      <c r="G2361">
        <v>268.10000000000002</v>
      </c>
      <c r="H2361">
        <v>248.71</v>
      </c>
      <c r="I2361">
        <v>3110</v>
      </c>
      <c r="J2361">
        <v>25</v>
      </c>
      <c r="K2361" s="17">
        <f t="shared" si="289"/>
        <v>2591.666666666667</v>
      </c>
      <c r="L2361" t="str">
        <f t="shared" si="290"/>
        <v>Sufficuent Stock</v>
      </c>
      <c r="P2361" s="19">
        <f t="shared" si="291"/>
        <v>0</v>
      </c>
      <c r="R2361" s="19">
        <f t="shared" si="288"/>
        <v>0</v>
      </c>
      <c r="T2361" s="19">
        <f t="shared" si="292"/>
        <v>833791.00000000012</v>
      </c>
      <c r="U2361" s="19">
        <f t="shared" si="293"/>
        <v>773488.1</v>
      </c>
      <c r="V2361" s="21">
        <f t="shared" si="294"/>
        <v>-60302.90000000014</v>
      </c>
      <c r="W2361" s="18">
        <f t="shared" si="295"/>
        <v>-7.2323759791122877E-2</v>
      </c>
    </row>
    <row r="2362" spans="1:23" x14ac:dyDescent="0.3">
      <c r="A2362" t="s">
        <v>929</v>
      </c>
      <c r="B2362" t="s">
        <v>1344</v>
      </c>
      <c r="C2362" t="s">
        <v>23</v>
      </c>
      <c r="D2362" t="s">
        <v>17</v>
      </c>
      <c r="E2362">
        <v>3931</v>
      </c>
      <c r="F2362">
        <v>260.37</v>
      </c>
      <c r="G2362">
        <v>275.87</v>
      </c>
      <c r="H2362">
        <v>260.37</v>
      </c>
      <c r="I2362">
        <v>2549</v>
      </c>
      <c r="J2362">
        <v>21</v>
      </c>
      <c r="K2362" s="17">
        <f t="shared" si="289"/>
        <v>1784.3</v>
      </c>
      <c r="L2362" t="str">
        <f t="shared" si="290"/>
        <v>Sufficuent Stock</v>
      </c>
      <c r="P2362" s="19">
        <f t="shared" si="291"/>
        <v>0</v>
      </c>
      <c r="R2362" s="19">
        <f t="shared" si="288"/>
        <v>0</v>
      </c>
      <c r="T2362" s="19">
        <f t="shared" si="292"/>
        <v>703192.63</v>
      </c>
      <c r="U2362" s="19">
        <f t="shared" si="293"/>
        <v>663683.13</v>
      </c>
      <c r="V2362" s="21">
        <f t="shared" si="294"/>
        <v>-39509.5</v>
      </c>
      <c r="W2362" s="18">
        <f t="shared" si="295"/>
        <v>-5.6185884655816143E-2</v>
      </c>
    </row>
    <row r="2363" spans="1:23" x14ac:dyDescent="0.3">
      <c r="A2363" t="s">
        <v>1019</v>
      </c>
      <c r="B2363" t="s">
        <v>1539</v>
      </c>
      <c r="C2363" t="s">
        <v>23</v>
      </c>
      <c r="D2363" t="s">
        <v>69</v>
      </c>
      <c r="E2363">
        <v>3932</v>
      </c>
      <c r="F2363">
        <v>396.75</v>
      </c>
      <c r="G2363">
        <v>415.9</v>
      </c>
      <c r="H2363">
        <v>396.75</v>
      </c>
      <c r="I2363">
        <v>794</v>
      </c>
      <c r="J2363">
        <v>73</v>
      </c>
      <c r="K2363" s="17">
        <f t="shared" si="289"/>
        <v>1932.0666666666666</v>
      </c>
      <c r="L2363" t="str">
        <f t="shared" si="290"/>
        <v>Sufficuent Stock</v>
      </c>
      <c r="P2363" s="19">
        <f t="shared" si="291"/>
        <v>0</v>
      </c>
      <c r="R2363" s="19">
        <f t="shared" si="288"/>
        <v>0</v>
      </c>
      <c r="T2363" s="19">
        <f t="shared" si="292"/>
        <v>330224.59999999998</v>
      </c>
      <c r="U2363" s="19">
        <f t="shared" si="293"/>
        <v>315019.5</v>
      </c>
      <c r="V2363" s="21">
        <f t="shared" si="294"/>
        <v>-15205.099999999977</v>
      </c>
      <c r="W2363" s="18">
        <f t="shared" si="295"/>
        <v>-4.6044722289011714E-2</v>
      </c>
    </row>
    <row r="2364" spans="1:23" x14ac:dyDescent="0.3">
      <c r="A2364" t="s">
        <v>161</v>
      </c>
      <c r="B2364" t="s">
        <v>2829</v>
      </c>
      <c r="C2364" t="s">
        <v>12</v>
      </c>
      <c r="D2364" t="s">
        <v>69</v>
      </c>
      <c r="E2364">
        <v>3933</v>
      </c>
      <c r="F2364">
        <v>72.150000000000006</v>
      </c>
      <c r="G2364">
        <v>66.17</v>
      </c>
      <c r="H2364">
        <v>72.150000000000006</v>
      </c>
      <c r="I2364">
        <v>2547</v>
      </c>
      <c r="J2364">
        <v>90</v>
      </c>
      <c r="K2364" s="17">
        <f t="shared" si="289"/>
        <v>7641.0000000000009</v>
      </c>
      <c r="L2364" t="str">
        <f t="shared" si="290"/>
        <v>High Risk</v>
      </c>
      <c r="P2364" s="19">
        <f t="shared" si="291"/>
        <v>3708</v>
      </c>
      <c r="R2364" s="19">
        <f t="shared" si="288"/>
        <v>267532.2</v>
      </c>
      <c r="T2364" s="19">
        <f t="shared" si="292"/>
        <v>168534.99</v>
      </c>
      <c r="U2364" s="19">
        <f t="shared" si="293"/>
        <v>183766.05000000002</v>
      </c>
      <c r="V2364" s="21">
        <f t="shared" si="294"/>
        <v>15231.060000000027</v>
      </c>
      <c r="W2364" s="18">
        <f t="shared" si="295"/>
        <v>9.0373280943025699E-2</v>
      </c>
    </row>
    <row r="2365" spans="1:23" x14ac:dyDescent="0.3">
      <c r="A2365" t="s">
        <v>474</v>
      </c>
      <c r="B2365" t="s">
        <v>3221</v>
      </c>
      <c r="C2365" t="s">
        <v>37</v>
      </c>
      <c r="D2365" t="s">
        <v>17</v>
      </c>
      <c r="E2365">
        <v>3936</v>
      </c>
      <c r="F2365">
        <v>305.86</v>
      </c>
      <c r="G2365">
        <v>282.33999999999997</v>
      </c>
      <c r="H2365">
        <v>305.86</v>
      </c>
      <c r="I2365">
        <v>373</v>
      </c>
      <c r="J2365">
        <v>34</v>
      </c>
      <c r="K2365" s="17">
        <f t="shared" si="289"/>
        <v>422.73333333333335</v>
      </c>
      <c r="L2365" t="str">
        <f t="shared" si="290"/>
        <v>Sufficuent Stock</v>
      </c>
      <c r="P2365" s="19">
        <f t="shared" si="291"/>
        <v>0</v>
      </c>
      <c r="R2365" s="19">
        <f t="shared" si="288"/>
        <v>0</v>
      </c>
      <c r="T2365" s="19">
        <f t="shared" si="292"/>
        <v>105312.81999999999</v>
      </c>
      <c r="U2365" s="19">
        <f t="shared" si="293"/>
        <v>114085.78</v>
      </c>
      <c r="V2365" s="21">
        <f t="shared" si="294"/>
        <v>8772.9600000000064</v>
      </c>
      <c r="W2365" s="18">
        <f t="shared" si="295"/>
        <v>8.3303818091662596E-2</v>
      </c>
    </row>
    <row r="2366" spans="1:23" x14ac:dyDescent="0.3">
      <c r="A2366" t="s">
        <v>1132</v>
      </c>
      <c r="B2366" t="s">
        <v>1133</v>
      </c>
      <c r="C2366" t="s">
        <v>23</v>
      </c>
      <c r="D2366" t="s">
        <v>20</v>
      </c>
      <c r="E2366">
        <v>3937</v>
      </c>
      <c r="F2366">
        <v>292.95999999999998</v>
      </c>
      <c r="G2366">
        <v>316.7</v>
      </c>
      <c r="H2366">
        <v>292.95999999999998</v>
      </c>
      <c r="I2366">
        <v>3426</v>
      </c>
      <c r="J2366">
        <v>63</v>
      </c>
      <c r="K2366" s="17">
        <f t="shared" si="289"/>
        <v>7194.6</v>
      </c>
      <c r="L2366" t="str">
        <f t="shared" si="290"/>
        <v>High Risk</v>
      </c>
      <c r="P2366" s="19">
        <f t="shared" si="291"/>
        <v>3258</v>
      </c>
      <c r="R2366" s="19">
        <f t="shared" si="288"/>
        <v>954463.67999999993</v>
      </c>
      <c r="T2366" s="19">
        <f t="shared" si="292"/>
        <v>1085014.2</v>
      </c>
      <c r="U2366" s="19">
        <f t="shared" si="293"/>
        <v>1003680.96</v>
      </c>
      <c r="V2366" s="21">
        <f t="shared" si="294"/>
        <v>-81333.239999999991</v>
      </c>
      <c r="W2366" s="18">
        <f t="shared" si="295"/>
        <v>-7.496053047047678E-2</v>
      </c>
    </row>
    <row r="2367" spans="1:23" x14ac:dyDescent="0.3">
      <c r="A2367" t="s">
        <v>31</v>
      </c>
      <c r="B2367" t="s">
        <v>2237</v>
      </c>
      <c r="C2367" t="s">
        <v>23</v>
      </c>
      <c r="D2367" t="s">
        <v>17</v>
      </c>
      <c r="E2367">
        <v>3941</v>
      </c>
      <c r="F2367">
        <v>511.18</v>
      </c>
      <c r="G2367">
        <v>447.86</v>
      </c>
      <c r="H2367">
        <v>511.18</v>
      </c>
      <c r="I2367">
        <v>1832</v>
      </c>
      <c r="J2367">
        <v>37</v>
      </c>
      <c r="K2367" s="17">
        <f t="shared" si="289"/>
        <v>2259.4666666666667</v>
      </c>
      <c r="L2367" t="str">
        <f t="shared" si="290"/>
        <v>Sufficuent Stock</v>
      </c>
      <c r="P2367" s="19">
        <f t="shared" si="291"/>
        <v>0</v>
      </c>
      <c r="R2367" s="19">
        <f t="shared" si="288"/>
        <v>0</v>
      </c>
      <c r="T2367" s="19">
        <f t="shared" si="292"/>
        <v>820479.52</v>
      </c>
      <c r="U2367" s="19">
        <f t="shared" si="293"/>
        <v>936481.76</v>
      </c>
      <c r="V2367" s="21">
        <f t="shared" si="294"/>
        <v>116002.23999999999</v>
      </c>
      <c r="W2367" s="18">
        <f t="shared" si="295"/>
        <v>0.14138346804805071</v>
      </c>
    </row>
    <row r="2368" spans="1:23" x14ac:dyDescent="0.3">
      <c r="A2368" t="s">
        <v>759</v>
      </c>
      <c r="B2368" t="s">
        <v>1104</v>
      </c>
      <c r="C2368" t="s">
        <v>37</v>
      </c>
      <c r="D2368" t="s">
        <v>20</v>
      </c>
      <c r="E2368">
        <v>3942</v>
      </c>
      <c r="F2368">
        <v>36.53</v>
      </c>
      <c r="G2368">
        <v>39.4</v>
      </c>
      <c r="H2368">
        <v>36.53</v>
      </c>
      <c r="I2368">
        <v>2577</v>
      </c>
      <c r="J2368">
        <v>80</v>
      </c>
      <c r="K2368" s="17">
        <f t="shared" si="289"/>
        <v>6872</v>
      </c>
      <c r="L2368" t="str">
        <f t="shared" si="290"/>
        <v>High Risk</v>
      </c>
      <c r="P2368" s="19">
        <f t="shared" si="291"/>
        <v>2930</v>
      </c>
      <c r="R2368" s="19">
        <f t="shared" si="288"/>
        <v>107032.90000000001</v>
      </c>
      <c r="T2368" s="19">
        <f t="shared" si="292"/>
        <v>101533.8</v>
      </c>
      <c r="U2368" s="19">
        <f t="shared" si="293"/>
        <v>94137.81</v>
      </c>
      <c r="V2368" s="21">
        <f t="shared" si="294"/>
        <v>-7395.9900000000052</v>
      </c>
      <c r="W2368" s="18">
        <f t="shared" si="295"/>
        <v>-7.2842639593908673E-2</v>
      </c>
    </row>
    <row r="2369" spans="1:23" x14ac:dyDescent="0.3">
      <c r="A2369" t="s">
        <v>310</v>
      </c>
      <c r="B2369" t="s">
        <v>2739</v>
      </c>
      <c r="C2369" t="s">
        <v>23</v>
      </c>
      <c r="D2369" t="s">
        <v>69</v>
      </c>
      <c r="E2369">
        <v>3942</v>
      </c>
      <c r="F2369">
        <v>243.35</v>
      </c>
      <c r="G2369">
        <v>220.65</v>
      </c>
      <c r="H2369">
        <v>243.35</v>
      </c>
      <c r="I2369">
        <v>2340</v>
      </c>
      <c r="J2369">
        <v>55</v>
      </c>
      <c r="K2369" s="17">
        <f t="shared" si="289"/>
        <v>4290</v>
      </c>
      <c r="L2369" t="str">
        <f t="shared" si="290"/>
        <v>High Risk</v>
      </c>
      <c r="P2369" s="19">
        <f t="shared" si="291"/>
        <v>348</v>
      </c>
      <c r="R2369" s="19">
        <f t="shared" si="288"/>
        <v>84685.8</v>
      </c>
      <c r="T2369" s="19">
        <f t="shared" si="292"/>
        <v>516321</v>
      </c>
      <c r="U2369" s="19">
        <f t="shared" si="293"/>
        <v>569439</v>
      </c>
      <c r="V2369" s="21">
        <f t="shared" si="294"/>
        <v>53118</v>
      </c>
      <c r="W2369" s="18">
        <f t="shared" si="295"/>
        <v>0.1028778608656243</v>
      </c>
    </row>
    <row r="2370" spans="1:23" x14ac:dyDescent="0.3">
      <c r="A2370" t="s">
        <v>833</v>
      </c>
      <c r="B2370" t="s">
        <v>2172</v>
      </c>
      <c r="C2370" t="s">
        <v>16</v>
      </c>
      <c r="D2370" t="s">
        <v>13</v>
      </c>
      <c r="E2370">
        <v>3943</v>
      </c>
      <c r="F2370">
        <v>22.02</v>
      </c>
      <c r="G2370">
        <v>20.32</v>
      </c>
      <c r="H2370">
        <v>22.02</v>
      </c>
      <c r="I2370">
        <v>1869</v>
      </c>
      <c r="J2370">
        <v>40</v>
      </c>
      <c r="K2370" s="17">
        <f t="shared" si="289"/>
        <v>2492</v>
      </c>
      <c r="L2370" t="str">
        <f t="shared" si="290"/>
        <v>Sufficuent Stock</v>
      </c>
      <c r="P2370" s="19">
        <f t="shared" si="291"/>
        <v>0</v>
      </c>
      <c r="R2370" s="19">
        <f t="shared" ref="R2370:R2433" si="296">P2370*H2370</f>
        <v>0</v>
      </c>
      <c r="T2370" s="19">
        <f t="shared" si="292"/>
        <v>37978.080000000002</v>
      </c>
      <c r="U2370" s="19">
        <f t="shared" si="293"/>
        <v>41155.379999999997</v>
      </c>
      <c r="V2370" s="21">
        <f t="shared" si="294"/>
        <v>3177.2999999999956</v>
      </c>
      <c r="W2370" s="18">
        <f t="shared" si="295"/>
        <v>8.3661417322834525E-2</v>
      </c>
    </row>
    <row r="2371" spans="1:23" x14ac:dyDescent="0.3">
      <c r="A2371" t="s">
        <v>626</v>
      </c>
      <c r="B2371" t="s">
        <v>1783</v>
      </c>
      <c r="C2371" t="s">
        <v>23</v>
      </c>
      <c r="D2371" t="s">
        <v>20</v>
      </c>
      <c r="E2371">
        <v>3943</v>
      </c>
      <c r="F2371">
        <v>41.17</v>
      </c>
      <c r="G2371">
        <v>35.28</v>
      </c>
      <c r="H2371">
        <v>41.17</v>
      </c>
      <c r="I2371">
        <v>370</v>
      </c>
      <c r="J2371">
        <v>55</v>
      </c>
      <c r="K2371" s="17">
        <f t="shared" ref="K2371:K2434" si="297">(I2371/30)*J2371</f>
        <v>678.33333333333337</v>
      </c>
      <c r="L2371" t="str">
        <f t="shared" ref="L2371:L2434" si="298">IF(E2371&lt;K2371,"High Risk","Sufficuent Stock")</f>
        <v>Sufficuent Stock</v>
      </c>
      <c r="P2371" s="19">
        <f t="shared" ref="P2371:P2434" si="299">ROUNDUP(MAX(0,K2371-E2371),0)</f>
        <v>0</v>
      </c>
      <c r="R2371" s="19">
        <f t="shared" si="296"/>
        <v>0</v>
      </c>
      <c r="T2371" s="19">
        <f t="shared" ref="T2371:T2434" si="300">I2371*G2371</f>
        <v>13053.6</v>
      </c>
      <c r="U2371" s="19">
        <f t="shared" ref="U2371:U2434" si="301">I2371*H2371</f>
        <v>15232.900000000001</v>
      </c>
      <c r="V2371" s="21">
        <f t="shared" ref="V2371:V2434" si="302">U2371-T2371</f>
        <v>2179.3000000000011</v>
      </c>
      <c r="W2371" s="18">
        <f t="shared" ref="W2371:W2434" si="303">IFERROR(V2371/T2371,0)</f>
        <v>0.16695011337868487</v>
      </c>
    </row>
    <row r="2372" spans="1:23" x14ac:dyDescent="0.3">
      <c r="A2372" t="s">
        <v>293</v>
      </c>
      <c r="B2372" t="s">
        <v>3020</v>
      </c>
      <c r="C2372" t="s">
        <v>37</v>
      </c>
      <c r="D2372" t="s">
        <v>17</v>
      </c>
      <c r="E2372">
        <v>3945</v>
      </c>
      <c r="F2372">
        <v>416.25</v>
      </c>
      <c r="G2372">
        <v>408.27</v>
      </c>
      <c r="H2372">
        <v>416.25</v>
      </c>
      <c r="I2372">
        <v>1136</v>
      </c>
      <c r="J2372">
        <v>14</v>
      </c>
      <c r="K2372" s="17">
        <f t="shared" si="297"/>
        <v>530.13333333333333</v>
      </c>
      <c r="L2372" t="str">
        <f t="shared" si="298"/>
        <v>Sufficuent Stock</v>
      </c>
      <c r="P2372" s="19">
        <f t="shared" si="299"/>
        <v>0</v>
      </c>
      <c r="R2372" s="19">
        <f t="shared" si="296"/>
        <v>0</v>
      </c>
      <c r="T2372" s="19">
        <f t="shared" si="300"/>
        <v>463794.72</v>
      </c>
      <c r="U2372" s="19">
        <f t="shared" si="301"/>
        <v>472860</v>
      </c>
      <c r="V2372" s="21">
        <f t="shared" si="302"/>
        <v>9065.2800000000279</v>
      </c>
      <c r="W2372" s="18">
        <f t="shared" si="303"/>
        <v>1.9545888750091913E-2</v>
      </c>
    </row>
    <row r="2373" spans="1:23" x14ac:dyDescent="0.3">
      <c r="A2373" t="s">
        <v>155</v>
      </c>
      <c r="B2373" t="s">
        <v>2538</v>
      </c>
      <c r="C2373" t="s">
        <v>23</v>
      </c>
      <c r="D2373" t="s">
        <v>17</v>
      </c>
      <c r="E2373">
        <v>3945</v>
      </c>
      <c r="F2373">
        <v>64.62</v>
      </c>
      <c r="G2373">
        <v>60.9</v>
      </c>
      <c r="H2373">
        <v>64.62</v>
      </c>
      <c r="I2373">
        <v>2381</v>
      </c>
      <c r="J2373">
        <v>52</v>
      </c>
      <c r="K2373" s="17">
        <f t="shared" si="297"/>
        <v>4127.0666666666666</v>
      </c>
      <c r="L2373" t="str">
        <f t="shared" si="298"/>
        <v>High Risk</v>
      </c>
      <c r="P2373" s="19">
        <f t="shared" si="299"/>
        <v>183</v>
      </c>
      <c r="R2373" s="19">
        <f t="shared" si="296"/>
        <v>11825.460000000001</v>
      </c>
      <c r="T2373" s="19">
        <f t="shared" si="300"/>
        <v>145002.9</v>
      </c>
      <c r="U2373" s="19">
        <f t="shared" si="301"/>
        <v>153860.22</v>
      </c>
      <c r="V2373" s="21">
        <f t="shared" si="302"/>
        <v>8857.320000000007</v>
      </c>
      <c r="W2373" s="18">
        <f t="shared" si="303"/>
        <v>6.1083743842364584E-2</v>
      </c>
    </row>
    <row r="2374" spans="1:23" x14ac:dyDescent="0.3">
      <c r="A2374" t="s">
        <v>177</v>
      </c>
      <c r="B2374" t="s">
        <v>3190</v>
      </c>
      <c r="C2374" t="s">
        <v>16</v>
      </c>
      <c r="D2374" t="s">
        <v>69</v>
      </c>
      <c r="E2374">
        <v>3946</v>
      </c>
      <c r="F2374">
        <v>262.27999999999997</v>
      </c>
      <c r="G2374">
        <v>222.29</v>
      </c>
      <c r="H2374">
        <v>262.27999999999997</v>
      </c>
      <c r="I2374">
        <v>2489</v>
      </c>
      <c r="J2374">
        <v>60</v>
      </c>
      <c r="K2374" s="17">
        <f t="shared" si="297"/>
        <v>4978</v>
      </c>
      <c r="L2374" t="str">
        <f t="shared" si="298"/>
        <v>High Risk</v>
      </c>
      <c r="P2374" s="19">
        <f t="shared" si="299"/>
        <v>1032</v>
      </c>
      <c r="R2374" s="19">
        <f t="shared" si="296"/>
        <v>270672.95999999996</v>
      </c>
      <c r="T2374" s="19">
        <f t="shared" si="300"/>
        <v>553279.80999999994</v>
      </c>
      <c r="U2374" s="19">
        <f t="shared" si="301"/>
        <v>652814.91999999993</v>
      </c>
      <c r="V2374" s="21">
        <f t="shared" si="302"/>
        <v>99535.109999999986</v>
      </c>
      <c r="W2374" s="18">
        <f t="shared" si="303"/>
        <v>0.17990013046020964</v>
      </c>
    </row>
    <row r="2375" spans="1:23" x14ac:dyDescent="0.3">
      <c r="A2375" t="s">
        <v>923</v>
      </c>
      <c r="B2375" t="s">
        <v>2281</v>
      </c>
      <c r="C2375" t="s">
        <v>23</v>
      </c>
      <c r="D2375" t="s">
        <v>20</v>
      </c>
      <c r="E2375">
        <v>3946</v>
      </c>
      <c r="F2375">
        <v>487.69</v>
      </c>
      <c r="G2375">
        <v>420.4</v>
      </c>
      <c r="H2375">
        <v>487.69</v>
      </c>
      <c r="I2375">
        <v>1969</v>
      </c>
      <c r="J2375">
        <v>85</v>
      </c>
      <c r="K2375" s="17">
        <f t="shared" si="297"/>
        <v>5578.8333333333339</v>
      </c>
      <c r="L2375" t="str">
        <f t="shared" si="298"/>
        <v>High Risk</v>
      </c>
      <c r="P2375" s="19">
        <f t="shared" si="299"/>
        <v>1633</v>
      </c>
      <c r="R2375" s="19">
        <f t="shared" si="296"/>
        <v>796397.77</v>
      </c>
      <c r="T2375" s="19">
        <f t="shared" si="300"/>
        <v>827767.6</v>
      </c>
      <c r="U2375" s="19">
        <f t="shared" si="301"/>
        <v>960261.61</v>
      </c>
      <c r="V2375" s="21">
        <f t="shared" si="302"/>
        <v>132494.01</v>
      </c>
      <c r="W2375" s="18">
        <f t="shared" si="303"/>
        <v>0.16006184586108468</v>
      </c>
    </row>
    <row r="2376" spans="1:23" x14ac:dyDescent="0.3">
      <c r="A2376" t="s">
        <v>525</v>
      </c>
      <c r="B2376" t="s">
        <v>2591</v>
      </c>
      <c r="C2376" t="s">
        <v>37</v>
      </c>
      <c r="D2376" t="s">
        <v>17</v>
      </c>
      <c r="E2376">
        <v>3952</v>
      </c>
      <c r="F2376">
        <v>463.92</v>
      </c>
      <c r="G2376">
        <v>390.74</v>
      </c>
      <c r="H2376">
        <v>463.92</v>
      </c>
      <c r="I2376">
        <v>3888</v>
      </c>
      <c r="J2376">
        <v>87</v>
      </c>
      <c r="K2376" s="17">
        <f t="shared" si="297"/>
        <v>11275.199999999999</v>
      </c>
      <c r="L2376" t="str">
        <f t="shared" si="298"/>
        <v>High Risk</v>
      </c>
      <c r="P2376" s="19">
        <f t="shared" si="299"/>
        <v>7324</v>
      </c>
      <c r="R2376" s="19">
        <f t="shared" si="296"/>
        <v>3397750.08</v>
      </c>
      <c r="T2376" s="19">
        <f t="shared" si="300"/>
        <v>1519197.12</v>
      </c>
      <c r="U2376" s="19">
        <f t="shared" si="301"/>
        <v>1803720.96</v>
      </c>
      <c r="V2376" s="21">
        <f t="shared" si="302"/>
        <v>284523.83999999985</v>
      </c>
      <c r="W2376" s="18">
        <f t="shared" si="303"/>
        <v>0.18728566310078301</v>
      </c>
    </row>
    <row r="2377" spans="1:23" x14ac:dyDescent="0.3">
      <c r="A2377" t="s">
        <v>35</v>
      </c>
      <c r="B2377" t="s">
        <v>1591</v>
      </c>
      <c r="C2377" t="s">
        <v>50</v>
      </c>
      <c r="D2377" t="s">
        <v>26</v>
      </c>
      <c r="E2377">
        <v>3955</v>
      </c>
      <c r="F2377">
        <v>137.66</v>
      </c>
      <c r="G2377">
        <v>149.44999999999999</v>
      </c>
      <c r="H2377">
        <v>137.66</v>
      </c>
      <c r="I2377">
        <v>2885</v>
      </c>
      <c r="J2377">
        <v>56</v>
      </c>
      <c r="K2377" s="17">
        <f t="shared" si="297"/>
        <v>5385.3333333333339</v>
      </c>
      <c r="L2377" t="str">
        <f t="shared" si="298"/>
        <v>High Risk</v>
      </c>
      <c r="P2377" s="19">
        <f t="shared" si="299"/>
        <v>1431</v>
      </c>
      <c r="R2377" s="19">
        <f t="shared" si="296"/>
        <v>196991.46</v>
      </c>
      <c r="T2377" s="19">
        <f t="shared" si="300"/>
        <v>431163.24999999994</v>
      </c>
      <c r="U2377" s="19">
        <f t="shared" si="301"/>
        <v>397149.1</v>
      </c>
      <c r="V2377" s="21">
        <f t="shared" si="302"/>
        <v>-34014.149999999965</v>
      </c>
      <c r="W2377" s="18">
        <f t="shared" si="303"/>
        <v>-7.8889260622281632E-2</v>
      </c>
    </row>
    <row r="2378" spans="1:23" x14ac:dyDescent="0.3">
      <c r="A2378" t="s">
        <v>400</v>
      </c>
      <c r="B2378" t="s">
        <v>2082</v>
      </c>
      <c r="C2378" t="s">
        <v>12</v>
      </c>
      <c r="D2378" t="s">
        <v>20</v>
      </c>
      <c r="E2378">
        <v>3958</v>
      </c>
      <c r="F2378">
        <v>14.06</v>
      </c>
      <c r="G2378">
        <v>12.68</v>
      </c>
      <c r="H2378">
        <v>14.06</v>
      </c>
      <c r="I2378">
        <v>3979</v>
      </c>
      <c r="J2378">
        <v>13</v>
      </c>
      <c r="K2378" s="17">
        <f t="shared" si="297"/>
        <v>1724.2333333333331</v>
      </c>
      <c r="L2378" t="str">
        <f t="shared" si="298"/>
        <v>Sufficuent Stock</v>
      </c>
      <c r="P2378" s="19">
        <f t="shared" si="299"/>
        <v>0</v>
      </c>
      <c r="R2378" s="19">
        <f t="shared" si="296"/>
        <v>0</v>
      </c>
      <c r="T2378" s="19">
        <f t="shared" si="300"/>
        <v>50453.72</v>
      </c>
      <c r="U2378" s="19">
        <f t="shared" si="301"/>
        <v>55944.740000000005</v>
      </c>
      <c r="V2378" s="21">
        <f t="shared" si="302"/>
        <v>5491.0200000000041</v>
      </c>
      <c r="W2378" s="18">
        <f t="shared" si="303"/>
        <v>0.10883280757097799</v>
      </c>
    </row>
    <row r="2379" spans="1:23" x14ac:dyDescent="0.3">
      <c r="A2379" t="s">
        <v>283</v>
      </c>
      <c r="B2379" t="s">
        <v>1140</v>
      </c>
      <c r="C2379" t="s">
        <v>50</v>
      </c>
      <c r="D2379" t="s">
        <v>26</v>
      </c>
      <c r="E2379">
        <v>3959</v>
      </c>
      <c r="F2379">
        <v>100.99</v>
      </c>
      <c r="G2379">
        <v>87.47</v>
      </c>
      <c r="H2379">
        <v>100.99</v>
      </c>
      <c r="I2379">
        <v>3865</v>
      </c>
      <c r="J2379">
        <v>71</v>
      </c>
      <c r="K2379" s="17">
        <f t="shared" si="297"/>
        <v>9147.1666666666679</v>
      </c>
      <c r="L2379" t="str">
        <f t="shared" si="298"/>
        <v>High Risk</v>
      </c>
      <c r="P2379" s="19">
        <f t="shared" si="299"/>
        <v>5189</v>
      </c>
      <c r="R2379" s="19">
        <f t="shared" si="296"/>
        <v>524037.11</v>
      </c>
      <c r="T2379" s="19">
        <f t="shared" si="300"/>
        <v>338071.55</v>
      </c>
      <c r="U2379" s="19">
        <f t="shared" si="301"/>
        <v>390326.35</v>
      </c>
      <c r="V2379" s="21">
        <f t="shared" si="302"/>
        <v>52254.799999999988</v>
      </c>
      <c r="W2379" s="18">
        <f t="shared" si="303"/>
        <v>0.15456728021035782</v>
      </c>
    </row>
    <row r="2380" spans="1:23" x14ac:dyDescent="0.3">
      <c r="A2380" t="s">
        <v>151</v>
      </c>
      <c r="B2380" t="s">
        <v>152</v>
      </c>
      <c r="C2380" t="s">
        <v>16</v>
      </c>
      <c r="D2380" t="s">
        <v>13</v>
      </c>
      <c r="E2380">
        <v>3961</v>
      </c>
      <c r="F2380">
        <v>210.66</v>
      </c>
      <c r="G2380">
        <v>195.22</v>
      </c>
      <c r="H2380">
        <v>210.66</v>
      </c>
      <c r="I2380">
        <v>2399</v>
      </c>
      <c r="J2380">
        <v>88</v>
      </c>
      <c r="K2380" s="17">
        <f t="shared" si="297"/>
        <v>7037.0666666666666</v>
      </c>
      <c r="L2380" t="str">
        <f t="shared" si="298"/>
        <v>High Risk</v>
      </c>
      <c r="P2380" s="19">
        <f t="shared" si="299"/>
        <v>3077</v>
      </c>
      <c r="R2380" s="19">
        <f t="shared" si="296"/>
        <v>648200.81999999995</v>
      </c>
      <c r="T2380" s="19">
        <f t="shared" si="300"/>
        <v>468332.77999999997</v>
      </c>
      <c r="U2380" s="19">
        <f t="shared" si="301"/>
        <v>505373.33999999997</v>
      </c>
      <c r="V2380" s="21">
        <f t="shared" si="302"/>
        <v>37040.559999999998</v>
      </c>
      <c r="W2380" s="18">
        <f t="shared" si="303"/>
        <v>7.9090257145784243E-2</v>
      </c>
    </row>
    <row r="2381" spans="1:23" x14ac:dyDescent="0.3">
      <c r="A2381" t="s">
        <v>404</v>
      </c>
      <c r="B2381" t="s">
        <v>405</v>
      </c>
      <c r="C2381" t="s">
        <v>37</v>
      </c>
      <c r="D2381" t="s">
        <v>69</v>
      </c>
      <c r="E2381">
        <v>3961</v>
      </c>
      <c r="F2381">
        <v>88.18</v>
      </c>
      <c r="G2381">
        <v>80.099999999999994</v>
      </c>
      <c r="H2381">
        <v>88.18</v>
      </c>
      <c r="I2381">
        <v>2129</v>
      </c>
      <c r="J2381">
        <v>26</v>
      </c>
      <c r="K2381" s="17">
        <f t="shared" si="297"/>
        <v>1845.1333333333334</v>
      </c>
      <c r="L2381" t="str">
        <f t="shared" si="298"/>
        <v>Sufficuent Stock</v>
      </c>
      <c r="P2381" s="19">
        <f t="shared" si="299"/>
        <v>0</v>
      </c>
      <c r="R2381" s="19">
        <f t="shared" si="296"/>
        <v>0</v>
      </c>
      <c r="T2381" s="19">
        <f t="shared" si="300"/>
        <v>170532.9</v>
      </c>
      <c r="U2381" s="19">
        <f t="shared" si="301"/>
        <v>187735.22</v>
      </c>
      <c r="V2381" s="21">
        <f t="shared" si="302"/>
        <v>17202.320000000007</v>
      </c>
      <c r="W2381" s="18">
        <f t="shared" si="303"/>
        <v>0.10087390761548069</v>
      </c>
    </row>
    <row r="2382" spans="1:23" x14ac:dyDescent="0.3">
      <c r="A2382" t="s">
        <v>686</v>
      </c>
      <c r="B2382" t="s">
        <v>1763</v>
      </c>
      <c r="C2382" t="s">
        <v>50</v>
      </c>
      <c r="D2382" t="s">
        <v>13</v>
      </c>
      <c r="E2382">
        <v>3962</v>
      </c>
      <c r="F2382">
        <v>76.02</v>
      </c>
      <c r="G2382">
        <v>69.87</v>
      </c>
      <c r="H2382">
        <v>76.02</v>
      </c>
      <c r="I2382">
        <v>1731</v>
      </c>
      <c r="J2382">
        <v>40</v>
      </c>
      <c r="K2382" s="17">
        <f t="shared" si="297"/>
        <v>2308</v>
      </c>
      <c r="L2382" t="str">
        <f t="shared" si="298"/>
        <v>Sufficuent Stock</v>
      </c>
      <c r="P2382" s="19">
        <f t="shared" si="299"/>
        <v>0</v>
      </c>
      <c r="R2382" s="19">
        <f t="shared" si="296"/>
        <v>0</v>
      </c>
      <c r="T2382" s="19">
        <f t="shared" si="300"/>
        <v>120944.97</v>
      </c>
      <c r="U2382" s="19">
        <f t="shared" si="301"/>
        <v>131590.62</v>
      </c>
      <c r="V2382" s="21">
        <f t="shared" si="302"/>
        <v>10645.649999999994</v>
      </c>
      <c r="W2382" s="18">
        <f t="shared" si="303"/>
        <v>8.8020609703735458E-2</v>
      </c>
    </row>
    <row r="2383" spans="1:23" x14ac:dyDescent="0.3">
      <c r="A2383" t="s">
        <v>451</v>
      </c>
      <c r="B2383" t="s">
        <v>808</v>
      </c>
      <c r="C2383" t="s">
        <v>12</v>
      </c>
      <c r="D2383" t="s">
        <v>13</v>
      </c>
      <c r="E2383">
        <v>3969</v>
      </c>
      <c r="F2383">
        <v>77.400000000000006</v>
      </c>
      <c r="G2383">
        <v>76</v>
      </c>
      <c r="H2383">
        <v>77.400000000000006</v>
      </c>
      <c r="I2383">
        <v>3004</v>
      </c>
      <c r="J2383">
        <v>54</v>
      </c>
      <c r="K2383" s="17">
        <f t="shared" si="297"/>
        <v>5407.2000000000007</v>
      </c>
      <c r="L2383" t="str">
        <f t="shared" si="298"/>
        <v>High Risk</v>
      </c>
      <c r="P2383" s="19">
        <f t="shared" si="299"/>
        <v>1439</v>
      </c>
      <c r="R2383" s="19">
        <f t="shared" si="296"/>
        <v>111378.6</v>
      </c>
      <c r="T2383" s="19">
        <f t="shared" si="300"/>
        <v>228304</v>
      </c>
      <c r="U2383" s="19">
        <f t="shared" si="301"/>
        <v>232509.6</v>
      </c>
      <c r="V2383" s="21">
        <f t="shared" si="302"/>
        <v>4205.6000000000058</v>
      </c>
      <c r="W2383" s="18">
        <f t="shared" si="303"/>
        <v>1.8421052631578973E-2</v>
      </c>
    </row>
    <row r="2384" spans="1:23" x14ac:dyDescent="0.3">
      <c r="A2384" t="s">
        <v>712</v>
      </c>
      <c r="B2384" t="s">
        <v>1739</v>
      </c>
      <c r="C2384" t="s">
        <v>12</v>
      </c>
      <c r="D2384" t="s">
        <v>20</v>
      </c>
      <c r="E2384">
        <v>3971</v>
      </c>
      <c r="F2384">
        <v>357.34</v>
      </c>
      <c r="G2384">
        <v>337.72</v>
      </c>
      <c r="H2384">
        <v>357.34</v>
      </c>
      <c r="I2384">
        <v>2758</v>
      </c>
      <c r="J2384">
        <v>13</v>
      </c>
      <c r="K2384" s="17">
        <f t="shared" si="297"/>
        <v>1195.1333333333334</v>
      </c>
      <c r="L2384" t="str">
        <f t="shared" si="298"/>
        <v>Sufficuent Stock</v>
      </c>
      <c r="P2384" s="19">
        <f t="shared" si="299"/>
        <v>0</v>
      </c>
      <c r="R2384" s="19">
        <f t="shared" si="296"/>
        <v>0</v>
      </c>
      <c r="T2384" s="19">
        <f t="shared" si="300"/>
        <v>931431.76000000013</v>
      </c>
      <c r="U2384" s="19">
        <f t="shared" si="301"/>
        <v>985543.72</v>
      </c>
      <c r="V2384" s="21">
        <f t="shared" si="302"/>
        <v>54111.959999999846</v>
      </c>
      <c r="W2384" s="18">
        <f t="shared" si="303"/>
        <v>5.8095463697737597E-2</v>
      </c>
    </row>
    <row r="2385" spans="1:23" x14ac:dyDescent="0.3">
      <c r="A2385" t="s">
        <v>474</v>
      </c>
      <c r="B2385" t="s">
        <v>2075</v>
      </c>
      <c r="C2385" t="s">
        <v>37</v>
      </c>
      <c r="D2385" t="s">
        <v>17</v>
      </c>
      <c r="E2385">
        <v>3973</v>
      </c>
      <c r="F2385">
        <v>31.55</v>
      </c>
      <c r="G2385">
        <v>32.880000000000003</v>
      </c>
      <c r="H2385">
        <v>31.55</v>
      </c>
      <c r="I2385">
        <v>3159</v>
      </c>
      <c r="J2385">
        <v>75</v>
      </c>
      <c r="K2385" s="17">
        <f t="shared" si="297"/>
        <v>7897.5</v>
      </c>
      <c r="L2385" t="str">
        <f t="shared" si="298"/>
        <v>High Risk</v>
      </c>
      <c r="P2385" s="19">
        <f t="shared" si="299"/>
        <v>3925</v>
      </c>
      <c r="R2385" s="19">
        <f t="shared" si="296"/>
        <v>123833.75</v>
      </c>
      <c r="T2385" s="19">
        <f t="shared" si="300"/>
        <v>103867.92000000001</v>
      </c>
      <c r="U2385" s="19">
        <f t="shared" si="301"/>
        <v>99666.45</v>
      </c>
      <c r="V2385" s="21">
        <f t="shared" si="302"/>
        <v>-4201.4700000000157</v>
      </c>
      <c r="W2385" s="18">
        <f t="shared" si="303"/>
        <v>-4.0450121654501361E-2</v>
      </c>
    </row>
    <row r="2386" spans="1:23" x14ac:dyDescent="0.3">
      <c r="A2386" t="s">
        <v>288</v>
      </c>
      <c r="B2386" t="s">
        <v>2921</v>
      </c>
      <c r="C2386" t="s">
        <v>37</v>
      </c>
      <c r="D2386" t="s">
        <v>20</v>
      </c>
      <c r="E2386">
        <v>3974</v>
      </c>
      <c r="F2386">
        <v>421.84</v>
      </c>
      <c r="G2386">
        <v>416.64</v>
      </c>
      <c r="H2386">
        <v>421.84</v>
      </c>
      <c r="I2386">
        <v>3025</v>
      </c>
      <c r="J2386">
        <v>12</v>
      </c>
      <c r="K2386" s="17">
        <f t="shared" si="297"/>
        <v>1210</v>
      </c>
      <c r="L2386" t="str">
        <f t="shared" si="298"/>
        <v>Sufficuent Stock</v>
      </c>
      <c r="P2386" s="19">
        <f t="shared" si="299"/>
        <v>0</v>
      </c>
      <c r="R2386" s="19">
        <f t="shared" si="296"/>
        <v>0</v>
      </c>
      <c r="T2386" s="19">
        <f t="shared" si="300"/>
        <v>1260336</v>
      </c>
      <c r="U2386" s="19">
        <f t="shared" si="301"/>
        <v>1276066</v>
      </c>
      <c r="V2386" s="21">
        <f t="shared" si="302"/>
        <v>15730</v>
      </c>
      <c r="W2386" s="18">
        <f t="shared" si="303"/>
        <v>1.2480798771121352E-2</v>
      </c>
    </row>
    <row r="2387" spans="1:23" x14ac:dyDescent="0.3">
      <c r="A2387" t="s">
        <v>879</v>
      </c>
      <c r="B2387" t="s">
        <v>3247</v>
      </c>
      <c r="C2387" t="s">
        <v>50</v>
      </c>
      <c r="D2387" t="s">
        <v>13</v>
      </c>
      <c r="E2387">
        <v>3974</v>
      </c>
      <c r="F2387">
        <v>269.08</v>
      </c>
      <c r="G2387">
        <v>229.68</v>
      </c>
      <c r="H2387">
        <v>269.08</v>
      </c>
      <c r="I2387">
        <v>3777</v>
      </c>
      <c r="J2387">
        <v>19</v>
      </c>
      <c r="K2387" s="17">
        <f t="shared" si="297"/>
        <v>2392.1</v>
      </c>
      <c r="L2387" t="str">
        <f t="shared" si="298"/>
        <v>Sufficuent Stock</v>
      </c>
      <c r="P2387" s="19">
        <f t="shared" si="299"/>
        <v>0</v>
      </c>
      <c r="R2387" s="19">
        <f t="shared" si="296"/>
        <v>0</v>
      </c>
      <c r="T2387" s="19">
        <f t="shared" si="300"/>
        <v>867501.36</v>
      </c>
      <c r="U2387" s="19">
        <f t="shared" si="301"/>
        <v>1016315.1599999999</v>
      </c>
      <c r="V2387" s="21">
        <f t="shared" si="302"/>
        <v>148813.79999999993</v>
      </c>
      <c r="W2387" s="18">
        <f t="shared" si="303"/>
        <v>0.17154301637060251</v>
      </c>
    </row>
    <row r="2388" spans="1:23" x14ac:dyDescent="0.3">
      <c r="A2388" t="s">
        <v>10</v>
      </c>
      <c r="B2388" t="s">
        <v>3382</v>
      </c>
      <c r="C2388" t="s">
        <v>16</v>
      </c>
      <c r="D2388" t="s">
        <v>13</v>
      </c>
      <c r="E2388">
        <v>3975</v>
      </c>
      <c r="F2388">
        <v>418.45</v>
      </c>
      <c r="G2388">
        <v>415.09</v>
      </c>
      <c r="H2388">
        <v>418.45</v>
      </c>
      <c r="I2388">
        <v>1092</v>
      </c>
      <c r="J2388">
        <v>11</v>
      </c>
      <c r="K2388" s="17">
        <f t="shared" si="297"/>
        <v>400.4</v>
      </c>
      <c r="L2388" t="str">
        <f t="shared" si="298"/>
        <v>Sufficuent Stock</v>
      </c>
      <c r="P2388" s="19">
        <f t="shared" si="299"/>
        <v>0</v>
      </c>
      <c r="R2388" s="19">
        <f t="shared" si="296"/>
        <v>0</v>
      </c>
      <c r="T2388" s="19">
        <f t="shared" si="300"/>
        <v>453278.27999999997</v>
      </c>
      <c r="U2388" s="19">
        <f t="shared" si="301"/>
        <v>456947.39999999997</v>
      </c>
      <c r="V2388" s="21">
        <f t="shared" si="302"/>
        <v>3669.1199999999953</v>
      </c>
      <c r="W2388" s="18">
        <f t="shared" si="303"/>
        <v>8.0946300802235555E-3</v>
      </c>
    </row>
    <row r="2389" spans="1:23" x14ac:dyDescent="0.3">
      <c r="A2389" t="s">
        <v>581</v>
      </c>
      <c r="B2389" t="s">
        <v>2394</v>
      </c>
      <c r="C2389" t="s">
        <v>37</v>
      </c>
      <c r="D2389" t="s">
        <v>20</v>
      </c>
      <c r="E2389">
        <v>3975</v>
      </c>
      <c r="F2389">
        <v>237.4</v>
      </c>
      <c r="G2389">
        <v>219.61</v>
      </c>
      <c r="H2389">
        <v>237.4</v>
      </c>
      <c r="I2389">
        <v>464</v>
      </c>
      <c r="J2389">
        <v>87</v>
      </c>
      <c r="K2389" s="17">
        <f t="shared" si="297"/>
        <v>1345.6</v>
      </c>
      <c r="L2389" t="str">
        <f t="shared" si="298"/>
        <v>Sufficuent Stock</v>
      </c>
      <c r="P2389" s="19">
        <f t="shared" si="299"/>
        <v>0</v>
      </c>
      <c r="R2389" s="19">
        <f t="shared" si="296"/>
        <v>0</v>
      </c>
      <c r="T2389" s="19">
        <f t="shared" si="300"/>
        <v>101899.04000000001</v>
      </c>
      <c r="U2389" s="19">
        <f t="shared" si="301"/>
        <v>110153.60000000001</v>
      </c>
      <c r="V2389" s="21">
        <f t="shared" si="302"/>
        <v>8254.5599999999977</v>
      </c>
      <c r="W2389" s="18">
        <f t="shared" si="303"/>
        <v>8.1007240107463199E-2</v>
      </c>
    </row>
    <row r="2390" spans="1:23" x14ac:dyDescent="0.3">
      <c r="A2390" t="s">
        <v>411</v>
      </c>
      <c r="B2390" t="s">
        <v>2364</v>
      </c>
      <c r="C2390" t="s">
        <v>50</v>
      </c>
      <c r="D2390" t="s">
        <v>20</v>
      </c>
      <c r="E2390">
        <v>3976</v>
      </c>
      <c r="F2390">
        <v>54.26</v>
      </c>
      <c r="G2390">
        <v>47.27</v>
      </c>
      <c r="H2390">
        <v>54.26</v>
      </c>
      <c r="I2390">
        <v>1492</v>
      </c>
      <c r="J2390">
        <v>18</v>
      </c>
      <c r="K2390" s="17">
        <f t="shared" si="297"/>
        <v>895.2</v>
      </c>
      <c r="L2390" t="str">
        <f t="shared" si="298"/>
        <v>Sufficuent Stock</v>
      </c>
      <c r="P2390" s="19">
        <f t="shared" si="299"/>
        <v>0</v>
      </c>
      <c r="R2390" s="19">
        <f t="shared" si="296"/>
        <v>0</v>
      </c>
      <c r="T2390" s="19">
        <f t="shared" si="300"/>
        <v>70526.840000000011</v>
      </c>
      <c r="U2390" s="19">
        <f t="shared" si="301"/>
        <v>80955.92</v>
      </c>
      <c r="V2390" s="21">
        <f t="shared" si="302"/>
        <v>10429.079999999987</v>
      </c>
      <c r="W2390" s="18">
        <f t="shared" si="303"/>
        <v>0.14787391580283457</v>
      </c>
    </row>
    <row r="2391" spans="1:23" x14ac:dyDescent="0.3">
      <c r="A2391" t="s">
        <v>117</v>
      </c>
      <c r="B2391" t="s">
        <v>1540</v>
      </c>
      <c r="C2391" t="s">
        <v>50</v>
      </c>
      <c r="D2391" t="s">
        <v>26</v>
      </c>
      <c r="E2391">
        <v>3978</v>
      </c>
      <c r="F2391">
        <v>129.58000000000001</v>
      </c>
      <c r="G2391">
        <v>120.01</v>
      </c>
      <c r="H2391">
        <v>129.58000000000001</v>
      </c>
      <c r="I2391">
        <v>2704</v>
      </c>
      <c r="J2391">
        <v>23</v>
      </c>
      <c r="K2391" s="17">
        <f t="shared" si="297"/>
        <v>2073.0666666666666</v>
      </c>
      <c r="L2391" t="str">
        <f t="shared" si="298"/>
        <v>Sufficuent Stock</v>
      </c>
      <c r="P2391" s="19">
        <f t="shared" si="299"/>
        <v>0</v>
      </c>
      <c r="R2391" s="19">
        <f t="shared" si="296"/>
        <v>0</v>
      </c>
      <c r="T2391" s="19">
        <f t="shared" si="300"/>
        <v>324507.04000000004</v>
      </c>
      <c r="U2391" s="19">
        <f t="shared" si="301"/>
        <v>350384.32</v>
      </c>
      <c r="V2391" s="21">
        <f t="shared" si="302"/>
        <v>25877.27999999997</v>
      </c>
      <c r="W2391" s="18">
        <f t="shared" si="303"/>
        <v>7.9743354720439863E-2</v>
      </c>
    </row>
    <row r="2392" spans="1:23" x14ac:dyDescent="0.3">
      <c r="A2392" t="s">
        <v>360</v>
      </c>
      <c r="B2392" t="s">
        <v>1324</v>
      </c>
      <c r="C2392" t="s">
        <v>37</v>
      </c>
      <c r="D2392" t="s">
        <v>13</v>
      </c>
      <c r="E2392">
        <v>3979</v>
      </c>
      <c r="F2392">
        <v>422.66</v>
      </c>
      <c r="G2392">
        <v>383.77</v>
      </c>
      <c r="H2392">
        <v>422.66</v>
      </c>
      <c r="I2392">
        <v>426</v>
      </c>
      <c r="J2392">
        <v>86</v>
      </c>
      <c r="K2392" s="17">
        <f t="shared" si="297"/>
        <v>1221.2</v>
      </c>
      <c r="L2392" t="str">
        <f t="shared" si="298"/>
        <v>Sufficuent Stock</v>
      </c>
      <c r="P2392" s="19">
        <f t="shared" si="299"/>
        <v>0</v>
      </c>
      <c r="R2392" s="19">
        <f t="shared" si="296"/>
        <v>0</v>
      </c>
      <c r="T2392" s="19">
        <f t="shared" si="300"/>
        <v>163486.01999999999</v>
      </c>
      <c r="U2392" s="19">
        <f t="shared" si="301"/>
        <v>180053.16</v>
      </c>
      <c r="V2392" s="21">
        <f t="shared" si="302"/>
        <v>16567.140000000014</v>
      </c>
      <c r="W2392" s="18">
        <f t="shared" si="303"/>
        <v>0.1013367381504548</v>
      </c>
    </row>
    <row r="2393" spans="1:23" x14ac:dyDescent="0.3">
      <c r="A2393" t="s">
        <v>820</v>
      </c>
      <c r="B2393" t="s">
        <v>821</v>
      </c>
      <c r="C2393" t="s">
        <v>37</v>
      </c>
      <c r="D2393" t="s">
        <v>13</v>
      </c>
      <c r="E2393">
        <v>3980</v>
      </c>
      <c r="F2393">
        <v>542.97</v>
      </c>
      <c r="G2393">
        <v>489.75</v>
      </c>
      <c r="H2393">
        <v>542.97</v>
      </c>
      <c r="I2393">
        <v>1402</v>
      </c>
      <c r="J2393">
        <v>25</v>
      </c>
      <c r="K2393" s="17">
        <f t="shared" si="297"/>
        <v>1168.3333333333333</v>
      </c>
      <c r="L2393" t="str">
        <f t="shared" si="298"/>
        <v>Sufficuent Stock</v>
      </c>
      <c r="P2393" s="19">
        <f t="shared" si="299"/>
        <v>0</v>
      </c>
      <c r="R2393" s="19">
        <f t="shared" si="296"/>
        <v>0</v>
      </c>
      <c r="T2393" s="19">
        <f t="shared" si="300"/>
        <v>686629.5</v>
      </c>
      <c r="U2393" s="19">
        <f t="shared" si="301"/>
        <v>761243.94000000006</v>
      </c>
      <c r="V2393" s="21">
        <f t="shared" si="302"/>
        <v>74614.440000000061</v>
      </c>
      <c r="W2393" s="18">
        <f t="shared" si="303"/>
        <v>0.10866768759571219</v>
      </c>
    </row>
    <row r="2394" spans="1:23" x14ac:dyDescent="0.3">
      <c r="A2394" t="s">
        <v>472</v>
      </c>
      <c r="B2394" t="s">
        <v>1804</v>
      </c>
      <c r="C2394" t="s">
        <v>23</v>
      </c>
      <c r="D2394" t="s">
        <v>26</v>
      </c>
      <c r="E2394">
        <v>3981</v>
      </c>
      <c r="F2394">
        <v>103.72</v>
      </c>
      <c r="G2394">
        <v>89.74</v>
      </c>
      <c r="H2394">
        <v>103.72</v>
      </c>
      <c r="I2394">
        <v>364</v>
      </c>
      <c r="J2394">
        <v>29</v>
      </c>
      <c r="K2394" s="17">
        <f t="shared" si="297"/>
        <v>351.86666666666667</v>
      </c>
      <c r="L2394" t="str">
        <f t="shared" si="298"/>
        <v>Sufficuent Stock</v>
      </c>
      <c r="P2394" s="19">
        <f t="shared" si="299"/>
        <v>0</v>
      </c>
      <c r="R2394" s="19">
        <f t="shared" si="296"/>
        <v>0</v>
      </c>
      <c r="T2394" s="19">
        <f t="shared" si="300"/>
        <v>32665.359999999997</v>
      </c>
      <c r="U2394" s="19">
        <f t="shared" si="301"/>
        <v>37754.080000000002</v>
      </c>
      <c r="V2394" s="21">
        <f t="shared" si="302"/>
        <v>5088.7200000000048</v>
      </c>
      <c r="W2394" s="18">
        <f t="shared" si="303"/>
        <v>0.15578337419211069</v>
      </c>
    </row>
    <row r="2395" spans="1:23" x14ac:dyDescent="0.3">
      <c r="A2395" t="s">
        <v>249</v>
      </c>
      <c r="B2395" t="s">
        <v>250</v>
      </c>
      <c r="C2395" t="s">
        <v>23</v>
      </c>
      <c r="D2395" t="s">
        <v>13</v>
      </c>
      <c r="E2395">
        <v>3983</v>
      </c>
      <c r="F2395">
        <v>207.01</v>
      </c>
      <c r="G2395">
        <v>183.45</v>
      </c>
      <c r="H2395">
        <v>207.01</v>
      </c>
      <c r="I2395">
        <v>1850</v>
      </c>
      <c r="J2395">
        <v>81</v>
      </c>
      <c r="K2395" s="17">
        <f t="shared" si="297"/>
        <v>4995</v>
      </c>
      <c r="L2395" t="str">
        <f t="shared" si="298"/>
        <v>High Risk</v>
      </c>
      <c r="P2395" s="19">
        <f t="shared" si="299"/>
        <v>1012</v>
      </c>
      <c r="R2395" s="19">
        <f t="shared" si="296"/>
        <v>209494.12</v>
      </c>
      <c r="T2395" s="19">
        <f t="shared" si="300"/>
        <v>339382.5</v>
      </c>
      <c r="U2395" s="19">
        <f t="shared" si="301"/>
        <v>382968.5</v>
      </c>
      <c r="V2395" s="21">
        <f t="shared" si="302"/>
        <v>43586</v>
      </c>
      <c r="W2395" s="18">
        <f t="shared" si="303"/>
        <v>0.12842736440446989</v>
      </c>
    </row>
    <row r="2396" spans="1:23" x14ac:dyDescent="0.3">
      <c r="A2396" t="s">
        <v>262</v>
      </c>
      <c r="B2396" t="s">
        <v>649</v>
      </c>
      <c r="C2396" t="s">
        <v>23</v>
      </c>
      <c r="D2396" t="s">
        <v>69</v>
      </c>
      <c r="E2396">
        <v>3983</v>
      </c>
      <c r="F2396">
        <v>460.37</v>
      </c>
      <c r="G2396">
        <v>439.28</v>
      </c>
      <c r="H2396">
        <v>460.37</v>
      </c>
      <c r="I2396">
        <v>3146</v>
      </c>
      <c r="J2396">
        <v>56</v>
      </c>
      <c r="K2396" s="17">
        <f t="shared" si="297"/>
        <v>5872.5333333333328</v>
      </c>
      <c r="L2396" t="str">
        <f t="shared" si="298"/>
        <v>High Risk</v>
      </c>
      <c r="P2396" s="19">
        <f t="shared" si="299"/>
        <v>1890</v>
      </c>
      <c r="R2396" s="19">
        <f t="shared" si="296"/>
        <v>870099.3</v>
      </c>
      <c r="T2396" s="19">
        <f t="shared" si="300"/>
        <v>1381974.88</v>
      </c>
      <c r="U2396" s="19">
        <f t="shared" si="301"/>
        <v>1448324.02</v>
      </c>
      <c r="V2396" s="21">
        <f t="shared" si="302"/>
        <v>66349.14000000013</v>
      </c>
      <c r="W2396" s="18">
        <f t="shared" si="303"/>
        <v>4.8010380622837467E-2</v>
      </c>
    </row>
    <row r="2397" spans="1:23" x14ac:dyDescent="0.3">
      <c r="A2397" t="s">
        <v>67</v>
      </c>
      <c r="B2397" t="s">
        <v>2138</v>
      </c>
      <c r="C2397" t="s">
        <v>16</v>
      </c>
      <c r="D2397" t="s">
        <v>17</v>
      </c>
      <c r="E2397">
        <v>3983</v>
      </c>
      <c r="F2397">
        <v>136.34</v>
      </c>
      <c r="G2397">
        <v>137.26</v>
      </c>
      <c r="H2397">
        <v>136.34</v>
      </c>
      <c r="I2397">
        <v>1518</v>
      </c>
      <c r="J2397">
        <v>62</v>
      </c>
      <c r="K2397" s="17">
        <f t="shared" si="297"/>
        <v>3137.2000000000003</v>
      </c>
      <c r="L2397" t="str">
        <f t="shared" si="298"/>
        <v>Sufficuent Stock</v>
      </c>
      <c r="P2397" s="19">
        <f t="shared" si="299"/>
        <v>0</v>
      </c>
      <c r="R2397" s="19">
        <f t="shared" si="296"/>
        <v>0</v>
      </c>
      <c r="T2397" s="19">
        <f t="shared" si="300"/>
        <v>208360.68</v>
      </c>
      <c r="U2397" s="19">
        <f t="shared" si="301"/>
        <v>206964.12</v>
      </c>
      <c r="V2397" s="21">
        <f t="shared" si="302"/>
        <v>-1396.5599999999977</v>
      </c>
      <c r="W2397" s="18">
        <f t="shared" si="303"/>
        <v>-6.7026081888386891E-3</v>
      </c>
    </row>
    <row r="2398" spans="1:23" x14ac:dyDescent="0.3">
      <c r="A2398" t="s">
        <v>915</v>
      </c>
      <c r="B2398" t="s">
        <v>2308</v>
      </c>
      <c r="C2398" t="s">
        <v>23</v>
      </c>
      <c r="D2398" t="s">
        <v>13</v>
      </c>
      <c r="E2398">
        <v>3983</v>
      </c>
      <c r="F2398">
        <v>557.63</v>
      </c>
      <c r="G2398">
        <v>482.41</v>
      </c>
      <c r="H2398">
        <v>557.63</v>
      </c>
      <c r="I2398">
        <v>695</v>
      </c>
      <c r="J2398">
        <v>32</v>
      </c>
      <c r="K2398" s="17">
        <f t="shared" si="297"/>
        <v>741.33333333333337</v>
      </c>
      <c r="L2398" t="str">
        <f t="shared" si="298"/>
        <v>Sufficuent Stock</v>
      </c>
      <c r="P2398" s="19">
        <f t="shared" si="299"/>
        <v>0</v>
      </c>
      <c r="R2398" s="19">
        <f t="shared" si="296"/>
        <v>0</v>
      </c>
      <c r="T2398" s="19">
        <f t="shared" si="300"/>
        <v>335274.95</v>
      </c>
      <c r="U2398" s="19">
        <f t="shared" si="301"/>
        <v>387552.85</v>
      </c>
      <c r="V2398" s="21">
        <f t="shared" si="302"/>
        <v>52277.899999999965</v>
      </c>
      <c r="W2398" s="18">
        <f t="shared" si="303"/>
        <v>0.15592545759830839</v>
      </c>
    </row>
    <row r="2399" spans="1:23" x14ac:dyDescent="0.3">
      <c r="A2399" t="s">
        <v>686</v>
      </c>
      <c r="B2399" t="s">
        <v>1009</v>
      </c>
      <c r="C2399" t="s">
        <v>50</v>
      </c>
      <c r="D2399" t="s">
        <v>20</v>
      </c>
      <c r="E2399">
        <v>3985</v>
      </c>
      <c r="F2399">
        <v>257.2</v>
      </c>
      <c r="G2399">
        <v>267.32</v>
      </c>
      <c r="H2399">
        <v>257.2</v>
      </c>
      <c r="I2399">
        <v>511</v>
      </c>
      <c r="J2399">
        <v>12</v>
      </c>
      <c r="K2399" s="17">
        <f t="shared" si="297"/>
        <v>204.40000000000003</v>
      </c>
      <c r="L2399" t="str">
        <f t="shared" si="298"/>
        <v>Sufficuent Stock</v>
      </c>
      <c r="P2399" s="19">
        <f t="shared" si="299"/>
        <v>0</v>
      </c>
      <c r="R2399" s="19">
        <f t="shared" si="296"/>
        <v>0</v>
      </c>
      <c r="T2399" s="19">
        <f t="shared" si="300"/>
        <v>136600.51999999999</v>
      </c>
      <c r="U2399" s="19">
        <f t="shared" si="301"/>
        <v>131429.19999999998</v>
      </c>
      <c r="V2399" s="21">
        <f t="shared" si="302"/>
        <v>-5171.320000000007</v>
      </c>
      <c r="W2399" s="18">
        <f t="shared" si="303"/>
        <v>-3.7857249738141606E-2</v>
      </c>
    </row>
    <row r="2400" spans="1:23" x14ac:dyDescent="0.3">
      <c r="A2400" t="s">
        <v>1353</v>
      </c>
      <c r="B2400" t="s">
        <v>1354</v>
      </c>
      <c r="C2400" t="s">
        <v>16</v>
      </c>
      <c r="D2400" t="s">
        <v>20</v>
      </c>
      <c r="E2400">
        <v>3990</v>
      </c>
      <c r="F2400">
        <v>566.17999999999995</v>
      </c>
      <c r="G2400">
        <v>489.14</v>
      </c>
      <c r="H2400">
        <v>566.17999999999995</v>
      </c>
      <c r="I2400">
        <v>1564</v>
      </c>
      <c r="J2400">
        <v>41</v>
      </c>
      <c r="K2400" s="17">
        <f t="shared" si="297"/>
        <v>2137.4666666666667</v>
      </c>
      <c r="L2400" t="str">
        <f t="shared" si="298"/>
        <v>Sufficuent Stock</v>
      </c>
      <c r="P2400" s="19">
        <f t="shared" si="299"/>
        <v>0</v>
      </c>
      <c r="R2400" s="19">
        <f t="shared" si="296"/>
        <v>0</v>
      </c>
      <c r="T2400" s="19">
        <f t="shared" si="300"/>
        <v>765014.96</v>
      </c>
      <c r="U2400" s="19">
        <f t="shared" si="301"/>
        <v>885505.5199999999</v>
      </c>
      <c r="V2400" s="21">
        <f t="shared" si="302"/>
        <v>120490.55999999994</v>
      </c>
      <c r="W2400" s="18">
        <f t="shared" si="303"/>
        <v>0.15750091998200916</v>
      </c>
    </row>
    <row r="2401" spans="1:23" x14ac:dyDescent="0.3">
      <c r="A2401" t="s">
        <v>1379</v>
      </c>
      <c r="B2401" t="s">
        <v>1911</v>
      </c>
      <c r="C2401" t="s">
        <v>12</v>
      </c>
      <c r="D2401" t="s">
        <v>13</v>
      </c>
      <c r="E2401">
        <v>3991</v>
      </c>
      <c r="F2401">
        <v>359.38</v>
      </c>
      <c r="G2401">
        <v>342.68</v>
      </c>
      <c r="H2401">
        <v>359.38</v>
      </c>
      <c r="I2401">
        <v>414</v>
      </c>
      <c r="J2401">
        <v>74</v>
      </c>
      <c r="K2401" s="17">
        <f t="shared" si="297"/>
        <v>1021.2</v>
      </c>
      <c r="L2401" t="str">
        <f t="shared" si="298"/>
        <v>Sufficuent Stock</v>
      </c>
      <c r="P2401" s="19">
        <f t="shared" si="299"/>
        <v>0</v>
      </c>
      <c r="R2401" s="19">
        <f t="shared" si="296"/>
        <v>0</v>
      </c>
      <c r="T2401" s="19">
        <f t="shared" si="300"/>
        <v>141869.51999999999</v>
      </c>
      <c r="U2401" s="19">
        <f t="shared" si="301"/>
        <v>148783.32</v>
      </c>
      <c r="V2401" s="21">
        <f t="shared" si="302"/>
        <v>6913.8000000000175</v>
      </c>
      <c r="W2401" s="18">
        <f t="shared" si="303"/>
        <v>4.8733512314696054E-2</v>
      </c>
    </row>
    <row r="2402" spans="1:23" x14ac:dyDescent="0.3">
      <c r="A2402" t="s">
        <v>446</v>
      </c>
      <c r="B2402" t="s">
        <v>580</v>
      </c>
      <c r="C2402" t="s">
        <v>16</v>
      </c>
      <c r="D2402" t="s">
        <v>69</v>
      </c>
      <c r="E2402">
        <v>3992</v>
      </c>
      <c r="F2402">
        <v>267.45</v>
      </c>
      <c r="G2402">
        <v>276.39</v>
      </c>
      <c r="H2402">
        <v>267.45</v>
      </c>
      <c r="I2402">
        <v>1714</v>
      </c>
      <c r="J2402">
        <v>75</v>
      </c>
      <c r="K2402" s="17">
        <f t="shared" si="297"/>
        <v>4285</v>
      </c>
      <c r="L2402" t="str">
        <f t="shared" si="298"/>
        <v>High Risk</v>
      </c>
      <c r="P2402" s="19">
        <f t="shared" si="299"/>
        <v>293</v>
      </c>
      <c r="R2402" s="19">
        <f t="shared" si="296"/>
        <v>78362.849999999991</v>
      </c>
      <c r="T2402" s="19">
        <f t="shared" si="300"/>
        <v>473732.45999999996</v>
      </c>
      <c r="U2402" s="19">
        <f t="shared" si="301"/>
        <v>458409.3</v>
      </c>
      <c r="V2402" s="21">
        <f t="shared" si="302"/>
        <v>-15323.159999999974</v>
      </c>
      <c r="W2402" s="18">
        <f t="shared" si="303"/>
        <v>-3.2345598610658798E-2</v>
      </c>
    </row>
    <row r="2403" spans="1:23" x14ac:dyDescent="0.3">
      <c r="A2403" t="s">
        <v>427</v>
      </c>
      <c r="B2403" t="s">
        <v>2329</v>
      </c>
      <c r="C2403" t="s">
        <v>23</v>
      </c>
      <c r="D2403" t="s">
        <v>20</v>
      </c>
      <c r="E2403">
        <v>3993</v>
      </c>
      <c r="F2403">
        <v>260.52999999999997</v>
      </c>
      <c r="G2403">
        <v>266.23</v>
      </c>
      <c r="H2403">
        <v>260.52999999999997</v>
      </c>
      <c r="I2403">
        <v>2979</v>
      </c>
      <c r="J2403">
        <v>86</v>
      </c>
      <c r="K2403" s="17">
        <f t="shared" si="297"/>
        <v>8539.7999999999993</v>
      </c>
      <c r="L2403" t="str">
        <f t="shared" si="298"/>
        <v>High Risk</v>
      </c>
      <c r="P2403" s="19">
        <f t="shared" si="299"/>
        <v>4547</v>
      </c>
      <c r="R2403" s="19">
        <f t="shared" si="296"/>
        <v>1184629.9099999999</v>
      </c>
      <c r="T2403" s="19">
        <f t="shared" si="300"/>
        <v>793099.17</v>
      </c>
      <c r="U2403" s="19">
        <f t="shared" si="301"/>
        <v>776118.86999999988</v>
      </c>
      <c r="V2403" s="21">
        <f t="shared" si="302"/>
        <v>-16980.300000000163</v>
      </c>
      <c r="W2403" s="18">
        <f t="shared" si="303"/>
        <v>-2.1410058971566143E-2</v>
      </c>
    </row>
    <row r="2404" spans="1:23" x14ac:dyDescent="0.3">
      <c r="A2404" t="s">
        <v>280</v>
      </c>
      <c r="B2404" t="s">
        <v>2164</v>
      </c>
      <c r="C2404" t="s">
        <v>12</v>
      </c>
      <c r="D2404" t="s">
        <v>13</v>
      </c>
      <c r="E2404">
        <v>3993</v>
      </c>
      <c r="F2404">
        <v>13.52</v>
      </c>
      <c r="G2404">
        <v>13.43</v>
      </c>
      <c r="H2404">
        <v>13.52</v>
      </c>
      <c r="I2404">
        <v>2139</v>
      </c>
      <c r="J2404">
        <v>81</v>
      </c>
      <c r="K2404" s="17">
        <f t="shared" si="297"/>
        <v>5775.3</v>
      </c>
      <c r="L2404" t="str">
        <f t="shared" si="298"/>
        <v>High Risk</v>
      </c>
      <c r="P2404" s="19">
        <f t="shared" si="299"/>
        <v>1783</v>
      </c>
      <c r="R2404" s="19">
        <f t="shared" si="296"/>
        <v>24106.16</v>
      </c>
      <c r="T2404" s="19">
        <f t="shared" si="300"/>
        <v>28726.77</v>
      </c>
      <c r="U2404" s="19">
        <f t="shared" si="301"/>
        <v>28919.279999999999</v>
      </c>
      <c r="V2404" s="21">
        <f t="shared" si="302"/>
        <v>192.5099999999984</v>
      </c>
      <c r="W2404" s="18">
        <f t="shared" si="303"/>
        <v>6.7014147431123791E-3</v>
      </c>
    </row>
    <row r="2405" spans="1:23" x14ac:dyDescent="0.3">
      <c r="A2405" t="s">
        <v>286</v>
      </c>
      <c r="B2405" t="s">
        <v>2283</v>
      </c>
      <c r="C2405" t="s">
        <v>16</v>
      </c>
      <c r="D2405" t="s">
        <v>17</v>
      </c>
      <c r="E2405">
        <v>3995</v>
      </c>
      <c r="F2405">
        <v>296.66000000000003</v>
      </c>
      <c r="G2405">
        <v>261.7</v>
      </c>
      <c r="H2405">
        <v>296.66000000000003</v>
      </c>
      <c r="I2405">
        <v>1506</v>
      </c>
      <c r="J2405">
        <v>72</v>
      </c>
      <c r="K2405" s="17">
        <f t="shared" si="297"/>
        <v>3614.4</v>
      </c>
      <c r="L2405" t="str">
        <f t="shared" si="298"/>
        <v>Sufficuent Stock</v>
      </c>
      <c r="P2405" s="19">
        <f t="shared" si="299"/>
        <v>0</v>
      </c>
      <c r="R2405" s="19">
        <f t="shared" si="296"/>
        <v>0</v>
      </c>
      <c r="T2405" s="19">
        <f t="shared" si="300"/>
        <v>394120.2</v>
      </c>
      <c r="U2405" s="19">
        <f t="shared" si="301"/>
        <v>446769.96</v>
      </c>
      <c r="V2405" s="21">
        <f t="shared" si="302"/>
        <v>52649.760000000009</v>
      </c>
      <c r="W2405" s="18">
        <f t="shared" si="303"/>
        <v>0.13358807795185329</v>
      </c>
    </row>
    <row r="2406" spans="1:23" x14ac:dyDescent="0.3">
      <c r="A2406" t="s">
        <v>422</v>
      </c>
      <c r="B2406" t="s">
        <v>675</v>
      </c>
      <c r="C2406" t="s">
        <v>23</v>
      </c>
      <c r="D2406" t="s">
        <v>26</v>
      </c>
      <c r="E2406">
        <v>3995</v>
      </c>
      <c r="F2406">
        <v>188.66</v>
      </c>
      <c r="G2406">
        <v>194.09</v>
      </c>
      <c r="H2406">
        <v>188.66</v>
      </c>
      <c r="I2406">
        <v>284</v>
      </c>
      <c r="J2406">
        <v>88</v>
      </c>
      <c r="K2406" s="17">
        <f t="shared" si="297"/>
        <v>833.06666666666672</v>
      </c>
      <c r="L2406" t="str">
        <f t="shared" si="298"/>
        <v>Sufficuent Stock</v>
      </c>
      <c r="P2406" s="19">
        <f t="shared" si="299"/>
        <v>0</v>
      </c>
      <c r="R2406" s="19">
        <f t="shared" si="296"/>
        <v>0</v>
      </c>
      <c r="T2406" s="19">
        <f t="shared" si="300"/>
        <v>55121.56</v>
      </c>
      <c r="U2406" s="19">
        <f t="shared" si="301"/>
        <v>53579.44</v>
      </c>
      <c r="V2406" s="21">
        <f t="shared" si="302"/>
        <v>-1542.1199999999953</v>
      </c>
      <c r="W2406" s="18">
        <f t="shared" si="303"/>
        <v>-2.797671183471577E-2</v>
      </c>
    </row>
    <row r="2407" spans="1:23" x14ac:dyDescent="0.3">
      <c r="A2407" t="s">
        <v>385</v>
      </c>
      <c r="B2407" t="s">
        <v>386</v>
      </c>
      <c r="C2407" t="s">
        <v>23</v>
      </c>
      <c r="D2407" t="s">
        <v>69</v>
      </c>
      <c r="E2407">
        <v>3997</v>
      </c>
      <c r="F2407">
        <v>437.82</v>
      </c>
      <c r="G2407">
        <v>392.17</v>
      </c>
      <c r="H2407">
        <v>437.82</v>
      </c>
      <c r="I2407">
        <v>753</v>
      </c>
      <c r="J2407">
        <v>50</v>
      </c>
      <c r="K2407" s="17">
        <f t="shared" si="297"/>
        <v>1255</v>
      </c>
      <c r="L2407" t="str">
        <f t="shared" si="298"/>
        <v>Sufficuent Stock</v>
      </c>
      <c r="P2407" s="19">
        <f t="shared" si="299"/>
        <v>0</v>
      </c>
      <c r="R2407" s="19">
        <f t="shared" si="296"/>
        <v>0</v>
      </c>
      <c r="T2407" s="19">
        <f t="shared" si="300"/>
        <v>295304.01</v>
      </c>
      <c r="U2407" s="19">
        <f t="shared" si="301"/>
        <v>329678.46000000002</v>
      </c>
      <c r="V2407" s="21">
        <f t="shared" si="302"/>
        <v>34374.450000000012</v>
      </c>
      <c r="W2407" s="18">
        <f t="shared" si="303"/>
        <v>0.11640360047938397</v>
      </c>
    </row>
    <row r="2408" spans="1:23" x14ac:dyDescent="0.3">
      <c r="A2408" t="s">
        <v>1146</v>
      </c>
      <c r="B2408" t="s">
        <v>1906</v>
      </c>
      <c r="C2408" t="s">
        <v>37</v>
      </c>
      <c r="D2408" t="s">
        <v>26</v>
      </c>
      <c r="E2408">
        <v>4000</v>
      </c>
      <c r="F2408">
        <v>526.17999999999995</v>
      </c>
      <c r="G2408">
        <v>440.41</v>
      </c>
      <c r="H2408">
        <v>526.17999999999995</v>
      </c>
      <c r="I2408">
        <v>2173</v>
      </c>
      <c r="J2408">
        <v>43</v>
      </c>
      <c r="K2408" s="17">
        <f t="shared" si="297"/>
        <v>3114.6333333333337</v>
      </c>
      <c r="L2408" t="str">
        <f t="shared" si="298"/>
        <v>Sufficuent Stock</v>
      </c>
      <c r="P2408" s="19">
        <f t="shared" si="299"/>
        <v>0</v>
      </c>
      <c r="R2408" s="19">
        <f t="shared" si="296"/>
        <v>0</v>
      </c>
      <c r="T2408" s="19">
        <f t="shared" si="300"/>
        <v>957010.93</v>
      </c>
      <c r="U2408" s="19">
        <f t="shared" si="301"/>
        <v>1143389.1399999999</v>
      </c>
      <c r="V2408" s="21">
        <f t="shared" si="302"/>
        <v>186378.20999999985</v>
      </c>
      <c r="W2408" s="18">
        <f t="shared" si="303"/>
        <v>0.19475034626824986</v>
      </c>
    </row>
    <row r="2409" spans="1:23" x14ac:dyDescent="0.3">
      <c r="A2409" t="s">
        <v>976</v>
      </c>
      <c r="B2409" t="s">
        <v>2848</v>
      </c>
      <c r="C2409" t="s">
        <v>23</v>
      </c>
      <c r="D2409" t="s">
        <v>20</v>
      </c>
      <c r="E2409">
        <v>4001</v>
      </c>
      <c r="F2409">
        <v>426.61</v>
      </c>
      <c r="G2409">
        <v>391.44</v>
      </c>
      <c r="H2409">
        <v>426.61</v>
      </c>
      <c r="I2409">
        <v>1638</v>
      </c>
      <c r="J2409">
        <v>9</v>
      </c>
      <c r="K2409" s="17">
        <f t="shared" si="297"/>
        <v>491.40000000000003</v>
      </c>
      <c r="L2409" t="str">
        <f t="shared" si="298"/>
        <v>Sufficuent Stock</v>
      </c>
      <c r="P2409" s="19">
        <f t="shared" si="299"/>
        <v>0</v>
      </c>
      <c r="R2409" s="19">
        <f t="shared" si="296"/>
        <v>0</v>
      </c>
      <c r="T2409" s="19">
        <f t="shared" si="300"/>
        <v>641178.72</v>
      </c>
      <c r="U2409" s="19">
        <f t="shared" si="301"/>
        <v>698787.18</v>
      </c>
      <c r="V2409" s="21">
        <f t="shared" si="302"/>
        <v>57608.460000000079</v>
      </c>
      <c r="W2409" s="18">
        <f t="shared" si="303"/>
        <v>8.984774167177613E-2</v>
      </c>
    </row>
    <row r="2410" spans="1:23" x14ac:dyDescent="0.3">
      <c r="A2410" t="s">
        <v>216</v>
      </c>
      <c r="B2410" t="s">
        <v>297</v>
      </c>
      <c r="C2410" t="s">
        <v>50</v>
      </c>
      <c r="D2410" t="s">
        <v>17</v>
      </c>
      <c r="E2410">
        <v>4004</v>
      </c>
      <c r="F2410">
        <v>334.14</v>
      </c>
      <c r="G2410">
        <v>314.35000000000002</v>
      </c>
      <c r="H2410">
        <v>334.14</v>
      </c>
      <c r="I2410">
        <v>2324</v>
      </c>
      <c r="J2410">
        <v>24</v>
      </c>
      <c r="K2410" s="17">
        <f t="shared" si="297"/>
        <v>1859.2</v>
      </c>
      <c r="L2410" t="str">
        <f t="shared" si="298"/>
        <v>Sufficuent Stock</v>
      </c>
      <c r="P2410" s="19">
        <f t="shared" si="299"/>
        <v>0</v>
      </c>
      <c r="R2410" s="19">
        <f t="shared" si="296"/>
        <v>0</v>
      </c>
      <c r="T2410" s="19">
        <f t="shared" si="300"/>
        <v>730549.4</v>
      </c>
      <c r="U2410" s="19">
        <f t="shared" si="301"/>
        <v>776541.36</v>
      </c>
      <c r="V2410" s="21">
        <f t="shared" si="302"/>
        <v>45991.959999999963</v>
      </c>
      <c r="W2410" s="18">
        <f t="shared" si="303"/>
        <v>6.2955304596786971E-2</v>
      </c>
    </row>
    <row r="2411" spans="1:23" x14ac:dyDescent="0.3">
      <c r="A2411" t="s">
        <v>218</v>
      </c>
      <c r="B2411" t="s">
        <v>2004</v>
      </c>
      <c r="C2411" t="s">
        <v>37</v>
      </c>
      <c r="D2411" t="s">
        <v>26</v>
      </c>
      <c r="E2411">
        <v>4005</v>
      </c>
      <c r="F2411">
        <v>348.49</v>
      </c>
      <c r="G2411">
        <v>308.64999999999998</v>
      </c>
      <c r="H2411">
        <v>348.49</v>
      </c>
      <c r="I2411">
        <v>2150</v>
      </c>
      <c r="J2411">
        <v>78</v>
      </c>
      <c r="K2411" s="17">
        <f t="shared" si="297"/>
        <v>5590</v>
      </c>
      <c r="L2411" t="str">
        <f t="shared" si="298"/>
        <v>High Risk</v>
      </c>
      <c r="P2411" s="19">
        <f t="shared" si="299"/>
        <v>1585</v>
      </c>
      <c r="R2411" s="19">
        <f t="shared" si="296"/>
        <v>552356.65</v>
      </c>
      <c r="T2411" s="19">
        <f t="shared" si="300"/>
        <v>663597.5</v>
      </c>
      <c r="U2411" s="19">
        <f t="shared" si="301"/>
        <v>749253.5</v>
      </c>
      <c r="V2411" s="21">
        <f t="shared" si="302"/>
        <v>85656</v>
      </c>
      <c r="W2411" s="18">
        <f t="shared" si="303"/>
        <v>0.1290782439656569</v>
      </c>
    </row>
    <row r="2412" spans="1:23" x14ac:dyDescent="0.3">
      <c r="A2412" t="s">
        <v>141</v>
      </c>
      <c r="B2412" t="s">
        <v>2460</v>
      </c>
      <c r="C2412" t="s">
        <v>23</v>
      </c>
      <c r="D2412" t="s">
        <v>13</v>
      </c>
      <c r="E2412">
        <v>4008</v>
      </c>
      <c r="F2412">
        <v>319.48</v>
      </c>
      <c r="G2412">
        <v>290.23</v>
      </c>
      <c r="H2412">
        <v>319.48</v>
      </c>
      <c r="I2412">
        <v>420</v>
      </c>
      <c r="J2412">
        <v>52</v>
      </c>
      <c r="K2412" s="17">
        <f t="shared" si="297"/>
        <v>728</v>
      </c>
      <c r="L2412" t="str">
        <f t="shared" si="298"/>
        <v>Sufficuent Stock</v>
      </c>
      <c r="P2412" s="19">
        <f t="shared" si="299"/>
        <v>0</v>
      </c>
      <c r="R2412" s="19">
        <f t="shared" si="296"/>
        <v>0</v>
      </c>
      <c r="T2412" s="19">
        <f t="shared" si="300"/>
        <v>121896.6</v>
      </c>
      <c r="U2412" s="19">
        <f t="shared" si="301"/>
        <v>134181.6</v>
      </c>
      <c r="V2412" s="21">
        <f t="shared" si="302"/>
        <v>12285</v>
      </c>
      <c r="W2412" s="18">
        <f t="shared" si="303"/>
        <v>0.10078213830410364</v>
      </c>
    </row>
    <row r="2413" spans="1:23" x14ac:dyDescent="0.3">
      <c r="A2413" t="s">
        <v>268</v>
      </c>
      <c r="B2413" t="s">
        <v>2296</v>
      </c>
      <c r="C2413" t="s">
        <v>37</v>
      </c>
      <c r="D2413" t="s">
        <v>13</v>
      </c>
      <c r="E2413">
        <v>4011</v>
      </c>
      <c r="F2413">
        <v>508.54</v>
      </c>
      <c r="G2413">
        <v>431.8</v>
      </c>
      <c r="H2413">
        <v>508.54</v>
      </c>
      <c r="I2413">
        <v>3216</v>
      </c>
      <c r="J2413">
        <v>44</v>
      </c>
      <c r="K2413" s="17">
        <f t="shared" si="297"/>
        <v>4716.8</v>
      </c>
      <c r="L2413" t="str">
        <f t="shared" si="298"/>
        <v>High Risk</v>
      </c>
      <c r="P2413" s="19">
        <f t="shared" si="299"/>
        <v>706</v>
      </c>
      <c r="R2413" s="19">
        <f t="shared" si="296"/>
        <v>359029.24</v>
      </c>
      <c r="T2413" s="19">
        <f t="shared" si="300"/>
        <v>1388668.8</v>
      </c>
      <c r="U2413" s="19">
        <f t="shared" si="301"/>
        <v>1635464.6400000001</v>
      </c>
      <c r="V2413" s="21">
        <f t="shared" si="302"/>
        <v>246795.84000000008</v>
      </c>
      <c r="W2413" s="18">
        <f t="shared" si="303"/>
        <v>0.17772116720704034</v>
      </c>
    </row>
    <row r="2414" spans="1:23" x14ac:dyDescent="0.3">
      <c r="A2414" t="s">
        <v>209</v>
      </c>
      <c r="B2414" t="s">
        <v>3013</v>
      </c>
      <c r="C2414" t="s">
        <v>23</v>
      </c>
      <c r="D2414" t="s">
        <v>26</v>
      </c>
      <c r="E2414">
        <v>4012</v>
      </c>
      <c r="F2414">
        <v>317.01</v>
      </c>
      <c r="G2414">
        <v>315.67</v>
      </c>
      <c r="H2414">
        <v>317.01</v>
      </c>
      <c r="I2414">
        <v>1881</v>
      </c>
      <c r="J2414">
        <v>62</v>
      </c>
      <c r="K2414" s="17">
        <f t="shared" si="297"/>
        <v>3887.4</v>
      </c>
      <c r="L2414" t="str">
        <f t="shared" si="298"/>
        <v>Sufficuent Stock</v>
      </c>
      <c r="P2414" s="19">
        <f t="shared" si="299"/>
        <v>0</v>
      </c>
      <c r="R2414" s="19">
        <f t="shared" si="296"/>
        <v>0</v>
      </c>
      <c r="T2414" s="19">
        <f t="shared" si="300"/>
        <v>593775.27</v>
      </c>
      <c r="U2414" s="19">
        <f t="shared" si="301"/>
        <v>596295.80999999994</v>
      </c>
      <c r="V2414" s="21">
        <f t="shared" si="302"/>
        <v>2520.5399999999208</v>
      </c>
      <c r="W2414" s="18">
        <f t="shared" si="303"/>
        <v>4.2449393353817524E-3</v>
      </c>
    </row>
    <row r="2415" spans="1:23" x14ac:dyDescent="0.3">
      <c r="A2415" t="s">
        <v>472</v>
      </c>
      <c r="B2415" t="s">
        <v>2520</v>
      </c>
      <c r="C2415" t="s">
        <v>50</v>
      </c>
      <c r="D2415" t="s">
        <v>69</v>
      </c>
      <c r="E2415">
        <v>4012</v>
      </c>
      <c r="F2415">
        <v>305.92</v>
      </c>
      <c r="G2415">
        <v>339.47</v>
      </c>
      <c r="H2415">
        <v>305.92</v>
      </c>
      <c r="I2415">
        <v>2207</v>
      </c>
      <c r="J2415">
        <v>55</v>
      </c>
      <c r="K2415" s="17">
        <f t="shared" si="297"/>
        <v>4046.1666666666665</v>
      </c>
      <c r="L2415" t="str">
        <f t="shared" si="298"/>
        <v>High Risk</v>
      </c>
      <c r="P2415" s="19">
        <f t="shared" si="299"/>
        <v>35</v>
      </c>
      <c r="R2415" s="19">
        <f t="shared" si="296"/>
        <v>10707.2</v>
      </c>
      <c r="T2415" s="19">
        <f t="shared" si="300"/>
        <v>749210.29</v>
      </c>
      <c r="U2415" s="19">
        <f t="shared" si="301"/>
        <v>675165.44000000006</v>
      </c>
      <c r="V2415" s="21">
        <f t="shared" si="302"/>
        <v>-74044.849999999977</v>
      </c>
      <c r="W2415" s="18">
        <f t="shared" si="303"/>
        <v>-9.8830529943735784E-2</v>
      </c>
    </row>
    <row r="2416" spans="1:23" x14ac:dyDescent="0.3">
      <c r="A2416" t="s">
        <v>226</v>
      </c>
      <c r="B2416" t="s">
        <v>2407</v>
      </c>
      <c r="C2416" t="s">
        <v>16</v>
      </c>
      <c r="D2416" t="s">
        <v>69</v>
      </c>
      <c r="E2416">
        <v>4015</v>
      </c>
      <c r="F2416">
        <v>461.22</v>
      </c>
      <c r="G2416">
        <v>397.6</v>
      </c>
      <c r="H2416">
        <v>461.22</v>
      </c>
      <c r="I2416">
        <v>3207</v>
      </c>
      <c r="J2416">
        <v>73</v>
      </c>
      <c r="K2416" s="17">
        <f t="shared" si="297"/>
        <v>7803.7000000000007</v>
      </c>
      <c r="L2416" t="str">
        <f t="shared" si="298"/>
        <v>High Risk</v>
      </c>
      <c r="P2416" s="19">
        <f t="shared" si="299"/>
        <v>3789</v>
      </c>
      <c r="R2416" s="19">
        <f t="shared" si="296"/>
        <v>1747562.58</v>
      </c>
      <c r="T2416" s="19">
        <f t="shared" si="300"/>
        <v>1275103.2000000002</v>
      </c>
      <c r="U2416" s="19">
        <f t="shared" si="301"/>
        <v>1479132.54</v>
      </c>
      <c r="V2416" s="21">
        <f t="shared" si="302"/>
        <v>204029.33999999985</v>
      </c>
      <c r="W2416" s="18">
        <f t="shared" si="303"/>
        <v>0.16001006036217288</v>
      </c>
    </row>
    <row r="2417" spans="1:23" x14ac:dyDescent="0.3">
      <c r="A2417" t="s">
        <v>70</v>
      </c>
      <c r="B2417" t="s">
        <v>3353</v>
      </c>
      <c r="C2417" t="s">
        <v>50</v>
      </c>
      <c r="D2417" t="s">
        <v>20</v>
      </c>
      <c r="E2417">
        <v>4016</v>
      </c>
      <c r="F2417">
        <v>236.37</v>
      </c>
      <c r="G2417">
        <v>237.74</v>
      </c>
      <c r="H2417">
        <v>236.37</v>
      </c>
      <c r="I2417">
        <v>2091</v>
      </c>
      <c r="J2417">
        <v>60</v>
      </c>
      <c r="K2417" s="17">
        <f t="shared" si="297"/>
        <v>4182</v>
      </c>
      <c r="L2417" t="str">
        <f t="shared" si="298"/>
        <v>High Risk</v>
      </c>
      <c r="P2417" s="19">
        <f t="shared" si="299"/>
        <v>166</v>
      </c>
      <c r="R2417" s="19">
        <f t="shared" si="296"/>
        <v>39237.42</v>
      </c>
      <c r="T2417" s="19">
        <f t="shared" si="300"/>
        <v>497114.34</v>
      </c>
      <c r="U2417" s="19">
        <f t="shared" si="301"/>
        <v>494249.67</v>
      </c>
      <c r="V2417" s="21">
        <f t="shared" si="302"/>
        <v>-2864.6700000000419</v>
      </c>
      <c r="W2417" s="18">
        <f t="shared" si="303"/>
        <v>-5.7625977959115835E-3</v>
      </c>
    </row>
    <row r="2418" spans="1:23" x14ac:dyDescent="0.3">
      <c r="A2418" t="s">
        <v>739</v>
      </c>
      <c r="B2418" t="s">
        <v>740</v>
      </c>
      <c r="C2418" t="s">
        <v>23</v>
      </c>
      <c r="D2418" t="s">
        <v>20</v>
      </c>
      <c r="E2418">
        <v>4018</v>
      </c>
      <c r="F2418">
        <v>37.46</v>
      </c>
      <c r="G2418">
        <v>36.17</v>
      </c>
      <c r="H2418">
        <v>37.46</v>
      </c>
      <c r="I2418">
        <v>865</v>
      </c>
      <c r="J2418">
        <v>61</v>
      </c>
      <c r="K2418" s="17">
        <f t="shared" si="297"/>
        <v>1758.8333333333333</v>
      </c>
      <c r="L2418" t="str">
        <f t="shared" si="298"/>
        <v>Sufficuent Stock</v>
      </c>
      <c r="P2418" s="19">
        <f t="shared" si="299"/>
        <v>0</v>
      </c>
      <c r="R2418" s="19">
        <f t="shared" si="296"/>
        <v>0</v>
      </c>
      <c r="T2418" s="19">
        <f t="shared" si="300"/>
        <v>31287.050000000003</v>
      </c>
      <c r="U2418" s="19">
        <f t="shared" si="301"/>
        <v>32402.9</v>
      </c>
      <c r="V2418" s="21">
        <f t="shared" si="302"/>
        <v>1115.8499999999985</v>
      </c>
      <c r="W2418" s="18">
        <f t="shared" si="303"/>
        <v>3.5664915675974518E-2</v>
      </c>
    </row>
    <row r="2419" spans="1:23" x14ac:dyDescent="0.3">
      <c r="A2419" t="s">
        <v>113</v>
      </c>
      <c r="B2419" t="s">
        <v>2651</v>
      </c>
      <c r="C2419" t="s">
        <v>12</v>
      </c>
      <c r="D2419" t="s">
        <v>69</v>
      </c>
      <c r="E2419">
        <v>4024</v>
      </c>
      <c r="F2419">
        <v>463.44</v>
      </c>
      <c r="G2419">
        <v>394.73</v>
      </c>
      <c r="H2419">
        <v>463.44</v>
      </c>
      <c r="I2419">
        <v>2225</v>
      </c>
      <c r="J2419">
        <v>63</v>
      </c>
      <c r="K2419" s="17">
        <f t="shared" si="297"/>
        <v>4672.5</v>
      </c>
      <c r="L2419" t="str">
        <f t="shared" si="298"/>
        <v>High Risk</v>
      </c>
      <c r="P2419" s="19">
        <f t="shared" si="299"/>
        <v>649</v>
      </c>
      <c r="R2419" s="19">
        <f t="shared" si="296"/>
        <v>300772.56</v>
      </c>
      <c r="T2419" s="19">
        <f t="shared" si="300"/>
        <v>878274.25</v>
      </c>
      <c r="U2419" s="19">
        <f t="shared" si="301"/>
        <v>1031154</v>
      </c>
      <c r="V2419" s="21">
        <f t="shared" si="302"/>
        <v>152879.75</v>
      </c>
      <c r="W2419" s="18">
        <f t="shared" si="303"/>
        <v>0.17406835051807565</v>
      </c>
    </row>
    <row r="2420" spans="1:23" x14ac:dyDescent="0.3">
      <c r="A2420" t="s">
        <v>35</v>
      </c>
      <c r="B2420" t="s">
        <v>36</v>
      </c>
      <c r="C2420" t="s">
        <v>37</v>
      </c>
      <c r="D2420" t="s">
        <v>13</v>
      </c>
      <c r="E2420">
        <v>4025</v>
      </c>
      <c r="F2420">
        <v>242.17</v>
      </c>
      <c r="G2420">
        <v>207.45</v>
      </c>
      <c r="H2420">
        <v>242.17</v>
      </c>
      <c r="I2420">
        <v>3947</v>
      </c>
      <c r="J2420">
        <v>32</v>
      </c>
      <c r="K2420" s="17">
        <f t="shared" si="297"/>
        <v>4210.1333333333332</v>
      </c>
      <c r="L2420" t="str">
        <f t="shared" si="298"/>
        <v>High Risk</v>
      </c>
      <c r="P2420" s="19">
        <f t="shared" si="299"/>
        <v>186</v>
      </c>
      <c r="R2420" s="19">
        <f t="shared" si="296"/>
        <v>45043.619999999995</v>
      </c>
      <c r="T2420" s="19">
        <f t="shared" si="300"/>
        <v>818805.14999999991</v>
      </c>
      <c r="U2420" s="19">
        <f t="shared" si="301"/>
        <v>955844.99</v>
      </c>
      <c r="V2420" s="21">
        <f t="shared" si="302"/>
        <v>137039.84000000008</v>
      </c>
      <c r="W2420" s="18">
        <f t="shared" si="303"/>
        <v>0.1673656302723549</v>
      </c>
    </row>
    <row r="2421" spans="1:23" x14ac:dyDescent="0.3">
      <c r="A2421" t="s">
        <v>175</v>
      </c>
      <c r="B2421" t="s">
        <v>2946</v>
      </c>
      <c r="C2421" t="s">
        <v>50</v>
      </c>
      <c r="D2421" t="s">
        <v>17</v>
      </c>
      <c r="E2421">
        <v>4025</v>
      </c>
      <c r="F2421">
        <v>190.23</v>
      </c>
      <c r="G2421">
        <v>179.21</v>
      </c>
      <c r="H2421">
        <v>190.23</v>
      </c>
      <c r="I2421">
        <v>2040</v>
      </c>
      <c r="J2421">
        <v>66</v>
      </c>
      <c r="K2421" s="17">
        <f t="shared" si="297"/>
        <v>4488</v>
      </c>
      <c r="L2421" t="str">
        <f t="shared" si="298"/>
        <v>High Risk</v>
      </c>
      <c r="P2421" s="19">
        <f t="shared" si="299"/>
        <v>463</v>
      </c>
      <c r="R2421" s="19">
        <f t="shared" si="296"/>
        <v>88076.489999999991</v>
      </c>
      <c r="T2421" s="19">
        <f t="shared" si="300"/>
        <v>365588.4</v>
      </c>
      <c r="U2421" s="19">
        <f t="shared" si="301"/>
        <v>388069.19999999995</v>
      </c>
      <c r="V2421" s="21">
        <f t="shared" si="302"/>
        <v>22480.79999999993</v>
      </c>
      <c r="W2421" s="18">
        <f t="shared" si="303"/>
        <v>6.1492104235254537E-2</v>
      </c>
    </row>
    <row r="2422" spans="1:23" x14ac:dyDescent="0.3">
      <c r="A2422" t="s">
        <v>829</v>
      </c>
      <c r="B2422" t="s">
        <v>2499</v>
      </c>
      <c r="C2422" t="s">
        <v>16</v>
      </c>
      <c r="D2422" t="s">
        <v>20</v>
      </c>
      <c r="E2422">
        <v>4028</v>
      </c>
      <c r="F2422">
        <v>245.1</v>
      </c>
      <c r="G2422">
        <v>208.73</v>
      </c>
      <c r="H2422">
        <v>245.1</v>
      </c>
      <c r="I2422">
        <v>1251</v>
      </c>
      <c r="J2422">
        <v>41</v>
      </c>
      <c r="K2422" s="17">
        <f t="shared" si="297"/>
        <v>1709.7</v>
      </c>
      <c r="L2422" t="str">
        <f t="shared" si="298"/>
        <v>Sufficuent Stock</v>
      </c>
      <c r="P2422" s="19">
        <f t="shared" si="299"/>
        <v>0</v>
      </c>
      <c r="R2422" s="19">
        <f t="shared" si="296"/>
        <v>0</v>
      </c>
      <c r="T2422" s="19">
        <f t="shared" si="300"/>
        <v>261121.22999999998</v>
      </c>
      <c r="U2422" s="19">
        <f t="shared" si="301"/>
        <v>306620.09999999998</v>
      </c>
      <c r="V2422" s="21">
        <f t="shared" si="302"/>
        <v>45498.869999999995</v>
      </c>
      <c r="W2422" s="18">
        <f t="shared" si="303"/>
        <v>0.17424423896900301</v>
      </c>
    </row>
    <row r="2423" spans="1:23" x14ac:dyDescent="0.3">
      <c r="A2423" t="s">
        <v>723</v>
      </c>
      <c r="B2423" t="s">
        <v>3010</v>
      </c>
      <c r="C2423" t="s">
        <v>37</v>
      </c>
      <c r="D2423" t="s">
        <v>69</v>
      </c>
      <c r="E2423">
        <v>4033</v>
      </c>
      <c r="F2423">
        <v>202.61</v>
      </c>
      <c r="G2423">
        <v>217.58</v>
      </c>
      <c r="H2423">
        <v>202.61</v>
      </c>
      <c r="I2423">
        <v>3102</v>
      </c>
      <c r="J2423">
        <v>44</v>
      </c>
      <c r="K2423" s="17">
        <f t="shared" si="297"/>
        <v>4549.6000000000004</v>
      </c>
      <c r="L2423" t="str">
        <f t="shared" si="298"/>
        <v>High Risk</v>
      </c>
      <c r="P2423" s="19">
        <f t="shared" si="299"/>
        <v>517</v>
      </c>
      <c r="R2423" s="19">
        <f t="shared" si="296"/>
        <v>104749.37000000001</v>
      </c>
      <c r="T2423" s="19">
        <f t="shared" si="300"/>
        <v>674933.16</v>
      </c>
      <c r="U2423" s="19">
        <f t="shared" si="301"/>
        <v>628496.22000000009</v>
      </c>
      <c r="V2423" s="21">
        <f t="shared" si="302"/>
        <v>-46436.939999999944</v>
      </c>
      <c r="W2423" s="18">
        <f t="shared" si="303"/>
        <v>-6.8802279621288639E-2</v>
      </c>
    </row>
    <row r="2424" spans="1:23" x14ac:dyDescent="0.3">
      <c r="A2424" t="s">
        <v>462</v>
      </c>
      <c r="B2424" t="s">
        <v>946</v>
      </c>
      <c r="C2424" t="s">
        <v>12</v>
      </c>
      <c r="D2424" t="s">
        <v>26</v>
      </c>
      <c r="E2424">
        <v>4035</v>
      </c>
      <c r="F2424">
        <v>231.53</v>
      </c>
      <c r="G2424">
        <v>217.64</v>
      </c>
      <c r="H2424">
        <v>231.53</v>
      </c>
      <c r="I2424">
        <v>2956</v>
      </c>
      <c r="J2424">
        <v>65</v>
      </c>
      <c r="K2424" s="17">
        <f t="shared" si="297"/>
        <v>6404.666666666667</v>
      </c>
      <c r="L2424" t="str">
        <f t="shared" si="298"/>
        <v>High Risk</v>
      </c>
      <c r="P2424" s="19">
        <f t="shared" si="299"/>
        <v>2370</v>
      </c>
      <c r="R2424" s="19">
        <f t="shared" si="296"/>
        <v>548726.1</v>
      </c>
      <c r="T2424" s="19">
        <f t="shared" si="300"/>
        <v>643343.84</v>
      </c>
      <c r="U2424" s="19">
        <f t="shared" si="301"/>
        <v>684402.68</v>
      </c>
      <c r="V2424" s="21">
        <f t="shared" si="302"/>
        <v>41058.840000000084</v>
      </c>
      <c r="W2424" s="18">
        <f t="shared" si="303"/>
        <v>6.3820988788825722E-2</v>
      </c>
    </row>
    <row r="2425" spans="1:23" x14ac:dyDescent="0.3">
      <c r="A2425" t="s">
        <v>165</v>
      </c>
      <c r="B2425" t="s">
        <v>166</v>
      </c>
      <c r="C2425" t="s">
        <v>12</v>
      </c>
      <c r="D2425" t="s">
        <v>69</v>
      </c>
      <c r="E2425">
        <v>4035</v>
      </c>
      <c r="F2425">
        <v>324.26</v>
      </c>
      <c r="G2425">
        <v>307.73</v>
      </c>
      <c r="H2425">
        <v>324.26</v>
      </c>
      <c r="I2425">
        <v>2270</v>
      </c>
      <c r="J2425">
        <v>71</v>
      </c>
      <c r="K2425" s="17">
        <f t="shared" si="297"/>
        <v>5372.3333333333339</v>
      </c>
      <c r="L2425" t="str">
        <f t="shared" si="298"/>
        <v>High Risk</v>
      </c>
      <c r="P2425" s="19">
        <f t="shared" si="299"/>
        <v>1338</v>
      </c>
      <c r="R2425" s="19">
        <f t="shared" si="296"/>
        <v>433859.88</v>
      </c>
      <c r="T2425" s="19">
        <f t="shared" si="300"/>
        <v>698547.10000000009</v>
      </c>
      <c r="U2425" s="19">
        <f t="shared" si="301"/>
        <v>736070.2</v>
      </c>
      <c r="V2425" s="21">
        <f t="shared" si="302"/>
        <v>37523.09999999986</v>
      </c>
      <c r="W2425" s="18">
        <f t="shared" si="303"/>
        <v>5.3715919799824312E-2</v>
      </c>
    </row>
    <row r="2426" spans="1:23" x14ac:dyDescent="0.3">
      <c r="A2426" t="s">
        <v>175</v>
      </c>
      <c r="B2426" t="s">
        <v>176</v>
      </c>
      <c r="C2426" t="s">
        <v>23</v>
      </c>
      <c r="D2426" t="s">
        <v>13</v>
      </c>
      <c r="E2426">
        <v>4037</v>
      </c>
      <c r="F2426">
        <v>67.98</v>
      </c>
      <c r="G2426">
        <v>60.48</v>
      </c>
      <c r="H2426">
        <v>67.98</v>
      </c>
      <c r="I2426">
        <v>1421</v>
      </c>
      <c r="J2426">
        <v>83</v>
      </c>
      <c r="K2426" s="17">
        <f t="shared" si="297"/>
        <v>3931.4333333333334</v>
      </c>
      <c r="L2426" t="str">
        <f t="shared" si="298"/>
        <v>Sufficuent Stock</v>
      </c>
      <c r="P2426" s="19">
        <f t="shared" si="299"/>
        <v>0</v>
      </c>
      <c r="R2426" s="19">
        <f t="shared" si="296"/>
        <v>0</v>
      </c>
      <c r="T2426" s="19">
        <f t="shared" si="300"/>
        <v>85942.080000000002</v>
      </c>
      <c r="U2426" s="19">
        <f t="shared" si="301"/>
        <v>96599.58</v>
      </c>
      <c r="V2426" s="21">
        <f t="shared" si="302"/>
        <v>10657.5</v>
      </c>
      <c r="W2426" s="18">
        <f t="shared" si="303"/>
        <v>0.12400793650793651</v>
      </c>
    </row>
    <row r="2427" spans="1:23" x14ac:dyDescent="0.3">
      <c r="A2427" t="s">
        <v>976</v>
      </c>
      <c r="B2427" t="s">
        <v>2490</v>
      </c>
      <c r="C2427" t="s">
        <v>50</v>
      </c>
      <c r="D2427" t="s">
        <v>13</v>
      </c>
      <c r="E2427">
        <v>4038</v>
      </c>
      <c r="F2427">
        <v>70.650000000000006</v>
      </c>
      <c r="G2427">
        <v>67.66</v>
      </c>
      <c r="H2427">
        <v>70.650000000000006</v>
      </c>
      <c r="I2427">
        <v>599</v>
      </c>
      <c r="J2427">
        <v>46</v>
      </c>
      <c r="K2427" s="17">
        <f t="shared" si="297"/>
        <v>918.46666666666658</v>
      </c>
      <c r="L2427" t="str">
        <f t="shared" si="298"/>
        <v>Sufficuent Stock</v>
      </c>
      <c r="P2427" s="19">
        <f t="shared" si="299"/>
        <v>0</v>
      </c>
      <c r="R2427" s="19">
        <f t="shared" si="296"/>
        <v>0</v>
      </c>
      <c r="T2427" s="19">
        <f t="shared" si="300"/>
        <v>40528.339999999997</v>
      </c>
      <c r="U2427" s="19">
        <f t="shared" si="301"/>
        <v>42319.350000000006</v>
      </c>
      <c r="V2427" s="21">
        <f t="shared" si="302"/>
        <v>1791.0100000000093</v>
      </c>
      <c r="W2427" s="18">
        <f t="shared" si="303"/>
        <v>4.4191545965119948E-2</v>
      </c>
    </row>
    <row r="2428" spans="1:23" x14ac:dyDescent="0.3">
      <c r="A2428" t="s">
        <v>1074</v>
      </c>
      <c r="B2428" t="s">
        <v>2449</v>
      </c>
      <c r="C2428" t="s">
        <v>23</v>
      </c>
      <c r="D2428" t="s">
        <v>17</v>
      </c>
      <c r="E2428">
        <v>4040</v>
      </c>
      <c r="F2428">
        <v>109.62</v>
      </c>
      <c r="G2428">
        <v>116.86</v>
      </c>
      <c r="H2428">
        <v>109.62</v>
      </c>
      <c r="I2428">
        <v>517</v>
      </c>
      <c r="J2428">
        <v>88</v>
      </c>
      <c r="K2428" s="17">
        <f t="shared" si="297"/>
        <v>1516.5333333333333</v>
      </c>
      <c r="L2428" t="str">
        <f t="shared" si="298"/>
        <v>Sufficuent Stock</v>
      </c>
      <c r="P2428" s="19">
        <f t="shared" si="299"/>
        <v>0</v>
      </c>
      <c r="R2428" s="19">
        <f t="shared" si="296"/>
        <v>0</v>
      </c>
      <c r="T2428" s="19">
        <f t="shared" si="300"/>
        <v>60416.62</v>
      </c>
      <c r="U2428" s="19">
        <f t="shared" si="301"/>
        <v>56673.54</v>
      </c>
      <c r="V2428" s="21">
        <f t="shared" si="302"/>
        <v>-3743.0800000000017</v>
      </c>
      <c r="W2428" s="18">
        <f t="shared" si="303"/>
        <v>-6.1954475440698299E-2</v>
      </c>
    </row>
    <row r="2429" spans="1:23" x14ac:dyDescent="0.3">
      <c r="A2429" t="s">
        <v>424</v>
      </c>
      <c r="B2429" t="s">
        <v>2680</v>
      </c>
      <c r="C2429" t="s">
        <v>12</v>
      </c>
      <c r="D2429" t="s">
        <v>69</v>
      </c>
      <c r="E2429">
        <v>4042</v>
      </c>
      <c r="F2429">
        <v>381.19</v>
      </c>
      <c r="G2429">
        <v>352.95</v>
      </c>
      <c r="H2429">
        <v>381.19</v>
      </c>
      <c r="I2429">
        <v>847</v>
      </c>
      <c r="J2429">
        <v>45</v>
      </c>
      <c r="K2429" s="17">
        <f t="shared" si="297"/>
        <v>1270.5</v>
      </c>
      <c r="L2429" t="str">
        <f t="shared" si="298"/>
        <v>Sufficuent Stock</v>
      </c>
      <c r="P2429" s="19">
        <f t="shared" si="299"/>
        <v>0</v>
      </c>
      <c r="R2429" s="19">
        <f t="shared" si="296"/>
        <v>0</v>
      </c>
      <c r="T2429" s="19">
        <f t="shared" si="300"/>
        <v>298948.64999999997</v>
      </c>
      <c r="U2429" s="19">
        <f t="shared" si="301"/>
        <v>322867.93</v>
      </c>
      <c r="V2429" s="21">
        <f t="shared" si="302"/>
        <v>23919.280000000028</v>
      </c>
      <c r="W2429" s="18">
        <f t="shared" si="303"/>
        <v>8.0011333050007183E-2</v>
      </c>
    </row>
    <row r="2430" spans="1:23" x14ac:dyDescent="0.3">
      <c r="A2430" t="s">
        <v>328</v>
      </c>
      <c r="B2430" t="s">
        <v>1447</v>
      </c>
      <c r="C2430" t="s">
        <v>37</v>
      </c>
      <c r="D2430" t="s">
        <v>26</v>
      </c>
      <c r="E2430">
        <v>4045</v>
      </c>
      <c r="F2430">
        <v>21.44</v>
      </c>
      <c r="G2430">
        <v>21.71</v>
      </c>
      <c r="H2430">
        <v>21.44</v>
      </c>
      <c r="I2430">
        <v>668</v>
      </c>
      <c r="J2430">
        <v>50</v>
      </c>
      <c r="K2430" s="17">
        <f t="shared" si="297"/>
        <v>1113.3333333333333</v>
      </c>
      <c r="L2430" t="str">
        <f t="shared" si="298"/>
        <v>Sufficuent Stock</v>
      </c>
      <c r="P2430" s="19">
        <f t="shared" si="299"/>
        <v>0</v>
      </c>
      <c r="R2430" s="19">
        <f t="shared" si="296"/>
        <v>0</v>
      </c>
      <c r="T2430" s="19">
        <f t="shared" si="300"/>
        <v>14502.28</v>
      </c>
      <c r="U2430" s="19">
        <f t="shared" si="301"/>
        <v>14321.92</v>
      </c>
      <c r="V2430" s="21">
        <f t="shared" si="302"/>
        <v>-180.36000000000058</v>
      </c>
      <c r="W2430" s="18">
        <f t="shared" si="303"/>
        <v>-1.243666513127595E-2</v>
      </c>
    </row>
    <row r="2431" spans="1:23" x14ac:dyDescent="0.3">
      <c r="A2431" t="s">
        <v>855</v>
      </c>
      <c r="B2431" t="s">
        <v>1627</v>
      </c>
      <c r="C2431" t="s">
        <v>37</v>
      </c>
      <c r="D2431" t="s">
        <v>26</v>
      </c>
      <c r="E2431">
        <v>4045</v>
      </c>
      <c r="F2431">
        <v>264.95</v>
      </c>
      <c r="G2431">
        <v>290.97000000000003</v>
      </c>
      <c r="H2431">
        <v>264.95</v>
      </c>
      <c r="I2431">
        <v>2513</v>
      </c>
      <c r="J2431">
        <v>49</v>
      </c>
      <c r="K2431" s="17">
        <f t="shared" si="297"/>
        <v>4104.5666666666666</v>
      </c>
      <c r="L2431" t="str">
        <f t="shared" si="298"/>
        <v>High Risk</v>
      </c>
      <c r="P2431" s="19">
        <f t="shared" si="299"/>
        <v>60</v>
      </c>
      <c r="R2431" s="19">
        <f t="shared" si="296"/>
        <v>15897</v>
      </c>
      <c r="T2431" s="19">
        <f t="shared" si="300"/>
        <v>731207.6100000001</v>
      </c>
      <c r="U2431" s="19">
        <f t="shared" si="301"/>
        <v>665819.35</v>
      </c>
      <c r="V2431" s="21">
        <f t="shared" si="302"/>
        <v>-65388.260000000126</v>
      </c>
      <c r="W2431" s="18">
        <f t="shared" si="303"/>
        <v>-8.9425026635048449E-2</v>
      </c>
    </row>
    <row r="2432" spans="1:23" x14ac:dyDescent="0.3">
      <c r="A2432" t="s">
        <v>541</v>
      </c>
      <c r="B2432" t="s">
        <v>2971</v>
      </c>
      <c r="C2432" t="s">
        <v>37</v>
      </c>
      <c r="D2432" t="s">
        <v>13</v>
      </c>
      <c r="E2432">
        <v>4045</v>
      </c>
      <c r="F2432">
        <v>347.12</v>
      </c>
      <c r="G2432">
        <v>320.97000000000003</v>
      </c>
      <c r="H2432">
        <v>347.12</v>
      </c>
      <c r="I2432">
        <v>2467</v>
      </c>
      <c r="J2432">
        <v>17</v>
      </c>
      <c r="K2432" s="17">
        <f t="shared" si="297"/>
        <v>1397.9666666666667</v>
      </c>
      <c r="L2432" t="str">
        <f t="shared" si="298"/>
        <v>Sufficuent Stock</v>
      </c>
      <c r="P2432" s="19">
        <f t="shared" si="299"/>
        <v>0</v>
      </c>
      <c r="R2432" s="19">
        <f t="shared" si="296"/>
        <v>0</v>
      </c>
      <c r="T2432" s="19">
        <f t="shared" si="300"/>
        <v>791832.99000000011</v>
      </c>
      <c r="U2432" s="19">
        <f t="shared" si="301"/>
        <v>856345.04</v>
      </c>
      <c r="V2432" s="21">
        <f t="shared" si="302"/>
        <v>64512.04999999993</v>
      </c>
      <c r="W2432" s="18">
        <f t="shared" si="303"/>
        <v>8.147178864068283E-2</v>
      </c>
    </row>
    <row r="2433" spans="1:23" x14ac:dyDescent="0.3">
      <c r="A2433" t="s">
        <v>464</v>
      </c>
      <c r="B2433" t="s">
        <v>2321</v>
      </c>
      <c r="C2433" t="s">
        <v>12</v>
      </c>
      <c r="D2433" t="s">
        <v>13</v>
      </c>
      <c r="E2433">
        <v>4046</v>
      </c>
      <c r="F2433">
        <v>156.52000000000001</v>
      </c>
      <c r="G2433">
        <v>150.09</v>
      </c>
      <c r="H2433">
        <v>156.52000000000001</v>
      </c>
      <c r="I2433">
        <v>3308</v>
      </c>
      <c r="J2433">
        <v>45</v>
      </c>
      <c r="K2433" s="17">
        <f t="shared" si="297"/>
        <v>4962</v>
      </c>
      <c r="L2433" t="str">
        <f t="shared" si="298"/>
        <v>High Risk</v>
      </c>
      <c r="P2433" s="19">
        <f t="shared" si="299"/>
        <v>916</v>
      </c>
      <c r="R2433" s="19">
        <f t="shared" si="296"/>
        <v>143372.32</v>
      </c>
      <c r="T2433" s="19">
        <f t="shared" si="300"/>
        <v>496497.72000000003</v>
      </c>
      <c r="U2433" s="19">
        <f t="shared" si="301"/>
        <v>517768.16000000003</v>
      </c>
      <c r="V2433" s="21">
        <f t="shared" si="302"/>
        <v>21270.440000000002</v>
      </c>
      <c r="W2433" s="18">
        <f t="shared" si="303"/>
        <v>4.2840962089413022E-2</v>
      </c>
    </row>
    <row r="2434" spans="1:23" x14ac:dyDescent="0.3">
      <c r="A2434" t="s">
        <v>509</v>
      </c>
      <c r="B2434" t="s">
        <v>1759</v>
      </c>
      <c r="C2434" t="s">
        <v>16</v>
      </c>
      <c r="D2434" t="s">
        <v>69</v>
      </c>
      <c r="E2434">
        <v>4047</v>
      </c>
      <c r="F2434">
        <v>299.85000000000002</v>
      </c>
      <c r="G2434">
        <v>257.52999999999997</v>
      </c>
      <c r="H2434">
        <v>299.85000000000002</v>
      </c>
      <c r="I2434">
        <v>2693</v>
      </c>
      <c r="J2434">
        <v>64</v>
      </c>
      <c r="K2434" s="17">
        <f t="shared" si="297"/>
        <v>5745.0666666666666</v>
      </c>
      <c r="L2434" t="str">
        <f t="shared" si="298"/>
        <v>High Risk</v>
      </c>
      <c r="P2434" s="19">
        <f t="shared" si="299"/>
        <v>1699</v>
      </c>
      <c r="R2434" s="19">
        <f t="shared" ref="R2434:R2497" si="304">P2434*H2434</f>
        <v>509445.15</v>
      </c>
      <c r="T2434" s="19">
        <f t="shared" si="300"/>
        <v>693528.28999999992</v>
      </c>
      <c r="U2434" s="19">
        <f t="shared" si="301"/>
        <v>807496.05</v>
      </c>
      <c r="V2434" s="21">
        <f t="shared" si="302"/>
        <v>113967.76000000013</v>
      </c>
      <c r="W2434" s="18">
        <f t="shared" si="303"/>
        <v>0.16433036927736594</v>
      </c>
    </row>
    <row r="2435" spans="1:23" x14ac:dyDescent="0.3">
      <c r="A2435" t="s">
        <v>1240</v>
      </c>
      <c r="B2435" t="s">
        <v>2507</v>
      </c>
      <c r="C2435" t="s">
        <v>23</v>
      </c>
      <c r="D2435" t="s">
        <v>17</v>
      </c>
      <c r="E2435">
        <v>4051</v>
      </c>
      <c r="F2435">
        <v>353.49</v>
      </c>
      <c r="G2435">
        <v>329.91</v>
      </c>
      <c r="H2435">
        <v>353.49</v>
      </c>
      <c r="I2435">
        <v>2577</v>
      </c>
      <c r="J2435">
        <v>59</v>
      </c>
      <c r="K2435" s="17">
        <f t="shared" ref="K2435:K2498" si="305">(I2435/30)*J2435</f>
        <v>5068.1000000000004</v>
      </c>
      <c r="L2435" t="str">
        <f t="shared" ref="L2435:L2498" si="306">IF(E2435&lt;K2435,"High Risk","Sufficuent Stock")</f>
        <v>High Risk</v>
      </c>
      <c r="P2435" s="19">
        <f t="shared" ref="P2435:P2498" si="307">ROUNDUP(MAX(0,K2435-E2435),0)</f>
        <v>1018</v>
      </c>
      <c r="R2435" s="19">
        <f t="shared" si="304"/>
        <v>359852.82</v>
      </c>
      <c r="T2435" s="19">
        <f t="shared" ref="T2435:T2498" si="308">I2435*G2435</f>
        <v>850178.07000000007</v>
      </c>
      <c r="U2435" s="19">
        <f t="shared" ref="U2435:U2498" si="309">I2435*H2435</f>
        <v>910943.73</v>
      </c>
      <c r="V2435" s="21">
        <f t="shared" ref="V2435:V2498" si="310">U2435-T2435</f>
        <v>60765.659999999916</v>
      </c>
      <c r="W2435" s="18">
        <f t="shared" ref="W2435:W2498" si="311">IFERROR(V2435/T2435,0)</f>
        <v>7.147403837410192E-2</v>
      </c>
    </row>
    <row r="2436" spans="1:23" x14ac:dyDescent="0.3">
      <c r="A2436" t="s">
        <v>759</v>
      </c>
      <c r="B2436" t="s">
        <v>2894</v>
      </c>
      <c r="C2436" t="s">
        <v>16</v>
      </c>
      <c r="D2436" t="s">
        <v>13</v>
      </c>
      <c r="E2436">
        <v>4052</v>
      </c>
      <c r="F2436">
        <v>72.069999999999993</v>
      </c>
      <c r="G2436">
        <v>61.28</v>
      </c>
      <c r="H2436">
        <v>72.069999999999993</v>
      </c>
      <c r="I2436">
        <v>2543</v>
      </c>
      <c r="J2436">
        <v>53</v>
      </c>
      <c r="K2436" s="17">
        <f t="shared" si="305"/>
        <v>4492.6333333333332</v>
      </c>
      <c r="L2436" t="str">
        <f t="shared" si="306"/>
        <v>High Risk</v>
      </c>
      <c r="P2436" s="19">
        <f t="shared" si="307"/>
        <v>441</v>
      </c>
      <c r="R2436" s="19">
        <f t="shared" si="304"/>
        <v>31782.869999999995</v>
      </c>
      <c r="T2436" s="19">
        <f t="shared" si="308"/>
        <v>155835.04</v>
      </c>
      <c r="U2436" s="19">
        <f t="shared" si="309"/>
        <v>183274.00999999998</v>
      </c>
      <c r="V2436" s="21">
        <f t="shared" si="310"/>
        <v>27438.969999999972</v>
      </c>
      <c r="W2436" s="18">
        <f t="shared" si="311"/>
        <v>0.17607702349869434</v>
      </c>
    </row>
    <row r="2437" spans="1:23" x14ac:dyDescent="0.3">
      <c r="A2437" t="s">
        <v>494</v>
      </c>
      <c r="B2437" t="s">
        <v>1266</v>
      </c>
      <c r="C2437" t="s">
        <v>37</v>
      </c>
      <c r="D2437" t="s">
        <v>17</v>
      </c>
      <c r="E2437">
        <v>4052</v>
      </c>
      <c r="F2437">
        <v>272.39999999999998</v>
      </c>
      <c r="G2437">
        <v>270.27</v>
      </c>
      <c r="H2437">
        <v>272.39999999999998</v>
      </c>
      <c r="I2437">
        <v>2505</v>
      </c>
      <c r="J2437">
        <v>30</v>
      </c>
      <c r="K2437" s="17">
        <f t="shared" si="305"/>
        <v>2505</v>
      </c>
      <c r="L2437" t="str">
        <f t="shared" si="306"/>
        <v>Sufficuent Stock</v>
      </c>
      <c r="P2437" s="19">
        <f t="shared" si="307"/>
        <v>0</v>
      </c>
      <c r="R2437" s="19">
        <f t="shared" si="304"/>
        <v>0</v>
      </c>
      <c r="T2437" s="19">
        <f t="shared" si="308"/>
        <v>677026.35</v>
      </c>
      <c r="U2437" s="19">
        <f t="shared" si="309"/>
        <v>682362</v>
      </c>
      <c r="V2437" s="21">
        <f t="shared" si="310"/>
        <v>5335.6500000000233</v>
      </c>
      <c r="W2437" s="18">
        <f t="shared" si="311"/>
        <v>7.8810078810079148E-3</v>
      </c>
    </row>
    <row r="2438" spans="1:23" x14ac:dyDescent="0.3">
      <c r="A2438" t="s">
        <v>136</v>
      </c>
      <c r="B2438" t="s">
        <v>1430</v>
      </c>
      <c r="C2438" t="s">
        <v>12</v>
      </c>
      <c r="D2438" t="s">
        <v>17</v>
      </c>
      <c r="E2438">
        <v>4053</v>
      </c>
      <c r="F2438">
        <v>36.81</v>
      </c>
      <c r="G2438">
        <v>40.630000000000003</v>
      </c>
      <c r="H2438">
        <v>36.81</v>
      </c>
      <c r="I2438">
        <v>2306</v>
      </c>
      <c r="J2438">
        <v>33</v>
      </c>
      <c r="K2438" s="17">
        <f t="shared" si="305"/>
        <v>2536.6</v>
      </c>
      <c r="L2438" t="str">
        <f t="shared" si="306"/>
        <v>Sufficuent Stock</v>
      </c>
      <c r="P2438" s="19">
        <f t="shared" si="307"/>
        <v>0</v>
      </c>
      <c r="R2438" s="19">
        <f t="shared" si="304"/>
        <v>0</v>
      </c>
      <c r="T2438" s="19">
        <f t="shared" si="308"/>
        <v>93692.78</v>
      </c>
      <c r="U2438" s="19">
        <f t="shared" si="309"/>
        <v>84883.86</v>
      </c>
      <c r="V2438" s="21">
        <f t="shared" si="310"/>
        <v>-8808.9199999999983</v>
      </c>
      <c r="W2438" s="18">
        <f t="shared" si="311"/>
        <v>-9.4019197637213864E-2</v>
      </c>
    </row>
    <row r="2439" spans="1:23" x14ac:dyDescent="0.3">
      <c r="A2439" t="s">
        <v>308</v>
      </c>
      <c r="B2439" t="s">
        <v>1398</v>
      </c>
      <c r="C2439" t="s">
        <v>23</v>
      </c>
      <c r="D2439" t="s">
        <v>13</v>
      </c>
      <c r="E2439">
        <v>4056</v>
      </c>
      <c r="F2439">
        <v>341.28</v>
      </c>
      <c r="G2439">
        <v>339.57</v>
      </c>
      <c r="H2439">
        <v>341.28</v>
      </c>
      <c r="I2439">
        <v>1950</v>
      </c>
      <c r="J2439">
        <v>21</v>
      </c>
      <c r="K2439" s="17">
        <f t="shared" si="305"/>
        <v>1365</v>
      </c>
      <c r="L2439" t="str">
        <f t="shared" si="306"/>
        <v>Sufficuent Stock</v>
      </c>
      <c r="P2439" s="19">
        <f t="shared" si="307"/>
        <v>0</v>
      </c>
      <c r="R2439" s="19">
        <f t="shared" si="304"/>
        <v>0</v>
      </c>
      <c r="T2439" s="19">
        <f t="shared" si="308"/>
        <v>662161.5</v>
      </c>
      <c r="U2439" s="19">
        <f t="shared" si="309"/>
        <v>665496</v>
      </c>
      <c r="V2439" s="21">
        <f t="shared" si="310"/>
        <v>3334.5</v>
      </c>
      <c r="W2439" s="18">
        <f t="shared" si="311"/>
        <v>5.0357805459846274E-3</v>
      </c>
    </row>
    <row r="2440" spans="1:23" x14ac:dyDescent="0.3">
      <c r="A2440" t="s">
        <v>1445</v>
      </c>
      <c r="B2440" t="s">
        <v>1577</v>
      </c>
      <c r="C2440" t="s">
        <v>37</v>
      </c>
      <c r="D2440" t="s">
        <v>17</v>
      </c>
      <c r="E2440">
        <v>4056</v>
      </c>
      <c r="F2440">
        <v>253.54</v>
      </c>
      <c r="G2440">
        <v>271.52</v>
      </c>
      <c r="H2440">
        <v>253.54</v>
      </c>
      <c r="I2440">
        <v>2960</v>
      </c>
      <c r="J2440">
        <v>52</v>
      </c>
      <c r="K2440" s="17">
        <f t="shared" si="305"/>
        <v>5130.666666666667</v>
      </c>
      <c r="L2440" t="str">
        <f t="shared" si="306"/>
        <v>High Risk</v>
      </c>
      <c r="P2440" s="19">
        <f t="shared" si="307"/>
        <v>1075</v>
      </c>
      <c r="R2440" s="19">
        <f t="shared" si="304"/>
        <v>272555.5</v>
      </c>
      <c r="T2440" s="19">
        <f t="shared" si="308"/>
        <v>803699.19999999995</v>
      </c>
      <c r="U2440" s="19">
        <f t="shared" si="309"/>
        <v>750478.4</v>
      </c>
      <c r="V2440" s="21">
        <f t="shared" si="310"/>
        <v>-53220.79999999993</v>
      </c>
      <c r="W2440" s="18">
        <f t="shared" si="311"/>
        <v>-6.6219799646434804E-2</v>
      </c>
    </row>
    <row r="2441" spans="1:23" x14ac:dyDescent="0.3">
      <c r="A2441" t="s">
        <v>562</v>
      </c>
      <c r="B2441" t="s">
        <v>3237</v>
      </c>
      <c r="C2441" t="s">
        <v>37</v>
      </c>
      <c r="D2441" t="s">
        <v>26</v>
      </c>
      <c r="E2441">
        <v>4057</v>
      </c>
      <c r="F2441">
        <v>242.51</v>
      </c>
      <c r="G2441">
        <v>256.19</v>
      </c>
      <c r="H2441">
        <v>242.51</v>
      </c>
      <c r="I2441">
        <v>269</v>
      </c>
      <c r="J2441">
        <v>47</v>
      </c>
      <c r="K2441" s="17">
        <f t="shared" si="305"/>
        <v>421.43333333333334</v>
      </c>
      <c r="L2441" t="str">
        <f t="shared" si="306"/>
        <v>Sufficuent Stock</v>
      </c>
      <c r="P2441" s="19">
        <f t="shared" si="307"/>
        <v>0</v>
      </c>
      <c r="R2441" s="19">
        <f t="shared" si="304"/>
        <v>0</v>
      </c>
      <c r="T2441" s="19">
        <f t="shared" si="308"/>
        <v>68915.11</v>
      </c>
      <c r="U2441" s="19">
        <f t="shared" si="309"/>
        <v>65235.189999999995</v>
      </c>
      <c r="V2441" s="21">
        <f t="shared" si="310"/>
        <v>-3679.9200000000055</v>
      </c>
      <c r="W2441" s="18">
        <f t="shared" si="311"/>
        <v>-5.3397868769272883E-2</v>
      </c>
    </row>
    <row r="2442" spans="1:23" x14ac:dyDescent="0.3">
      <c r="A2442" t="s">
        <v>82</v>
      </c>
      <c r="B2442" t="s">
        <v>1677</v>
      </c>
      <c r="C2442" t="s">
        <v>16</v>
      </c>
      <c r="D2442" t="s">
        <v>17</v>
      </c>
      <c r="E2442">
        <v>4057</v>
      </c>
      <c r="F2442">
        <v>378.43</v>
      </c>
      <c r="G2442">
        <v>344.74</v>
      </c>
      <c r="H2442">
        <v>378.43</v>
      </c>
      <c r="I2442">
        <v>3368</v>
      </c>
      <c r="J2442">
        <v>61</v>
      </c>
      <c r="K2442" s="17">
        <f t="shared" si="305"/>
        <v>6848.2666666666664</v>
      </c>
      <c r="L2442" t="str">
        <f t="shared" si="306"/>
        <v>High Risk</v>
      </c>
      <c r="P2442" s="19">
        <f t="shared" si="307"/>
        <v>2792</v>
      </c>
      <c r="R2442" s="19">
        <f t="shared" si="304"/>
        <v>1056576.56</v>
      </c>
      <c r="T2442" s="19">
        <f t="shared" si="308"/>
        <v>1161084.32</v>
      </c>
      <c r="U2442" s="19">
        <f t="shared" si="309"/>
        <v>1274552.24</v>
      </c>
      <c r="V2442" s="21">
        <f t="shared" si="310"/>
        <v>113467.91999999993</v>
      </c>
      <c r="W2442" s="18">
        <f t="shared" si="311"/>
        <v>9.7725822358879083E-2</v>
      </c>
    </row>
    <row r="2443" spans="1:23" x14ac:dyDescent="0.3">
      <c r="A2443" t="s">
        <v>340</v>
      </c>
      <c r="B2443" t="s">
        <v>3330</v>
      </c>
      <c r="C2443" t="s">
        <v>23</v>
      </c>
      <c r="D2443" t="s">
        <v>20</v>
      </c>
      <c r="E2443">
        <v>4058</v>
      </c>
      <c r="F2443">
        <v>122.12</v>
      </c>
      <c r="G2443">
        <v>130.38999999999999</v>
      </c>
      <c r="H2443">
        <v>122.12</v>
      </c>
      <c r="I2443">
        <v>2475</v>
      </c>
      <c r="J2443">
        <v>62</v>
      </c>
      <c r="K2443" s="17">
        <f t="shared" si="305"/>
        <v>5115</v>
      </c>
      <c r="L2443" t="str">
        <f t="shared" si="306"/>
        <v>High Risk</v>
      </c>
      <c r="P2443" s="19">
        <f t="shared" si="307"/>
        <v>1057</v>
      </c>
      <c r="R2443" s="19">
        <f t="shared" si="304"/>
        <v>129080.84000000001</v>
      </c>
      <c r="T2443" s="19">
        <f t="shared" si="308"/>
        <v>322715.24999999994</v>
      </c>
      <c r="U2443" s="19">
        <f t="shared" si="309"/>
        <v>302247</v>
      </c>
      <c r="V2443" s="21">
        <f t="shared" si="310"/>
        <v>-20468.249999999942</v>
      </c>
      <c r="W2443" s="18">
        <f t="shared" si="311"/>
        <v>-6.3425109287521875E-2</v>
      </c>
    </row>
    <row r="2444" spans="1:23" x14ac:dyDescent="0.3">
      <c r="A2444" t="s">
        <v>273</v>
      </c>
      <c r="B2444" t="s">
        <v>2548</v>
      </c>
      <c r="C2444" t="s">
        <v>23</v>
      </c>
      <c r="D2444" t="s">
        <v>13</v>
      </c>
      <c r="E2444">
        <v>4058</v>
      </c>
      <c r="F2444">
        <v>377.85</v>
      </c>
      <c r="G2444">
        <v>407.75</v>
      </c>
      <c r="H2444">
        <v>377.85</v>
      </c>
      <c r="I2444">
        <v>3824</v>
      </c>
      <c r="J2444">
        <v>22</v>
      </c>
      <c r="K2444" s="17">
        <f t="shared" si="305"/>
        <v>2804.2666666666669</v>
      </c>
      <c r="L2444" t="str">
        <f t="shared" si="306"/>
        <v>Sufficuent Stock</v>
      </c>
      <c r="P2444" s="19">
        <f t="shared" si="307"/>
        <v>0</v>
      </c>
      <c r="R2444" s="19">
        <f t="shared" si="304"/>
        <v>0</v>
      </c>
      <c r="T2444" s="19">
        <f t="shared" si="308"/>
        <v>1559236</v>
      </c>
      <c r="U2444" s="19">
        <f t="shared" si="309"/>
        <v>1444898.4000000001</v>
      </c>
      <c r="V2444" s="21">
        <f t="shared" si="310"/>
        <v>-114337.59999999986</v>
      </c>
      <c r="W2444" s="18">
        <f t="shared" si="311"/>
        <v>-7.3329245861434619E-2</v>
      </c>
    </row>
    <row r="2445" spans="1:23" x14ac:dyDescent="0.3">
      <c r="A2445" t="s">
        <v>400</v>
      </c>
      <c r="B2445" t="s">
        <v>1849</v>
      </c>
      <c r="C2445" t="s">
        <v>37</v>
      </c>
      <c r="D2445" t="s">
        <v>20</v>
      </c>
      <c r="E2445">
        <v>4061</v>
      </c>
      <c r="F2445">
        <v>428.65</v>
      </c>
      <c r="G2445">
        <v>362.27</v>
      </c>
      <c r="H2445">
        <v>428.65</v>
      </c>
      <c r="I2445">
        <v>1310</v>
      </c>
      <c r="J2445">
        <v>42</v>
      </c>
      <c r="K2445" s="17">
        <f t="shared" si="305"/>
        <v>1834</v>
      </c>
      <c r="L2445" t="str">
        <f t="shared" si="306"/>
        <v>Sufficuent Stock</v>
      </c>
      <c r="P2445" s="19">
        <f t="shared" si="307"/>
        <v>0</v>
      </c>
      <c r="R2445" s="19">
        <f t="shared" si="304"/>
        <v>0</v>
      </c>
      <c r="T2445" s="19">
        <f t="shared" si="308"/>
        <v>474573.69999999995</v>
      </c>
      <c r="U2445" s="19">
        <f t="shared" si="309"/>
        <v>561531.5</v>
      </c>
      <c r="V2445" s="21">
        <f t="shared" si="310"/>
        <v>86957.800000000047</v>
      </c>
      <c r="W2445" s="18">
        <f t="shared" si="311"/>
        <v>0.18323349987578338</v>
      </c>
    </row>
    <row r="2446" spans="1:23" x14ac:dyDescent="0.3">
      <c r="A2446" t="s">
        <v>654</v>
      </c>
      <c r="B2446" t="s">
        <v>3129</v>
      </c>
      <c r="C2446" t="s">
        <v>16</v>
      </c>
      <c r="D2446" t="s">
        <v>69</v>
      </c>
      <c r="E2446">
        <v>4064</v>
      </c>
      <c r="F2446">
        <v>426.27</v>
      </c>
      <c r="G2446">
        <v>431.7</v>
      </c>
      <c r="H2446">
        <v>426.27</v>
      </c>
      <c r="I2446">
        <v>3637</v>
      </c>
      <c r="J2446">
        <v>73</v>
      </c>
      <c r="K2446" s="17">
        <f t="shared" si="305"/>
        <v>8850.0333333333328</v>
      </c>
      <c r="L2446" t="str">
        <f t="shared" si="306"/>
        <v>High Risk</v>
      </c>
      <c r="P2446" s="19">
        <f t="shared" si="307"/>
        <v>4787</v>
      </c>
      <c r="R2446" s="19">
        <f t="shared" si="304"/>
        <v>2040554.49</v>
      </c>
      <c r="T2446" s="19">
        <f t="shared" si="308"/>
        <v>1570092.9</v>
      </c>
      <c r="U2446" s="19">
        <f t="shared" si="309"/>
        <v>1550343.99</v>
      </c>
      <c r="V2446" s="21">
        <f t="shared" si="310"/>
        <v>-19748.909999999916</v>
      </c>
      <c r="W2446" s="18">
        <f t="shared" si="311"/>
        <v>-1.2578179291174375E-2</v>
      </c>
    </row>
    <row r="2447" spans="1:23" x14ac:dyDescent="0.3">
      <c r="A2447" t="s">
        <v>541</v>
      </c>
      <c r="B2447" t="s">
        <v>1564</v>
      </c>
      <c r="C2447" t="s">
        <v>12</v>
      </c>
      <c r="D2447" t="s">
        <v>69</v>
      </c>
      <c r="E2447">
        <v>4066</v>
      </c>
      <c r="F2447">
        <v>159.07</v>
      </c>
      <c r="G2447">
        <v>136.59</v>
      </c>
      <c r="H2447">
        <v>159.07</v>
      </c>
      <c r="I2447">
        <v>574</v>
      </c>
      <c r="J2447">
        <v>64</v>
      </c>
      <c r="K2447" s="17">
        <f t="shared" si="305"/>
        <v>1224.5333333333333</v>
      </c>
      <c r="L2447" t="str">
        <f t="shared" si="306"/>
        <v>Sufficuent Stock</v>
      </c>
      <c r="P2447" s="19">
        <f t="shared" si="307"/>
        <v>0</v>
      </c>
      <c r="R2447" s="19">
        <f t="shared" si="304"/>
        <v>0</v>
      </c>
      <c r="T2447" s="19">
        <f t="shared" si="308"/>
        <v>78402.66</v>
      </c>
      <c r="U2447" s="19">
        <f t="shared" si="309"/>
        <v>91306.18</v>
      </c>
      <c r="V2447" s="21">
        <f t="shared" si="310"/>
        <v>12903.51999999999</v>
      </c>
      <c r="W2447" s="18">
        <f t="shared" si="311"/>
        <v>0.16458013031700697</v>
      </c>
    </row>
    <row r="2448" spans="1:23" x14ac:dyDescent="0.3">
      <c r="A2448" t="s">
        <v>732</v>
      </c>
      <c r="B2448" t="s">
        <v>2007</v>
      </c>
      <c r="C2448" t="s">
        <v>12</v>
      </c>
      <c r="D2448" t="s">
        <v>17</v>
      </c>
      <c r="E2448">
        <v>4068</v>
      </c>
      <c r="F2448">
        <v>136.41999999999999</v>
      </c>
      <c r="G2448">
        <v>125.45</v>
      </c>
      <c r="H2448">
        <v>136.41999999999999</v>
      </c>
      <c r="I2448">
        <v>1939</v>
      </c>
      <c r="J2448">
        <v>72</v>
      </c>
      <c r="K2448" s="17">
        <f t="shared" si="305"/>
        <v>4653.6000000000004</v>
      </c>
      <c r="L2448" t="str">
        <f t="shared" si="306"/>
        <v>High Risk</v>
      </c>
      <c r="P2448" s="19">
        <f t="shared" si="307"/>
        <v>586</v>
      </c>
      <c r="R2448" s="19">
        <f t="shared" si="304"/>
        <v>79942.12</v>
      </c>
      <c r="T2448" s="19">
        <f t="shared" si="308"/>
        <v>243247.55000000002</v>
      </c>
      <c r="U2448" s="19">
        <f t="shared" si="309"/>
        <v>264518.38</v>
      </c>
      <c r="V2448" s="21">
        <f t="shared" si="310"/>
        <v>21270.829999999987</v>
      </c>
      <c r="W2448" s="18">
        <f t="shared" si="311"/>
        <v>8.7445197289756818E-2</v>
      </c>
    </row>
    <row r="2449" spans="1:23" x14ac:dyDescent="0.3">
      <c r="A2449" t="s">
        <v>1010</v>
      </c>
      <c r="B2449" t="s">
        <v>1786</v>
      </c>
      <c r="C2449" t="s">
        <v>12</v>
      </c>
      <c r="D2449" t="s">
        <v>13</v>
      </c>
      <c r="E2449">
        <v>4069</v>
      </c>
      <c r="F2449">
        <v>457.2</v>
      </c>
      <c r="G2449">
        <v>449</v>
      </c>
      <c r="H2449">
        <v>457.2</v>
      </c>
      <c r="I2449">
        <v>880</v>
      </c>
      <c r="J2449">
        <v>6</v>
      </c>
      <c r="K2449" s="17">
        <f t="shared" si="305"/>
        <v>176</v>
      </c>
      <c r="L2449" t="str">
        <f t="shared" si="306"/>
        <v>Sufficuent Stock</v>
      </c>
      <c r="P2449" s="19">
        <f t="shared" si="307"/>
        <v>0</v>
      </c>
      <c r="R2449" s="19">
        <f t="shared" si="304"/>
        <v>0</v>
      </c>
      <c r="T2449" s="19">
        <f t="shared" si="308"/>
        <v>395120</v>
      </c>
      <c r="U2449" s="19">
        <f t="shared" si="309"/>
        <v>402336</v>
      </c>
      <c r="V2449" s="21">
        <f t="shared" si="310"/>
        <v>7216</v>
      </c>
      <c r="W2449" s="18">
        <f t="shared" si="311"/>
        <v>1.8262806236080179E-2</v>
      </c>
    </row>
    <row r="2450" spans="1:23" x14ac:dyDescent="0.3">
      <c r="A2450" t="s">
        <v>820</v>
      </c>
      <c r="B2450" t="s">
        <v>2647</v>
      </c>
      <c r="C2450" t="s">
        <v>37</v>
      </c>
      <c r="D2450" t="s">
        <v>17</v>
      </c>
      <c r="E2450">
        <v>4069</v>
      </c>
      <c r="F2450">
        <v>24.8</v>
      </c>
      <c r="G2450">
        <v>22.65</v>
      </c>
      <c r="H2450">
        <v>24.8</v>
      </c>
      <c r="I2450">
        <v>1334</v>
      </c>
      <c r="J2450">
        <v>51</v>
      </c>
      <c r="K2450" s="17">
        <f t="shared" si="305"/>
        <v>2267.8000000000002</v>
      </c>
      <c r="L2450" t="str">
        <f t="shared" si="306"/>
        <v>Sufficuent Stock</v>
      </c>
      <c r="P2450" s="19">
        <f t="shared" si="307"/>
        <v>0</v>
      </c>
      <c r="R2450" s="19">
        <f t="shared" si="304"/>
        <v>0</v>
      </c>
      <c r="T2450" s="19">
        <f t="shared" si="308"/>
        <v>30215.1</v>
      </c>
      <c r="U2450" s="19">
        <f t="shared" si="309"/>
        <v>33083.200000000004</v>
      </c>
      <c r="V2450" s="21">
        <f t="shared" si="310"/>
        <v>2868.1000000000058</v>
      </c>
      <c r="W2450" s="18">
        <f t="shared" si="311"/>
        <v>9.492273730684346E-2</v>
      </c>
    </row>
    <row r="2451" spans="1:23" x14ac:dyDescent="0.3">
      <c r="A2451" t="s">
        <v>157</v>
      </c>
      <c r="B2451" t="s">
        <v>158</v>
      </c>
      <c r="C2451" t="s">
        <v>50</v>
      </c>
      <c r="D2451" t="s">
        <v>69</v>
      </c>
      <c r="E2451">
        <v>4071</v>
      </c>
      <c r="F2451">
        <v>73.930000000000007</v>
      </c>
      <c r="G2451">
        <v>78.540000000000006</v>
      </c>
      <c r="H2451">
        <v>73.930000000000007</v>
      </c>
      <c r="I2451">
        <v>1903</v>
      </c>
      <c r="J2451">
        <v>21</v>
      </c>
      <c r="K2451" s="17">
        <f t="shared" si="305"/>
        <v>1332.1</v>
      </c>
      <c r="L2451" t="str">
        <f t="shared" si="306"/>
        <v>Sufficuent Stock</v>
      </c>
      <c r="P2451" s="19">
        <f t="shared" si="307"/>
        <v>0</v>
      </c>
      <c r="R2451" s="19">
        <f t="shared" si="304"/>
        <v>0</v>
      </c>
      <c r="T2451" s="19">
        <f t="shared" si="308"/>
        <v>149461.62000000002</v>
      </c>
      <c r="U2451" s="19">
        <f t="shared" si="309"/>
        <v>140688.79</v>
      </c>
      <c r="V2451" s="21">
        <f t="shared" si="310"/>
        <v>-8772.8300000000163</v>
      </c>
      <c r="W2451" s="18">
        <f t="shared" si="311"/>
        <v>-5.8696205755029381E-2</v>
      </c>
    </row>
    <row r="2452" spans="1:23" x14ac:dyDescent="0.3">
      <c r="A2452" t="s">
        <v>585</v>
      </c>
      <c r="B2452" t="s">
        <v>2427</v>
      </c>
      <c r="C2452" t="s">
        <v>16</v>
      </c>
      <c r="D2452" t="s">
        <v>20</v>
      </c>
      <c r="E2452">
        <v>4073</v>
      </c>
      <c r="F2452">
        <v>428.72</v>
      </c>
      <c r="G2452">
        <v>403.32</v>
      </c>
      <c r="H2452">
        <v>428.72</v>
      </c>
      <c r="I2452">
        <v>256</v>
      </c>
      <c r="J2452">
        <v>12</v>
      </c>
      <c r="K2452" s="17">
        <f t="shared" si="305"/>
        <v>102.4</v>
      </c>
      <c r="L2452" t="str">
        <f t="shared" si="306"/>
        <v>Sufficuent Stock</v>
      </c>
      <c r="P2452" s="19">
        <f t="shared" si="307"/>
        <v>0</v>
      </c>
      <c r="R2452" s="19">
        <f t="shared" si="304"/>
        <v>0</v>
      </c>
      <c r="T2452" s="19">
        <f t="shared" si="308"/>
        <v>103249.92</v>
      </c>
      <c r="U2452" s="19">
        <f t="shared" si="309"/>
        <v>109752.32000000001</v>
      </c>
      <c r="V2452" s="21">
        <f t="shared" si="310"/>
        <v>6502.4000000000087</v>
      </c>
      <c r="W2452" s="18">
        <f t="shared" si="311"/>
        <v>6.2977288505405224E-2</v>
      </c>
    </row>
    <row r="2453" spans="1:23" x14ac:dyDescent="0.3">
      <c r="A2453" t="s">
        <v>712</v>
      </c>
      <c r="B2453" t="s">
        <v>3383</v>
      </c>
      <c r="C2453" t="s">
        <v>50</v>
      </c>
      <c r="D2453" t="s">
        <v>69</v>
      </c>
      <c r="E2453">
        <v>4074</v>
      </c>
      <c r="F2453">
        <v>14.83</v>
      </c>
      <c r="G2453">
        <v>13.75</v>
      </c>
      <c r="H2453">
        <v>14.83</v>
      </c>
      <c r="I2453">
        <v>94</v>
      </c>
      <c r="J2453">
        <v>15</v>
      </c>
      <c r="K2453" s="17">
        <f t="shared" si="305"/>
        <v>47</v>
      </c>
      <c r="L2453" t="str">
        <f t="shared" si="306"/>
        <v>Sufficuent Stock</v>
      </c>
      <c r="P2453" s="19">
        <f t="shared" si="307"/>
        <v>0</v>
      </c>
      <c r="R2453" s="19">
        <f t="shared" si="304"/>
        <v>0</v>
      </c>
      <c r="T2453" s="19">
        <f t="shared" si="308"/>
        <v>1292.5</v>
      </c>
      <c r="U2453" s="19">
        <f t="shared" si="309"/>
        <v>1394.02</v>
      </c>
      <c r="V2453" s="21">
        <f t="shared" si="310"/>
        <v>101.51999999999998</v>
      </c>
      <c r="W2453" s="18">
        <f t="shared" si="311"/>
        <v>7.8545454545454529E-2</v>
      </c>
    </row>
    <row r="2454" spans="1:23" x14ac:dyDescent="0.3">
      <c r="A2454" t="s">
        <v>979</v>
      </c>
      <c r="B2454" t="s">
        <v>2791</v>
      </c>
      <c r="C2454" t="s">
        <v>23</v>
      </c>
      <c r="D2454" t="s">
        <v>26</v>
      </c>
      <c r="E2454">
        <v>4078</v>
      </c>
      <c r="F2454">
        <v>342.78</v>
      </c>
      <c r="G2454">
        <v>364.59</v>
      </c>
      <c r="H2454">
        <v>342.78</v>
      </c>
      <c r="I2454">
        <v>1023</v>
      </c>
      <c r="J2454">
        <v>69</v>
      </c>
      <c r="K2454" s="17">
        <f t="shared" si="305"/>
        <v>2352.9</v>
      </c>
      <c r="L2454" t="str">
        <f t="shared" si="306"/>
        <v>Sufficuent Stock</v>
      </c>
      <c r="P2454" s="19">
        <f t="shared" si="307"/>
        <v>0</v>
      </c>
      <c r="R2454" s="19">
        <f t="shared" si="304"/>
        <v>0</v>
      </c>
      <c r="T2454" s="19">
        <f t="shared" si="308"/>
        <v>372975.56999999995</v>
      </c>
      <c r="U2454" s="19">
        <f t="shared" si="309"/>
        <v>350663.93999999994</v>
      </c>
      <c r="V2454" s="21">
        <f t="shared" si="310"/>
        <v>-22311.630000000005</v>
      </c>
      <c r="W2454" s="18">
        <f t="shared" si="311"/>
        <v>-5.9820620422940861E-2</v>
      </c>
    </row>
    <row r="2455" spans="1:23" x14ac:dyDescent="0.3">
      <c r="A2455" t="s">
        <v>303</v>
      </c>
      <c r="B2455" t="s">
        <v>2588</v>
      </c>
      <c r="C2455" t="s">
        <v>16</v>
      </c>
      <c r="D2455" t="s">
        <v>26</v>
      </c>
      <c r="E2455">
        <v>4081</v>
      </c>
      <c r="F2455">
        <v>102.35</v>
      </c>
      <c r="G2455">
        <v>92.87</v>
      </c>
      <c r="H2455">
        <v>102.35</v>
      </c>
      <c r="I2455">
        <v>3128</v>
      </c>
      <c r="J2455">
        <v>66</v>
      </c>
      <c r="K2455" s="17">
        <f t="shared" si="305"/>
        <v>6881.6</v>
      </c>
      <c r="L2455" t="str">
        <f t="shared" si="306"/>
        <v>High Risk</v>
      </c>
      <c r="P2455" s="19">
        <f t="shared" si="307"/>
        <v>2801</v>
      </c>
      <c r="R2455" s="19">
        <f t="shared" si="304"/>
        <v>286682.34999999998</v>
      </c>
      <c r="T2455" s="19">
        <f t="shared" si="308"/>
        <v>290497.36</v>
      </c>
      <c r="U2455" s="19">
        <f t="shared" si="309"/>
        <v>320150.8</v>
      </c>
      <c r="V2455" s="21">
        <f t="shared" si="310"/>
        <v>29653.440000000002</v>
      </c>
      <c r="W2455" s="18">
        <f t="shared" si="311"/>
        <v>0.10207817379132121</v>
      </c>
    </row>
    <row r="2456" spans="1:23" x14ac:dyDescent="0.3">
      <c r="A2456" t="s">
        <v>220</v>
      </c>
      <c r="B2456" t="s">
        <v>1779</v>
      </c>
      <c r="C2456" t="s">
        <v>23</v>
      </c>
      <c r="D2456" t="s">
        <v>17</v>
      </c>
      <c r="E2456">
        <v>4083</v>
      </c>
      <c r="F2456">
        <v>415.06</v>
      </c>
      <c r="G2456">
        <v>361.47</v>
      </c>
      <c r="H2456">
        <v>415.06</v>
      </c>
      <c r="I2456">
        <v>1487</v>
      </c>
      <c r="J2456">
        <v>7</v>
      </c>
      <c r="K2456" s="17">
        <f t="shared" si="305"/>
        <v>346.9666666666667</v>
      </c>
      <c r="L2456" t="str">
        <f t="shared" si="306"/>
        <v>Sufficuent Stock</v>
      </c>
      <c r="P2456" s="19">
        <f t="shared" si="307"/>
        <v>0</v>
      </c>
      <c r="R2456" s="19">
        <f t="shared" si="304"/>
        <v>0</v>
      </c>
      <c r="T2456" s="19">
        <f t="shared" si="308"/>
        <v>537505.89</v>
      </c>
      <c r="U2456" s="19">
        <f t="shared" si="309"/>
        <v>617194.22</v>
      </c>
      <c r="V2456" s="21">
        <f t="shared" si="310"/>
        <v>79688.329999999958</v>
      </c>
      <c r="W2456" s="18">
        <f t="shared" si="311"/>
        <v>0.14825573353251992</v>
      </c>
    </row>
    <row r="2457" spans="1:23" x14ac:dyDescent="0.3">
      <c r="A2457" t="s">
        <v>376</v>
      </c>
      <c r="B2457" t="s">
        <v>835</v>
      </c>
      <c r="C2457" t="s">
        <v>50</v>
      </c>
      <c r="D2457" t="s">
        <v>26</v>
      </c>
      <c r="E2457">
        <v>4084</v>
      </c>
      <c r="F2457">
        <v>238.82</v>
      </c>
      <c r="G2457">
        <v>245.6</v>
      </c>
      <c r="H2457">
        <v>238.82</v>
      </c>
      <c r="I2457">
        <v>842</v>
      </c>
      <c r="J2457">
        <v>52</v>
      </c>
      <c r="K2457" s="17">
        <f t="shared" si="305"/>
        <v>1459.4666666666667</v>
      </c>
      <c r="L2457" t="str">
        <f t="shared" si="306"/>
        <v>Sufficuent Stock</v>
      </c>
      <c r="P2457" s="19">
        <f t="shared" si="307"/>
        <v>0</v>
      </c>
      <c r="R2457" s="19">
        <f t="shared" si="304"/>
        <v>0</v>
      </c>
      <c r="T2457" s="19">
        <f t="shared" si="308"/>
        <v>206795.19999999998</v>
      </c>
      <c r="U2457" s="19">
        <f t="shared" si="309"/>
        <v>201086.44</v>
      </c>
      <c r="V2457" s="21">
        <f t="shared" si="310"/>
        <v>-5708.7599999999802</v>
      </c>
      <c r="W2457" s="18">
        <f t="shared" si="311"/>
        <v>-2.7605863192182317E-2</v>
      </c>
    </row>
    <row r="2458" spans="1:23" x14ac:dyDescent="0.3">
      <c r="A2458" t="s">
        <v>927</v>
      </c>
      <c r="B2458" t="s">
        <v>1948</v>
      </c>
      <c r="C2458" t="s">
        <v>23</v>
      </c>
      <c r="D2458" t="s">
        <v>20</v>
      </c>
      <c r="E2458">
        <v>4088</v>
      </c>
      <c r="F2458">
        <v>415.8</v>
      </c>
      <c r="G2458">
        <v>421.11</v>
      </c>
      <c r="H2458">
        <v>415.8</v>
      </c>
      <c r="I2458">
        <v>3974</v>
      </c>
      <c r="J2458">
        <v>51</v>
      </c>
      <c r="K2458" s="17">
        <f t="shared" si="305"/>
        <v>6755.8</v>
      </c>
      <c r="L2458" t="str">
        <f t="shared" si="306"/>
        <v>High Risk</v>
      </c>
      <c r="P2458" s="19">
        <f t="shared" si="307"/>
        <v>2668</v>
      </c>
      <c r="R2458" s="19">
        <f t="shared" si="304"/>
        <v>1109354.4000000001</v>
      </c>
      <c r="T2458" s="19">
        <f t="shared" si="308"/>
        <v>1673491.1400000001</v>
      </c>
      <c r="U2458" s="19">
        <f t="shared" si="309"/>
        <v>1652389.2</v>
      </c>
      <c r="V2458" s="21">
        <f t="shared" si="310"/>
        <v>-21101.940000000177</v>
      </c>
      <c r="W2458" s="18">
        <f t="shared" si="311"/>
        <v>-1.2609531951271744E-2</v>
      </c>
    </row>
    <row r="2459" spans="1:23" x14ac:dyDescent="0.3">
      <c r="A2459" t="s">
        <v>1542</v>
      </c>
      <c r="B2459" t="s">
        <v>2628</v>
      </c>
      <c r="C2459" t="s">
        <v>12</v>
      </c>
      <c r="D2459" t="s">
        <v>17</v>
      </c>
      <c r="E2459">
        <v>4089</v>
      </c>
      <c r="F2459">
        <v>362.08</v>
      </c>
      <c r="G2459">
        <v>323.54000000000002</v>
      </c>
      <c r="H2459">
        <v>362.08</v>
      </c>
      <c r="I2459">
        <v>1132</v>
      </c>
      <c r="J2459">
        <v>54</v>
      </c>
      <c r="K2459" s="17">
        <f t="shared" si="305"/>
        <v>2037.6000000000001</v>
      </c>
      <c r="L2459" t="str">
        <f t="shared" si="306"/>
        <v>Sufficuent Stock</v>
      </c>
      <c r="P2459" s="19">
        <f t="shared" si="307"/>
        <v>0</v>
      </c>
      <c r="R2459" s="19">
        <f t="shared" si="304"/>
        <v>0</v>
      </c>
      <c r="T2459" s="19">
        <f t="shared" si="308"/>
        <v>366247.28</v>
      </c>
      <c r="U2459" s="19">
        <f t="shared" si="309"/>
        <v>409874.56</v>
      </c>
      <c r="V2459" s="21">
        <f t="shared" si="310"/>
        <v>43627.27999999997</v>
      </c>
      <c r="W2459" s="18">
        <f t="shared" si="311"/>
        <v>0.11911973789948684</v>
      </c>
    </row>
    <row r="2460" spans="1:23" x14ac:dyDescent="0.3">
      <c r="A2460" t="s">
        <v>127</v>
      </c>
      <c r="B2460" t="s">
        <v>248</v>
      </c>
      <c r="C2460" t="s">
        <v>50</v>
      </c>
      <c r="D2460" t="s">
        <v>17</v>
      </c>
      <c r="E2460">
        <v>4093</v>
      </c>
      <c r="F2460">
        <v>134.13</v>
      </c>
      <c r="G2460">
        <v>128.06</v>
      </c>
      <c r="H2460">
        <v>134.13</v>
      </c>
      <c r="I2460">
        <v>1014</v>
      </c>
      <c r="J2460">
        <v>83</v>
      </c>
      <c r="K2460" s="17">
        <f t="shared" si="305"/>
        <v>2805.3999999999996</v>
      </c>
      <c r="L2460" t="str">
        <f t="shared" si="306"/>
        <v>Sufficuent Stock</v>
      </c>
      <c r="P2460" s="19">
        <f t="shared" si="307"/>
        <v>0</v>
      </c>
      <c r="R2460" s="19">
        <f t="shared" si="304"/>
        <v>0</v>
      </c>
      <c r="T2460" s="19">
        <f t="shared" si="308"/>
        <v>129852.84</v>
      </c>
      <c r="U2460" s="19">
        <f t="shared" si="309"/>
        <v>136007.82</v>
      </c>
      <c r="V2460" s="21">
        <f t="shared" si="310"/>
        <v>6154.9800000000105</v>
      </c>
      <c r="W2460" s="18">
        <f t="shared" si="311"/>
        <v>4.7399656411057402E-2</v>
      </c>
    </row>
    <row r="2461" spans="1:23" x14ac:dyDescent="0.3">
      <c r="A2461" t="s">
        <v>92</v>
      </c>
      <c r="B2461" t="s">
        <v>1247</v>
      </c>
      <c r="C2461" t="s">
        <v>23</v>
      </c>
      <c r="D2461" t="s">
        <v>69</v>
      </c>
      <c r="E2461">
        <v>4096</v>
      </c>
      <c r="F2461">
        <v>41</v>
      </c>
      <c r="G2461">
        <v>43.29</v>
      </c>
      <c r="H2461">
        <v>41</v>
      </c>
      <c r="I2461">
        <v>448</v>
      </c>
      <c r="J2461">
        <v>41</v>
      </c>
      <c r="K2461" s="17">
        <f t="shared" si="305"/>
        <v>612.26666666666665</v>
      </c>
      <c r="L2461" t="str">
        <f t="shared" si="306"/>
        <v>Sufficuent Stock</v>
      </c>
      <c r="P2461" s="19">
        <f t="shared" si="307"/>
        <v>0</v>
      </c>
      <c r="R2461" s="19">
        <f t="shared" si="304"/>
        <v>0</v>
      </c>
      <c r="T2461" s="19">
        <f t="shared" si="308"/>
        <v>19393.919999999998</v>
      </c>
      <c r="U2461" s="19">
        <f t="shared" si="309"/>
        <v>18368</v>
      </c>
      <c r="V2461" s="21">
        <f t="shared" si="310"/>
        <v>-1025.9199999999983</v>
      </c>
      <c r="W2461" s="18">
        <f t="shared" si="311"/>
        <v>-5.2899052899052813E-2</v>
      </c>
    </row>
    <row r="2462" spans="1:23" x14ac:dyDescent="0.3">
      <c r="A2462" t="s">
        <v>331</v>
      </c>
      <c r="B2462" t="s">
        <v>3026</v>
      </c>
      <c r="C2462" t="s">
        <v>37</v>
      </c>
      <c r="D2462" t="s">
        <v>26</v>
      </c>
      <c r="E2462">
        <v>4097</v>
      </c>
      <c r="F2462">
        <v>71.39</v>
      </c>
      <c r="G2462">
        <v>64.83</v>
      </c>
      <c r="H2462">
        <v>71.39</v>
      </c>
      <c r="I2462">
        <v>2492</v>
      </c>
      <c r="J2462">
        <v>64</v>
      </c>
      <c r="K2462" s="17">
        <f t="shared" si="305"/>
        <v>5316.2666666666664</v>
      </c>
      <c r="L2462" t="str">
        <f t="shared" si="306"/>
        <v>High Risk</v>
      </c>
      <c r="P2462" s="19">
        <f t="shared" si="307"/>
        <v>1220</v>
      </c>
      <c r="R2462" s="19">
        <f t="shared" si="304"/>
        <v>87095.8</v>
      </c>
      <c r="T2462" s="19">
        <f t="shared" si="308"/>
        <v>161556.35999999999</v>
      </c>
      <c r="U2462" s="19">
        <f t="shared" si="309"/>
        <v>177903.88</v>
      </c>
      <c r="V2462" s="21">
        <f t="shared" si="310"/>
        <v>16347.520000000019</v>
      </c>
      <c r="W2462" s="18">
        <f t="shared" si="311"/>
        <v>0.10118772173376536</v>
      </c>
    </row>
    <row r="2463" spans="1:23" x14ac:dyDescent="0.3">
      <c r="A2463" t="s">
        <v>494</v>
      </c>
      <c r="B2463" t="s">
        <v>1529</v>
      </c>
      <c r="C2463" t="s">
        <v>50</v>
      </c>
      <c r="D2463" t="s">
        <v>17</v>
      </c>
      <c r="E2463">
        <v>4099</v>
      </c>
      <c r="F2463">
        <v>134.77000000000001</v>
      </c>
      <c r="G2463">
        <v>131.52000000000001</v>
      </c>
      <c r="H2463">
        <v>134.77000000000001</v>
      </c>
      <c r="I2463">
        <v>3348</v>
      </c>
      <c r="J2463">
        <v>38</v>
      </c>
      <c r="K2463" s="17">
        <f t="shared" si="305"/>
        <v>4240.8</v>
      </c>
      <c r="L2463" t="str">
        <f t="shared" si="306"/>
        <v>High Risk</v>
      </c>
      <c r="P2463" s="19">
        <f t="shared" si="307"/>
        <v>142</v>
      </c>
      <c r="R2463" s="19">
        <f t="shared" si="304"/>
        <v>19137.34</v>
      </c>
      <c r="T2463" s="19">
        <f t="shared" si="308"/>
        <v>440328.96000000002</v>
      </c>
      <c r="U2463" s="19">
        <f t="shared" si="309"/>
        <v>451209.96</v>
      </c>
      <c r="V2463" s="21">
        <f t="shared" si="310"/>
        <v>10881</v>
      </c>
      <c r="W2463" s="18">
        <f t="shared" si="311"/>
        <v>2.4711070559610703E-2</v>
      </c>
    </row>
    <row r="2464" spans="1:23" x14ac:dyDescent="0.3">
      <c r="A2464" t="s">
        <v>61</v>
      </c>
      <c r="B2464" t="s">
        <v>617</v>
      </c>
      <c r="C2464" t="s">
        <v>37</v>
      </c>
      <c r="D2464" t="s">
        <v>13</v>
      </c>
      <c r="E2464">
        <v>4100</v>
      </c>
      <c r="F2464">
        <v>220.83</v>
      </c>
      <c r="G2464">
        <v>240.06</v>
      </c>
      <c r="H2464">
        <v>220.83</v>
      </c>
      <c r="I2464">
        <v>1630</v>
      </c>
      <c r="J2464">
        <v>26</v>
      </c>
      <c r="K2464" s="17">
        <f t="shared" si="305"/>
        <v>1412.6666666666667</v>
      </c>
      <c r="L2464" t="str">
        <f t="shared" si="306"/>
        <v>Sufficuent Stock</v>
      </c>
      <c r="P2464" s="19">
        <f t="shared" si="307"/>
        <v>0</v>
      </c>
      <c r="R2464" s="19">
        <f t="shared" si="304"/>
        <v>0</v>
      </c>
      <c r="T2464" s="19">
        <f t="shared" si="308"/>
        <v>391297.8</v>
      </c>
      <c r="U2464" s="19">
        <f t="shared" si="309"/>
        <v>359952.9</v>
      </c>
      <c r="V2464" s="21">
        <f t="shared" si="310"/>
        <v>-31344.899999999965</v>
      </c>
      <c r="W2464" s="18">
        <f t="shared" si="311"/>
        <v>-8.0104973756560768E-2</v>
      </c>
    </row>
    <row r="2465" spans="1:23" x14ac:dyDescent="0.3">
      <c r="A2465" t="s">
        <v>416</v>
      </c>
      <c r="B2465" t="s">
        <v>1688</v>
      </c>
      <c r="C2465" t="s">
        <v>16</v>
      </c>
      <c r="D2465" t="s">
        <v>69</v>
      </c>
      <c r="E2465">
        <v>4101</v>
      </c>
      <c r="F2465">
        <v>321.37</v>
      </c>
      <c r="G2465">
        <v>280.35000000000002</v>
      </c>
      <c r="H2465">
        <v>321.37</v>
      </c>
      <c r="I2465">
        <v>1412</v>
      </c>
      <c r="J2465">
        <v>12</v>
      </c>
      <c r="K2465" s="17">
        <f t="shared" si="305"/>
        <v>564.80000000000007</v>
      </c>
      <c r="L2465" t="str">
        <f t="shared" si="306"/>
        <v>Sufficuent Stock</v>
      </c>
      <c r="P2465" s="19">
        <f t="shared" si="307"/>
        <v>0</v>
      </c>
      <c r="R2465" s="19">
        <f t="shared" si="304"/>
        <v>0</v>
      </c>
      <c r="T2465" s="19">
        <f t="shared" si="308"/>
        <v>395854.2</v>
      </c>
      <c r="U2465" s="19">
        <f t="shared" si="309"/>
        <v>453774.44</v>
      </c>
      <c r="V2465" s="21">
        <f t="shared" si="310"/>
        <v>57920.239999999991</v>
      </c>
      <c r="W2465" s="18">
        <f t="shared" si="311"/>
        <v>0.14631710362047437</v>
      </c>
    </row>
    <row r="2466" spans="1:23" x14ac:dyDescent="0.3">
      <c r="A2466" t="s">
        <v>464</v>
      </c>
      <c r="B2466" t="s">
        <v>2025</v>
      </c>
      <c r="C2466" t="s">
        <v>23</v>
      </c>
      <c r="D2466" t="s">
        <v>20</v>
      </c>
      <c r="E2466">
        <v>4102</v>
      </c>
      <c r="F2466">
        <v>16.579999999999998</v>
      </c>
      <c r="G2466">
        <v>16.79</v>
      </c>
      <c r="H2466">
        <v>16.579999999999998</v>
      </c>
      <c r="I2466">
        <v>939</v>
      </c>
      <c r="J2466">
        <v>89</v>
      </c>
      <c r="K2466" s="17">
        <f t="shared" si="305"/>
        <v>2785.7000000000003</v>
      </c>
      <c r="L2466" t="str">
        <f t="shared" si="306"/>
        <v>Sufficuent Stock</v>
      </c>
      <c r="P2466" s="19">
        <f t="shared" si="307"/>
        <v>0</v>
      </c>
      <c r="R2466" s="19">
        <f t="shared" si="304"/>
        <v>0</v>
      </c>
      <c r="T2466" s="19">
        <f t="shared" si="308"/>
        <v>15765.81</v>
      </c>
      <c r="U2466" s="19">
        <f t="shared" si="309"/>
        <v>15568.619999999999</v>
      </c>
      <c r="V2466" s="21">
        <f t="shared" si="310"/>
        <v>-197.19000000000051</v>
      </c>
      <c r="W2466" s="18">
        <f t="shared" si="311"/>
        <v>-1.2507444907683178E-2</v>
      </c>
    </row>
    <row r="2467" spans="1:23" x14ac:dyDescent="0.3">
      <c r="A2467" t="s">
        <v>306</v>
      </c>
      <c r="B2467" t="s">
        <v>1527</v>
      </c>
      <c r="C2467" t="s">
        <v>16</v>
      </c>
      <c r="D2467" t="s">
        <v>13</v>
      </c>
      <c r="E2467">
        <v>4103</v>
      </c>
      <c r="F2467">
        <v>467.49</v>
      </c>
      <c r="G2467">
        <v>455.33</v>
      </c>
      <c r="H2467">
        <v>467.49</v>
      </c>
      <c r="I2467">
        <v>2131</v>
      </c>
      <c r="J2467">
        <v>89</v>
      </c>
      <c r="K2467" s="17">
        <f t="shared" si="305"/>
        <v>6321.9666666666662</v>
      </c>
      <c r="L2467" t="str">
        <f t="shared" si="306"/>
        <v>High Risk</v>
      </c>
      <c r="P2467" s="19">
        <f t="shared" si="307"/>
        <v>2219</v>
      </c>
      <c r="R2467" s="19">
        <f t="shared" si="304"/>
        <v>1037360.31</v>
      </c>
      <c r="T2467" s="19">
        <f t="shared" si="308"/>
        <v>970308.23</v>
      </c>
      <c r="U2467" s="19">
        <f t="shared" si="309"/>
        <v>996221.19000000006</v>
      </c>
      <c r="V2467" s="21">
        <f t="shared" si="310"/>
        <v>25912.960000000079</v>
      </c>
      <c r="W2467" s="18">
        <f t="shared" si="311"/>
        <v>2.6705905606922535E-2</v>
      </c>
    </row>
    <row r="2468" spans="1:23" x14ac:dyDescent="0.3">
      <c r="A2468" t="s">
        <v>782</v>
      </c>
      <c r="B2468" t="s">
        <v>783</v>
      </c>
      <c r="C2468" t="s">
        <v>12</v>
      </c>
      <c r="D2468" t="s">
        <v>69</v>
      </c>
      <c r="E2468">
        <v>4105</v>
      </c>
      <c r="F2468">
        <v>82.91</v>
      </c>
      <c r="G2468">
        <v>73.95</v>
      </c>
      <c r="H2468">
        <v>82.91</v>
      </c>
      <c r="I2468">
        <v>1795</v>
      </c>
      <c r="J2468">
        <v>29</v>
      </c>
      <c r="K2468" s="17">
        <f t="shared" si="305"/>
        <v>1735.1666666666667</v>
      </c>
      <c r="L2468" t="str">
        <f t="shared" si="306"/>
        <v>Sufficuent Stock</v>
      </c>
      <c r="P2468" s="19">
        <f t="shared" si="307"/>
        <v>0</v>
      </c>
      <c r="R2468" s="19">
        <f t="shared" si="304"/>
        <v>0</v>
      </c>
      <c r="T2468" s="19">
        <f t="shared" si="308"/>
        <v>132740.25</v>
      </c>
      <c r="U2468" s="19">
        <f t="shared" si="309"/>
        <v>148823.44999999998</v>
      </c>
      <c r="V2468" s="21">
        <f t="shared" si="310"/>
        <v>16083.199999999983</v>
      </c>
      <c r="W2468" s="18">
        <f t="shared" si="311"/>
        <v>0.12116294793779568</v>
      </c>
    </row>
    <row r="2469" spans="1:23" x14ac:dyDescent="0.3">
      <c r="A2469" t="s">
        <v>238</v>
      </c>
      <c r="B2469" t="s">
        <v>2903</v>
      </c>
      <c r="C2469" t="s">
        <v>37</v>
      </c>
      <c r="D2469" t="s">
        <v>13</v>
      </c>
      <c r="E2469">
        <v>4105</v>
      </c>
      <c r="F2469">
        <v>270.8</v>
      </c>
      <c r="G2469">
        <v>290.42</v>
      </c>
      <c r="H2469">
        <v>270.8</v>
      </c>
      <c r="I2469">
        <v>769</v>
      </c>
      <c r="J2469">
        <v>12</v>
      </c>
      <c r="K2469" s="17">
        <f t="shared" si="305"/>
        <v>307.60000000000002</v>
      </c>
      <c r="L2469" t="str">
        <f t="shared" si="306"/>
        <v>Sufficuent Stock</v>
      </c>
      <c r="P2469" s="19">
        <f t="shared" si="307"/>
        <v>0</v>
      </c>
      <c r="R2469" s="19">
        <f t="shared" si="304"/>
        <v>0</v>
      </c>
      <c r="T2469" s="19">
        <f t="shared" si="308"/>
        <v>223332.98</v>
      </c>
      <c r="U2469" s="19">
        <f t="shared" si="309"/>
        <v>208245.2</v>
      </c>
      <c r="V2469" s="21">
        <f t="shared" si="310"/>
        <v>-15087.779999999999</v>
      </c>
      <c r="W2469" s="18">
        <f t="shared" si="311"/>
        <v>-6.7557330762344187E-2</v>
      </c>
    </row>
    <row r="2470" spans="1:23" x14ac:dyDescent="0.3">
      <c r="A2470" t="s">
        <v>659</v>
      </c>
      <c r="B2470" t="s">
        <v>2080</v>
      </c>
      <c r="C2470" t="s">
        <v>37</v>
      </c>
      <c r="D2470" t="s">
        <v>17</v>
      </c>
      <c r="E2470">
        <v>4106</v>
      </c>
      <c r="F2470">
        <v>16.28</v>
      </c>
      <c r="G2470">
        <v>16.43</v>
      </c>
      <c r="H2470">
        <v>16.28</v>
      </c>
      <c r="I2470">
        <v>3737</v>
      </c>
      <c r="J2470">
        <v>73</v>
      </c>
      <c r="K2470" s="17">
        <f t="shared" si="305"/>
        <v>9093.3666666666668</v>
      </c>
      <c r="L2470" t="str">
        <f t="shared" si="306"/>
        <v>High Risk</v>
      </c>
      <c r="P2470" s="19">
        <f t="shared" si="307"/>
        <v>4988</v>
      </c>
      <c r="R2470" s="19">
        <f t="shared" si="304"/>
        <v>81204.639999999999</v>
      </c>
      <c r="T2470" s="19">
        <f t="shared" si="308"/>
        <v>61398.909999999996</v>
      </c>
      <c r="U2470" s="19">
        <f t="shared" si="309"/>
        <v>60838.360000000008</v>
      </c>
      <c r="V2470" s="21">
        <f t="shared" si="310"/>
        <v>-560.54999999998836</v>
      </c>
      <c r="W2470" s="18">
        <f t="shared" si="311"/>
        <v>-9.1296409007910473E-3</v>
      </c>
    </row>
    <row r="2471" spans="1:23" x14ac:dyDescent="0.3">
      <c r="A2471" t="s">
        <v>1060</v>
      </c>
      <c r="B2471" t="s">
        <v>1331</v>
      </c>
      <c r="C2471" t="s">
        <v>23</v>
      </c>
      <c r="D2471" t="s">
        <v>69</v>
      </c>
      <c r="E2471">
        <v>4107</v>
      </c>
      <c r="F2471">
        <v>451.17</v>
      </c>
      <c r="G2471">
        <v>485.61</v>
      </c>
      <c r="H2471">
        <v>451.17</v>
      </c>
      <c r="I2471">
        <v>1517</v>
      </c>
      <c r="J2471">
        <v>10</v>
      </c>
      <c r="K2471" s="17">
        <f t="shared" si="305"/>
        <v>505.66666666666669</v>
      </c>
      <c r="L2471" t="str">
        <f t="shared" si="306"/>
        <v>Sufficuent Stock</v>
      </c>
      <c r="P2471" s="19">
        <f t="shared" si="307"/>
        <v>0</v>
      </c>
      <c r="R2471" s="19">
        <f t="shared" si="304"/>
        <v>0</v>
      </c>
      <c r="T2471" s="19">
        <f t="shared" si="308"/>
        <v>736670.37</v>
      </c>
      <c r="U2471" s="19">
        <f t="shared" si="309"/>
        <v>684424.89</v>
      </c>
      <c r="V2471" s="21">
        <f t="shared" si="310"/>
        <v>-52245.479999999981</v>
      </c>
      <c r="W2471" s="18">
        <f t="shared" si="311"/>
        <v>-7.0921109532340737E-2</v>
      </c>
    </row>
    <row r="2472" spans="1:23" x14ac:dyDescent="0.3">
      <c r="A2472" t="s">
        <v>416</v>
      </c>
      <c r="B2472" t="s">
        <v>1824</v>
      </c>
      <c r="C2472" t="s">
        <v>16</v>
      </c>
      <c r="D2472" t="s">
        <v>26</v>
      </c>
      <c r="E2472">
        <v>4109</v>
      </c>
      <c r="F2472">
        <v>361.04</v>
      </c>
      <c r="G2472">
        <v>346.36</v>
      </c>
      <c r="H2472">
        <v>361.04</v>
      </c>
      <c r="I2472">
        <v>1960</v>
      </c>
      <c r="J2472">
        <v>26</v>
      </c>
      <c r="K2472" s="17">
        <f t="shared" si="305"/>
        <v>1698.6666666666665</v>
      </c>
      <c r="L2472" t="str">
        <f t="shared" si="306"/>
        <v>Sufficuent Stock</v>
      </c>
      <c r="P2472" s="19">
        <f t="shared" si="307"/>
        <v>0</v>
      </c>
      <c r="R2472" s="19">
        <f t="shared" si="304"/>
        <v>0</v>
      </c>
      <c r="T2472" s="19">
        <f t="shared" si="308"/>
        <v>678865.6</v>
      </c>
      <c r="U2472" s="19">
        <f t="shared" si="309"/>
        <v>707638.4</v>
      </c>
      <c r="V2472" s="21">
        <f t="shared" si="310"/>
        <v>28772.800000000047</v>
      </c>
      <c r="W2472" s="18">
        <f t="shared" si="311"/>
        <v>4.2383647072410276E-2</v>
      </c>
    </row>
    <row r="2473" spans="1:23" x14ac:dyDescent="0.3">
      <c r="A2473" t="s">
        <v>1146</v>
      </c>
      <c r="B2473" t="s">
        <v>2795</v>
      </c>
      <c r="C2473" t="s">
        <v>37</v>
      </c>
      <c r="D2473" t="s">
        <v>20</v>
      </c>
      <c r="E2473">
        <v>4109</v>
      </c>
      <c r="F2473">
        <v>456.05</v>
      </c>
      <c r="G2473">
        <v>494.17</v>
      </c>
      <c r="H2473">
        <v>456.05</v>
      </c>
      <c r="I2473">
        <v>2860</v>
      </c>
      <c r="J2473">
        <v>31</v>
      </c>
      <c r="K2473" s="17">
        <f t="shared" si="305"/>
        <v>2955.333333333333</v>
      </c>
      <c r="L2473" t="str">
        <f t="shared" si="306"/>
        <v>Sufficuent Stock</v>
      </c>
      <c r="P2473" s="19">
        <f t="shared" si="307"/>
        <v>0</v>
      </c>
      <c r="R2473" s="19">
        <f t="shared" si="304"/>
        <v>0</v>
      </c>
      <c r="T2473" s="19">
        <f t="shared" si="308"/>
        <v>1413326.2</v>
      </c>
      <c r="U2473" s="19">
        <f t="shared" si="309"/>
        <v>1304303</v>
      </c>
      <c r="V2473" s="21">
        <f t="shared" si="310"/>
        <v>-109023.19999999995</v>
      </c>
      <c r="W2473" s="18">
        <f t="shared" si="311"/>
        <v>-7.7139445939656368E-2</v>
      </c>
    </row>
    <row r="2474" spans="1:23" x14ac:dyDescent="0.3">
      <c r="A2474" t="s">
        <v>233</v>
      </c>
      <c r="B2474" t="s">
        <v>1707</v>
      </c>
      <c r="C2474" t="s">
        <v>23</v>
      </c>
      <c r="D2474" t="s">
        <v>13</v>
      </c>
      <c r="E2474">
        <v>4110</v>
      </c>
      <c r="F2474">
        <v>234.55</v>
      </c>
      <c r="G2474">
        <v>235.07</v>
      </c>
      <c r="H2474">
        <v>234.55</v>
      </c>
      <c r="I2474">
        <v>1536</v>
      </c>
      <c r="J2474">
        <v>11</v>
      </c>
      <c r="K2474" s="17">
        <f t="shared" si="305"/>
        <v>563.20000000000005</v>
      </c>
      <c r="L2474" t="str">
        <f t="shared" si="306"/>
        <v>Sufficuent Stock</v>
      </c>
      <c r="P2474" s="19">
        <f t="shared" si="307"/>
        <v>0</v>
      </c>
      <c r="R2474" s="19">
        <f t="shared" si="304"/>
        <v>0</v>
      </c>
      <c r="T2474" s="19">
        <f t="shared" si="308"/>
        <v>361067.52000000002</v>
      </c>
      <c r="U2474" s="19">
        <f t="shared" si="309"/>
        <v>360268.80000000005</v>
      </c>
      <c r="V2474" s="21">
        <f t="shared" si="310"/>
        <v>-798.71999999997206</v>
      </c>
      <c r="W2474" s="18">
        <f t="shared" si="311"/>
        <v>-2.2121070319478528E-3</v>
      </c>
    </row>
    <row r="2475" spans="1:23" x14ac:dyDescent="0.3">
      <c r="A2475" t="s">
        <v>755</v>
      </c>
      <c r="B2475" t="s">
        <v>2763</v>
      </c>
      <c r="C2475" t="s">
        <v>12</v>
      </c>
      <c r="D2475" t="s">
        <v>13</v>
      </c>
      <c r="E2475">
        <v>4112</v>
      </c>
      <c r="F2475">
        <v>402.58</v>
      </c>
      <c r="G2475">
        <v>404.22</v>
      </c>
      <c r="H2475">
        <v>402.58</v>
      </c>
      <c r="I2475">
        <v>1248</v>
      </c>
      <c r="J2475">
        <v>41</v>
      </c>
      <c r="K2475" s="17">
        <f t="shared" si="305"/>
        <v>1705.6000000000001</v>
      </c>
      <c r="L2475" t="str">
        <f t="shared" si="306"/>
        <v>Sufficuent Stock</v>
      </c>
      <c r="P2475" s="19">
        <f t="shared" si="307"/>
        <v>0</v>
      </c>
      <c r="R2475" s="19">
        <f t="shared" si="304"/>
        <v>0</v>
      </c>
      <c r="T2475" s="19">
        <f t="shared" si="308"/>
        <v>504466.56000000006</v>
      </c>
      <c r="U2475" s="19">
        <f t="shared" si="309"/>
        <v>502419.83999999997</v>
      </c>
      <c r="V2475" s="21">
        <f t="shared" si="310"/>
        <v>-2046.7200000000885</v>
      </c>
      <c r="W2475" s="18">
        <f t="shared" si="311"/>
        <v>-4.0571965761220892E-3</v>
      </c>
    </row>
    <row r="2476" spans="1:23" x14ac:dyDescent="0.3">
      <c r="A2476" t="s">
        <v>559</v>
      </c>
      <c r="B2476" t="s">
        <v>2950</v>
      </c>
      <c r="C2476" t="s">
        <v>23</v>
      </c>
      <c r="D2476" t="s">
        <v>20</v>
      </c>
      <c r="E2476">
        <v>4115</v>
      </c>
      <c r="F2476">
        <v>176.53</v>
      </c>
      <c r="G2476">
        <v>157.19</v>
      </c>
      <c r="H2476">
        <v>176.53</v>
      </c>
      <c r="I2476">
        <v>543</v>
      </c>
      <c r="J2476">
        <v>57</v>
      </c>
      <c r="K2476" s="17">
        <f t="shared" si="305"/>
        <v>1031.7</v>
      </c>
      <c r="L2476" t="str">
        <f t="shared" si="306"/>
        <v>Sufficuent Stock</v>
      </c>
      <c r="P2476" s="19">
        <f t="shared" si="307"/>
        <v>0</v>
      </c>
      <c r="R2476" s="19">
        <f t="shared" si="304"/>
        <v>0</v>
      </c>
      <c r="T2476" s="19">
        <f t="shared" si="308"/>
        <v>85354.17</v>
      </c>
      <c r="U2476" s="19">
        <f t="shared" si="309"/>
        <v>95855.79</v>
      </c>
      <c r="V2476" s="21">
        <f t="shared" si="310"/>
        <v>10501.619999999995</v>
      </c>
      <c r="W2476" s="18">
        <f t="shared" si="311"/>
        <v>0.12303581652776889</v>
      </c>
    </row>
    <row r="2477" spans="1:23" x14ac:dyDescent="0.3">
      <c r="A2477" t="s">
        <v>427</v>
      </c>
      <c r="B2477" t="s">
        <v>428</v>
      </c>
      <c r="C2477" t="s">
        <v>23</v>
      </c>
      <c r="D2477" t="s">
        <v>69</v>
      </c>
      <c r="E2477">
        <v>4116</v>
      </c>
      <c r="F2477">
        <v>277.95</v>
      </c>
      <c r="G2477">
        <v>262.94</v>
      </c>
      <c r="H2477">
        <v>277.95</v>
      </c>
      <c r="I2477">
        <v>2577</v>
      </c>
      <c r="J2477">
        <v>36</v>
      </c>
      <c r="K2477" s="17">
        <f t="shared" si="305"/>
        <v>3092.4</v>
      </c>
      <c r="L2477" t="str">
        <f t="shared" si="306"/>
        <v>Sufficuent Stock</v>
      </c>
      <c r="P2477" s="19">
        <f t="shared" si="307"/>
        <v>0</v>
      </c>
      <c r="R2477" s="19">
        <f t="shared" si="304"/>
        <v>0</v>
      </c>
      <c r="T2477" s="19">
        <f t="shared" si="308"/>
        <v>677596.38</v>
      </c>
      <c r="U2477" s="19">
        <f t="shared" si="309"/>
        <v>716277.15</v>
      </c>
      <c r="V2477" s="21">
        <f t="shared" si="310"/>
        <v>38680.770000000019</v>
      </c>
      <c r="W2477" s="18">
        <f t="shared" si="311"/>
        <v>5.7085266600745442E-2</v>
      </c>
    </row>
    <row r="2478" spans="1:23" x14ac:dyDescent="0.3">
      <c r="A2478" t="s">
        <v>801</v>
      </c>
      <c r="B2478" t="s">
        <v>900</v>
      </c>
      <c r="C2478" t="s">
        <v>12</v>
      </c>
      <c r="D2478" t="s">
        <v>20</v>
      </c>
      <c r="E2478">
        <v>4116</v>
      </c>
      <c r="F2478">
        <v>58.39</v>
      </c>
      <c r="G2478">
        <v>49.68</v>
      </c>
      <c r="H2478">
        <v>58.39</v>
      </c>
      <c r="I2478">
        <v>532</v>
      </c>
      <c r="J2478">
        <v>81</v>
      </c>
      <c r="K2478" s="17">
        <f t="shared" si="305"/>
        <v>1436.4</v>
      </c>
      <c r="L2478" t="str">
        <f t="shared" si="306"/>
        <v>Sufficuent Stock</v>
      </c>
      <c r="P2478" s="19">
        <f t="shared" si="307"/>
        <v>0</v>
      </c>
      <c r="R2478" s="19">
        <f t="shared" si="304"/>
        <v>0</v>
      </c>
      <c r="T2478" s="19">
        <f t="shared" si="308"/>
        <v>26429.759999999998</v>
      </c>
      <c r="U2478" s="19">
        <f t="shared" si="309"/>
        <v>31063.48</v>
      </c>
      <c r="V2478" s="21">
        <f t="shared" si="310"/>
        <v>4633.7200000000012</v>
      </c>
      <c r="W2478" s="18">
        <f t="shared" si="311"/>
        <v>0.17532206119162647</v>
      </c>
    </row>
    <row r="2479" spans="1:23" x14ac:dyDescent="0.3">
      <c r="A2479" t="s">
        <v>1273</v>
      </c>
      <c r="B2479" t="s">
        <v>1979</v>
      </c>
      <c r="C2479" t="s">
        <v>37</v>
      </c>
      <c r="D2479" t="s">
        <v>26</v>
      </c>
      <c r="E2479">
        <v>4119</v>
      </c>
      <c r="F2479">
        <v>164.09</v>
      </c>
      <c r="G2479">
        <v>142.19999999999999</v>
      </c>
      <c r="H2479">
        <v>164.09</v>
      </c>
      <c r="I2479">
        <v>1547</v>
      </c>
      <c r="J2479">
        <v>70</v>
      </c>
      <c r="K2479" s="17">
        <f t="shared" si="305"/>
        <v>3609.666666666667</v>
      </c>
      <c r="L2479" t="str">
        <f t="shared" si="306"/>
        <v>Sufficuent Stock</v>
      </c>
      <c r="P2479" s="19">
        <f t="shared" si="307"/>
        <v>0</v>
      </c>
      <c r="R2479" s="19">
        <f t="shared" si="304"/>
        <v>0</v>
      </c>
      <c r="T2479" s="19">
        <f t="shared" si="308"/>
        <v>219983.4</v>
      </c>
      <c r="U2479" s="19">
        <f t="shared" si="309"/>
        <v>253847.23</v>
      </c>
      <c r="V2479" s="21">
        <f t="shared" si="310"/>
        <v>33863.830000000016</v>
      </c>
      <c r="W2479" s="18">
        <f t="shared" si="311"/>
        <v>0.15393811533052046</v>
      </c>
    </row>
    <row r="2480" spans="1:23" x14ac:dyDescent="0.3">
      <c r="A2480" t="s">
        <v>535</v>
      </c>
      <c r="B2480" t="s">
        <v>536</v>
      </c>
      <c r="C2480" t="s">
        <v>37</v>
      </c>
      <c r="D2480" t="s">
        <v>69</v>
      </c>
      <c r="E2480">
        <v>4122</v>
      </c>
      <c r="F2480">
        <v>207.55</v>
      </c>
      <c r="G2480">
        <v>214.38</v>
      </c>
      <c r="H2480">
        <v>207.55</v>
      </c>
      <c r="I2480">
        <v>2188</v>
      </c>
      <c r="J2480">
        <v>25</v>
      </c>
      <c r="K2480" s="17">
        <f t="shared" si="305"/>
        <v>1823.3333333333335</v>
      </c>
      <c r="L2480" t="str">
        <f t="shared" si="306"/>
        <v>Sufficuent Stock</v>
      </c>
      <c r="P2480" s="19">
        <f t="shared" si="307"/>
        <v>0</v>
      </c>
      <c r="R2480" s="19">
        <f t="shared" si="304"/>
        <v>0</v>
      </c>
      <c r="T2480" s="19">
        <f t="shared" si="308"/>
        <v>469063.44</v>
      </c>
      <c r="U2480" s="19">
        <f t="shared" si="309"/>
        <v>454119.4</v>
      </c>
      <c r="V2480" s="21">
        <f t="shared" si="310"/>
        <v>-14944.039999999979</v>
      </c>
      <c r="W2480" s="18">
        <f t="shared" si="311"/>
        <v>-3.1859315234630051E-2</v>
      </c>
    </row>
    <row r="2481" spans="1:23" x14ac:dyDescent="0.3">
      <c r="A2481" t="s">
        <v>424</v>
      </c>
      <c r="B2481" t="s">
        <v>963</v>
      </c>
      <c r="C2481" t="s">
        <v>37</v>
      </c>
      <c r="D2481" t="s">
        <v>69</v>
      </c>
      <c r="E2481">
        <v>4123</v>
      </c>
      <c r="F2481">
        <v>230.97</v>
      </c>
      <c r="G2481">
        <v>192.55</v>
      </c>
      <c r="H2481">
        <v>230.97</v>
      </c>
      <c r="I2481">
        <v>1453</v>
      </c>
      <c r="J2481">
        <v>70</v>
      </c>
      <c r="K2481" s="17">
        <f t="shared" si="305"/>
        <v>3390.333333333333</v>
      </c>
      <c r="L2481" t="str">
        <f t="shared" si="306"/>
        <v>Sufficuent Stock</v>
      </c>
      <c r="P2481" s="19">
        <f t="shared" si="307"/>
        <v>0</v>
      </c>
      <c r="R2481" s="19">
        <f t="shared" si="304"/>
        <v>0</v>
      </c>
      <c r="T2481" s="19">
        <f t="shared" si="308"/>
        <v>279775.15000000002</v>
      </c>
      <c r="U2481" s="19">
        <f t="shared" si="309"/>
        <v>335599.41</v>
      </c>
      <c r="V2481" s="21">
        <f t="shared" si="310"/>
        <v>55824.259999999951</v>
      </c>
      <c r="W2481" s="18">
        <f t="shared" si="311"/>
        <v>0.19953258893793802</v>
      </c>
    </row>
    <row r="2482" spans="1:23" x14ac:dyDescent="0.3">
      <c r="A2482" t="s">
        <v>10</v>
      </c>
      <c r="B2482" t="s">
        <v>2708</v>
      </c>
      <c r="C2482" t="s">
        <v>16</v>
      </c>
      <c r="D2482" t="s">
        <v>20</v>
      </c>
      <c r="E2482">
        <v>4125</v>
      </c>
      <c r="F2482">
        <v>116.32</v>
      </c>
      <c r="G2482">
        <v>119.42</v>
      </c>
      <c r="H2482">
        <v>116.32</v>
      </c>
      <c r="I2482">
        <v>2125</v>
      </c>
      <c r="J2482">
        <v>70</v>
      </c>
      <c r="K2482" s="17">
        <f t="shared" si="305"/>
        <v>4958.333333333333</v>
      </c>
      <c r="L2482" t="str">
        <f t="shared" si="306"/>
        <v>High Risk</v>
      </c>
      <c r="P2482" s="19">
        <f t="shared" si="307"/>
        <v>834</v>
      </c>
      <c r="R2482" s="19">
        <f t="shared" si="304"/>
        <v>97010.87999999999</v>
      </c>
      <c r="T2482" s="19">
        <f t="shared" si="308"/>
        <v>253767.5</v>
      </c>
      <c r="U2482" s="19">
        <f t="shared" si="309"/>
        <v>247180</v>
      </c>
      <c r="V2482" s="21">
        <f t="shared" si="310"/>
        <v>-6587.5</v>
      </c>
      <c r="W2482" s="18">
        <f t="shared" si="311"/>
        <v>-2.59588008708759E-2</v>
      </c>
    </row>
    <row r="2483" spans="1:23" x14ac:dyDescent="0.3">
      <c r="A2483" t="s">
        <v>395</v>
      </c>
      <c r="B2483" t="s">
        <v>2726</v>
      </c>
      <c r="C2483" t="s">
        <v>37</v>
      </c>
      <c r="D2483" t="s">
        <v>17</v>
      </c>
      <c r="E2483">
        <v>4128</v>
      </c>
      <c r="F2483">
        <v>334.72</v>
      </c>
      <c r="G2483">
        <v>304.8</v>
      </c>
      <c r="H2483">
        <v>334.72</v>
      </c>
      <c r="I2483">
        <v>2906</v>
      </c>
      <c r="J2483">
        <v>73</v>
      </c>
      <c r="K2483" s="17">
        <f t="shared" si="305"/>
        <v>7071.2666666666664</v>
      </c>
      <c r="L2483" t="str">
        <f t="shared" si="306"/>
        <v>High Risk</v>
      </c>
      <c r="P2483" s="19">
        <f t="shared" si="307"/>
        <v>2944</v>
      </c>
      <c r="R2483" s="19">
        <f t="shared" si="304"/>
        <v>985415.68000000005</v>
      </c>
      <c r="T2483" s="19">
        <f t="shared" si="308"/>
        <v>885748.8</v>
      </c>
      <c r="U2483" s="19">
        <f t="shared" si="309"/>
        <v>972696.32000000007</v>
      </c>
      <c r="V2483" s="21">
        <f t="shared" si="310"/>
        <v>86947.520000000019</v>
      </c>
      <c r="W2483" s="18">
        <f t="shared" si="311"/>
        <v>9.8162729658792663E-2</v>
      </c>
    </row>
    <row r="2484" spans="1:23" x14ac:dyDescent="0.3">
      <c r="A2484" t="s">
        <v>857</v>
      </c>
      <c r="B2484" t="s">
        <v>858</v>
      </c>
      <c r="C2484" t="s">
        <v>50</v>
      </c>
      <c r="D2484" t="s">
        <v>26</v>
      </c>
      <c r="E2484">
        <v>4128</v>
      </c>
      <c r="F2484">
        <v>323.97000000000003</v>
      </c>
      <c r="G2484">
        <v>318.93</v>
      </c>
      <c r="H2484">
        <v>323.97000000000003</v>
      </c>
      <c r="I2484">
        <v>2168</v>
      </c>
      <c r="J2484">
        <v>44</v>
      </c>
      <c r="K2484" s="17">
        <f t="shared" si="305"/>
        <v>3179.7333333333331</v>
      </c>
      <c r="L2484" t="str">
        <f t="shared" si="306"/>
        <v>Sufficuent Stock</v>
      </c>
      <c r="P2484" s="19">
        <f t="shared" si="307"/>
        <v>0</v>
      </c>
      <c r="R2484" s="19">
        <f t="shared" si="304"/>
        <v>0</v>
      </c>
      <c r="T2484" s="19">
        <f t="shared" si="308"/>
        <v>691440.24</v>
      </c>
      <c r="U2484" s="19">
        <f t="shared" si="309"/>
        <v>702366.96000000008</v>
      </c>
      <c r="V2484" s="21">
        <f t="shared" si="310"/>
        <v>10926.720000000088</v>
      </c>
      <c r="W2484" s="18">
        <f t="shared" si="311"/>
        <v>1.5802840748753773E-2</v>
      </c>
    </row>
    <row r="2485" spans="1:23" x14ac:dyDescent="0.3">
      <c r="A2485" t="s">
        <v>573</v>
      </c>
      <c r="B2485" t="s">
        <v>574</v>
      </c>
      <c r="C2485" t="s">
        <v>12</v>
      </c>
      <c r="D2485" t="s">
        <v>20</v>
      </c>
      <c r="E2485">
        <v>4129</v>
      </c>
      <c r="F2485">
        <v>588.28</v>
      </c>
      <c r="G2485">
        <v>499.99</v>
      </c>
      <c r="H2485">
        <v>588.28</v>
      </c>
      <c r="I2485">
        <v>1294</v>
      </c>
      <c r="J2485">
        <v>57</v>
      </c>
      <c r="K2485" s="17">
        <f t="shared" si="305"/>
        <v>2458.6</v>
      </c>
      <c r="L2485" t="str">
        <f t="shared" si="306"/>
        <v>Sufficuent Stock</v>
      </c>
      <c r="P2485" s="19">
        <f t="shared" si="307"/>
        <v>0</v>
      </c>
      <c r="R2485" s="19">
        <f t="shared" si="304"/>
        <v>0</v>
      </c>
      <c r="T2485" s="19">
        <f t="shared" si="308"/>
        <v>646987.06000000006</v>
      </c>
      <c r="U2485" s="19">
        <f t="shared" si="309"/>
        <v>761234.32</v>
      </c>
      <c r="V2485" s="21">
        <f t="shared" si="310"/>
        <v>114247.25999999989</v>
      </c>
      <c r="W2485" s="18">
        <f t="shared" si="311"/>
        <v>0.17658353167063323</v>
      </c>
    </row>
    <row r="2486" spans="1:23" x14ac:dyDescent="0.3">
      <c r="A2486" t="s">
        <v>444</v>
      </c>
      <c r="B2486" t="s">
        <v>486</v>
      </c>
      <c r="C2486" t="s">
        <v>50</v>
      </c>
      <c r="D2486" t="s">
        <v>26</v>
      </c>
      <c r="E2486">
        <v>4131</v>
      </c>
      <c r="F2486">
        <v>442.88</v>
      </c>
      <c r="G2486">
        <v>386.47</v>
      </c>
      <c r="H2486">
        <v>442.88</v>
      </c>
      <c r="I2486">
        <v>306</v>
      </c>
      <c r="J2486">
        <v>69</v>
      </c>
      <c r="K2486" s="17">
        <f t="shared" si="305"/>
        <v>703.8</v>
      </c>
      <c r="L2486" t="str">
        <f t="shared" si="306"/>
        <v>Sufficuent Stock</v>
      </c>
      <c r="P2486" s="19">
        <f t="shared" si="307"/>
        <v>0</v>
      </c>
      <c r="R2486" s="19">
        <f t="shared" si="304"/>
        <v>0</v>
      </c>
      <c r="T2486" s="19">
        <f t="shared" si="308"/>
        <v>118259.82</v>
      </c>
      <c r="U2486" s="19">
        <f t="shared" si="309"/>
        <v>135521.28</v>
      </c>
      <c r="V2486" s="21">
        <f t="shared" si="310"/>
        <v>17261.459999999992</v>
      </c>
      <c r="W2486" s="18">
        <f t="shared" si="311"/>
        <v>0.14596217041426235</v>
      </c>
    </row>
    <row r="2487" spans="1:23" x14ac:dyDescent="0.3">
      <c r="A2487" t="s">
        <v>644</v>
      </c>
      <c r="B2487" t="s">
        <v>1504</v>
      </c>
      <c r="C2487" t="s">
        <v>12</v>
      </c>
      <c r="D2487" t="s">
        <v>26</v>
      </c>
      <c r="E2487">
        <v>4131</v>
      </c>
      <c r="F2487">
        <v>417.11</v>
      </c>
      <c r="G2487">
        <v>402.52</v>
      </c>
      <c r="H2487">
        <v>417.11</v>
      </c>
      <c r="I2487">
        <v>3584</v>
      </c>
      <c r="J2487">
        <v>78</v>
      </c>
      <c r="K2487" s="17">
        <f t="shared" si="305"/>
        <v>9318.4</v>
      </c>
      <c r="L2487" t="str">
        <f t="shared" si="306"/>
        <v>High Risk</v>
      </c>
      <c r="P2487" s="19">
        <f t="shared" si="307"/>
        <v>5188</v>
      </c>
      <c r="R2487" s="19">
        <f t="shared" si="304"/>
        <v>2163966.6800000002</v>
      </c>
      <c r="T2487" s="19">
        <f t="shared" si="308"/>
        <v>1442631.6799999999</v>
      </c>
      <c r="U2487" s="19">
        <f t="shared" si="309"/>
        <v>1494922.24</v>
      </c>
      <c r="V2487" s="21">
        <f t="shared" si="310"/>
        <v>52290.560000000056</v>
      </c>
      <c r="W2487" s="18">
        <f t="shared" si="311"/>
        <v>3.6246646129384913E-2</v>
      </c>
    </row>
    <row r="2488" spans="1:23" x14ac:dyDescent="0.3">
      <c r="A2488" t="s">
        <v>1148</v>
      </c>
      <c r="B2488" t="s">
        <v>1149</v>
      </c>
      <c r="C2488" t="s">
        <v>23</v>
      </c>
      <c r="D2488" t="s">
        <v>13</v>
      </c>
      <c r="E2488">
        <v>4131</v>
      </c>
      <c r="F2488">
        <v>190.3</v>
      </c>
      <c r="G2488">
        <v>195.8</v>
      </c>
      <c r="H2488">
        <v>190.3</v>
      </c>
      <c r="I2488">
        <v>3592</v>
      </c>
      <c r="J2488">
        <v>36</v>
      </c>
      <c r="K2488" s="17">
        <f t="shared" si="305"/>
        <v>4310.3999999999996</v>
      </c>
      <c r="L2488" t="str">
        <f t="shared" si="306"/>
        <v>High Risk</v>
      </c>
      <c r="P2488" s="19">
        <f t="shared" si="307"/>
        <v>180</v>
      </c>
      <c r="R2488" s="19">
        <f t="shared" si="304"/>
        <v>34254</v>
      </c>
      <c r="T2488" s="19">
        <f t="shared" si="308"/>
        <v>703313.60000000009</v>
      </c>
      <c r="U2488" s="19">
        <f t="shared" si="309"/>
        <v>683557.60000000009</v>
      </c>
      <c r="V2488" s="21">
        <f t="shared" si="310"/>
        <v>-19756</v>
      </c>
      <c r="W2488" s="18">
        <f t="shared" si="311"/>
        <v>-2.8089887640449434E-2</v>
      </c>
    </row>
    <row r="2489" spans="1:23" x14ac:dyDescent="0.3">
      <c r="A2489" t="s">
        <v>132</v>
      </c>
      <c r="B2489" t="s">
        <v>170</v>
      </c>
      <c r="C2489" t="s">
        <v>37</v>
      </c>
      <c r="D2489" t="s">
        <v>26</v>
      </c>
      <c r="E2489">
        <v>4132</v>
      </c>
      <c r="F2489">
        <v>471.9</v>
      </c>
      <c r="G2489">
        <v>404.01</v>
      </c>
      <c r="H2489">
        <v>471.9</v>
      </c>
      <c r="I2489">
        <v>3543</v>
      </c>
      <c r="J2489">
        <v>39</v>
      </c>
      <c r="K2489" s="17">
        <f t="shared" si="305"/>
        <v>4605.8999999999996</v>
      </c>
      <c r="L2489" t="str">
        <f t="shared" si="306"/>
        <v>High Risk</v>
      </c>
      <c r="P2489" s="19">
        <f t="shared" si="307"/>
        <v>474</v>
      </c>
      <c r="R2489" s="19">
        <f t="shared" si="304"/>
        <v>223680.59999999998</v>
      </c>
      <c r="T2489" s="19">
        <f t="shared" si="308"/>
        <v>1431407.43</v>
      </c>
      <c r="U2489" s="19">
        <f t="shared" si="309"/>
        <v>1671941.7</v>
      </c>
      <c r="V2489" s="21">
        <f t="shared" si="310"/>
        <v>240534.27000000002</v>
      </c>
      <c r="W2489" s="18">
        <f t="shared" si="311"/>
        <v>0.16804039503972676</v>
      </c>
    </row>
    <row r="2490" spans="1:23" x14ac:dyDescent="0.3">
      <c r="A2490" t="s">
        <v>349</v>
      </c>
      <c r="B2490" t="s">
        <v>1770</v>
      </c>
      <c r="C2490" t="s">
        <v>12</v>
      </c>
      <c r="D2490" t="s">
        <v>13</v>
      </c>
      <c r="E2490">
        <v>4136</v>
      </c>
      <c r="F2490">
        <v>519.41</v>
      </c>
      <c r="G2490">
        <v>455.64</v>
      </c>
      <c r="H2490">
        <v>519.41</v>
      </c>
      <c r="I2490">
        <v>3005</v>
      </c>
      <c r="J2490">
        <v>90</v>
      </c>
      <c r="K2490" s="17">
        <f t="shared" si="305"/>
        <v>9015</v>
      </c>
      <c r="L2490" t="str">
        <f t="shared" si="306"/>
        <v>High Risk</v>
      </c>
      <c r="P2490" s="19">
        <f t="shared" si="307"/>
        <v>4879</v>
      </c>
      <c r="R2490" s="19">
        <f t="shared" si="304"/>
        <v>2534201.3899999997</v>
      </c>
      <c r="T2490" s="19">
        <f t="shared" si="308"/>
        <v>1369198.2</v>
      </c>
      <c r="U2490" s="19">
        <f t="shared" si="309"/>
        <v>1560827.0499999998</v>
      </c>
      <c r="V2490" s="21">
        <f t="shared" si="310"/>
        <v>191628.84999999986</v>
      </c>
      <c r="W2490" s="18">
        <f t="shared" si="311"/>
        <v>0.13995698358353076</v>
      </c>
    </row>
    <row r="2491" spans="1:23" x14ac:dyDescent="0.3">
      <c r="A2491" t="s">
        <v>290</v>
      </c>
      <c r="B2491" t="s">
        <v>2417</v>
      </c>
      <c r="C2491" t="s">
        <v>37</v>
      </c>
      <c r="D2491" t="s">
        <v>17</v>
      </c>
      <c r="E2491">
        <v>4138</v>
      </c>
      <c r="F2491">
        <v>58.81</v>
      </c>
      <c r="G2491">
        <v>52.98</v>
      </c>
      <c r="H2491">
        <v>58.81</v>
      </c>
      <c r="I2491">
        <v>3349</v>
      </c>
      <c r="J2491">
        <v>7</v>
      </c>
      <c r="K2491" s="17">
        <f t="shared" si="305"/>
        <v>781.43333333333339</v>
      </c>
      <c r="L2491" t="str">
        <f t="shared" si="306"/>
        <v>Sufficuent Stock</v>
      </c>
      <c r="P2491" s="19">
        <f t="shared" si="307"/>
        <v>0</v>
      </c>
      <c r="R2491" s="19">
        <f t="shared" si="304"/>
        <v>0</v>
      </c>
      <c r="T2491" s="19">
        <f t="shared" si="308"/>
        <v>177430.02</v>
      </c>
      <c r="U2491" s="19">
        <f t="shared" si="309"/>
        <v>196954.69</v>
      </c>
      <c r="V2491" s="21">
        <f t="shared" si="310"/>
        <v>19524.670000000013</v>
      </c>
      <c r="W2491" s="18">
        <f t="shared" si="311"/>
        <v>0.11004152510381283</v>
      </c>
    </row>
    <row r="2492" spans="1:23" x14ac:dyDescent="0.3">
      <c r="A2492" t="s">
        <v>352</v>
      </c>
      <c r="B2492" t="s">
        <v>353</v>
      </c>
      <c r="C2492" t="s">
        <v>12</v>
      </c>
      <c r="D2492" t="s">
        <v>26</v>
      </c>
      <c r="E2492">
        <v>4141</v>
      </c>
      <c r="F2492">
        <v>178.06</v>
      </c>
      <c r="G2492">
        <v>151.02000000000001</v>
      </c>
      <c r="H2492">
        <v>178.06</v>
      </c>
      <c r="I2492">
        <v>1710</v>
      </c>
      <c r="J2492">
        <v>22</v>
      </c>
      <c r="K2492" s="17">
        <f t="shared" si="305"/>
        <v>1254</v>
      </c>
      <c r="L2492" t="str">
        <f t="shared" si="306"/>
        <v>Sufficuent Stock</v>
      </c>
      <c r="P2492" s="19">
        <f t="shared" si="307"/>
        <v>0</v>
      </c>
      <c r="R2492" s="19">
        <f t="shared" si="304"/>
        <v>0</v>
      </c>
      <c r="T2492" s="19">
        <f t="shared" si="308"/>
        <v>258244.2</v>
      </c>
      <c r="U2492" s="19">
        <f t="shared" si="309"/>
        <v>304482.59999999998</v>
      </c>
      <c r="V2492" s="21">
        <f t="shared" si="310"/>
        <v>46238.399999999965</v>
      </c>
      <c r="W2492" s="18">
        <f t="shared" si="311"/>
        <v>0.17904913256522301</v>
      </c>
    </row>
    <row r="2493" spans="1:23" x14ac:dyDescent="0.3">
      <c r="A2493" t="s">
        <v>917</v>
      </c>
      <c r="B2493" t="s">
        <v>1957</v>
      </c>
      <c r="C2493" t="s">
        <v>50</v>
      </c>
      <c r="D2493" t="s">
        <v>13</v>
      </c>
      <c r="E2493">
        <v>4142</v>
      </c>
      <c r="F2493">
        <v>460.33</v>
      </c>
      <c r="G2493">
        <v>465.1</v>
      </c>
      <c r="H2493">
        <v>460.33</v>
      </c>
      <c r="I2493">
        <v>1044</v>
      </c>
      <c r="J2493">
        <v>30</v>
      </c>
      <c r="K2493" s="17">
        <f t="shared" si="305"/>
        <v>1044</v>
      </c>
      <c r="L2493" t="str">
        <f t="shared" si="306"/>
        <v>Sufficuent Stock</v>
      </c>
      <c r="P2493" s="19">
        <f t="shared" si="307"/>
        <v>0</v>
      </c>
      <c r="R2493" s="19">
        <f t="shared" si="304"/>
        <v>0</v>
      </c>
      <c r="T2493" s="19">
        <f t="shared" si="308"/>
        <v>485564.4</v>
      </c>
      <c r="U2493" s="19">
        <f t="shared" si="309"/>
        <v>480584.51999999996</v>
      </c>
      <c r="V2493" s="21">
        <f t="shared" si="310"/>
        <v>-4979.8800000000629</v>
      </c>
      <c r="W2493" s="18">
        <f t="shared" si="311"/>
        <v>-1.0255858955063556E-2</v>
      </c>
    </row>
    <row r="2494" spans="1:23" x14ac:dyDescent="0.3">
      <c r="A2494" t="s">
        <v>1113</v>
      </c>
      <c r="B2494" t="s">
        <v>1722</v>
      </c>
      <c r="C2494" t="s">
        <v>16</v>
      </c>
      <c r="D2494" t="s">
        <v>13</v>
      </c>
      <c r="E2494">
        <v>4144</v>
      </c>
      <c r="F2494">
        <v>388.2</v>
      </c>
      <c r="G2494">
        <v>389.39</v>
      </c>
      <c r="H2494">
        <v>388.2</v>
      </c>
      <c r="I2494">
        <v>1306</v>
      </c>
      <c r="J2494">
        <v>24</v>
      </c>
      <c r="K2494" s="17">
        <f t="shared" si="305"/>
        <v>1044.8</v>
      </c>
      <c r="L2494" t="str">
        <f t="shared" si="306"/>
        <v>Sufficuent Stock</v>
      </c>
      <c r="P2494" s="19">
        <f t="shared" si="307"/>
        <v>0</v>
      </c>
      <c r="R2494" s="19">
        <f t="shared" si="304"/>
        <v>0</v>
      </c>
      <c r="T2494" s="19">
        <f t="shared" si="308"/>
        <v>508543.33999999997</v>
      </c>
      <c r="U2494" s="19">
        <f t="shared" si="309"/>
        <v>506989.2</v>
      </c>
      <c r="V2494" s="21">
        <f t="shared" si="310"/>
        <v>-1554.1399999999558</v>
      </c>
      <c r="W2494" s="18">
        <f t="shared" si="311"/>
        <v>-3.0560620457638003E-3</v>
      </c>
    </row>
    <row r="2495" spans="1:23" x14ac:dyDescent="0.3">
      <c r="A2495" t="s">
        <v>14</v>
      </c>
      <c r="B2495" t="s">
        <v>2998</v>
      </c>
      <c r="C2495" t="s">
        <v>50</v>
      </c>
      <c r="D2495" t="s">
        <v>20</v>
      </c>
      <c r="E2495">
        <v>4144</v>
      </c>
      <c r="F2495">
        <v>294.77</v>
      </c>
      <c r="G2495">
        <v>295.16000000000003</v>
      </c>
      <c r="H2495">
        <v>294.77</v>
      </c>
      <c r="I2495">
        <v>3427</v>
      </c>
      <c r="J2495">
        <v>32</v>
      </c>
      <c r="K2495" s="17">
        <f t="shared" si="305"/>
        <v>3655.4666666666667</v>
      </c>
      <c r="L2495" t="str">
        <f t="shared" si="306"/>
        <v>Sufficuent Stock</v>
      </c>
      <c r="P2495" s="19">
        <f t="shared" si="307"/>
        <v>0</v>
      </c>
      <c r="R2495" s="19">
        <f t="shared" si="304"/>
        <v>0</v>
      </c>
      <c r="T2495" s="19">
        <f t="shared" si="308"/>
        <v>1011513.3200000001</v>
      </c>
      <c r="U2495" s="19">
        <f t="shared" si="309"/>
        <v>1010176.7899999999</v>
      </c>
      <c r="V2495" s="21">
        <f t="shared" si="310"/>
        <v>-1336.5300000001444</v>
      </c>
      <c r="W2495" s="18">
        <f t="shared" si="311"/>
        <v>-1.3213172516602593E-3</v>
      </c>
    </row>
    <row r="2496" spans="1:23" x14ac:dyDescent="0.3">
      <c r="A2496" t="s">
        <v>143</v>
      </c>
      <c r="B2496" t="s">
        <v>806</v>
      </c>
      <c r="C2496" t="s">
        <v>23</v>
      </c>
      <c r="D2496" t="s">
        <v>20</v>
      </c>
      <c r="E2496">
        <v>4146</v>
      </c>
      <c r="F2496">
        <v>165.22</v>
      </c>
      <c r="G2496">
        <v>178.96</v>
      </c>
      <c r="H2496">
        <v>165.22</v>
      </c>
      <c r="I2496">
        <v>334</v>
      </c>
      <c r="J2496">
        <v>39</v>
      </c>
      <c r="K2496" s="17">
        <f t="shared" si="305"/>
        <v>434.2</v>
      </c>
      <c r="L2496" t="str">
        <f t="shared" si="306"/>
        <v>Sufficuent Stock</v>
      </c>
      <c r="P2496" s="19">
        <f t="shared" si="307"/>
        <v>0</v>
      </c>
      <c r="R2496" s="19">
        <f t="shared" si="304"/>
        <v>0</v>
      </c>
      <c r="T2496" s="19">
        <f t="shared" si="308"/>
        <v>59772.639999999999</v>
      </c>
      <c r="U2496" s="19">
        <f t="shared" si="309"/>
        <v>55183.48</v>
      </c>
      <c r="V2496" s="21">
        <f t="shared" si="310"/>
        <v>-4589.1599999999962</v>
      </c>
      <c r="W2496" s="18">
        <f t="shared" si="311"/>
        <v>-7.6776933392936911E-2</v>
      </c>
    </row>
    <row r="2497" spans="1:23" x14ac:dyDescent="0.3">
      <c r="A2497" t="s">
        <v>416</v>
      </c>
      <c r="B2497" t="s">
        <v>973</v>
      </c>
      <c r="C2497" t="s">
        <v>23</v>
      </c>
      <c r="D2497" t="s">
        <v>20</v>
      </c>
      <c r="E2497">
        <v>4147</v>
      </c>
      <c r="F2497">
        <v>515.30999999999995</v>
      </c>
      <c r="G2497">
        <v>461.42</v>
      </c>
      <c r="H2497">
        <v>515.30999999999995</v>
      </c>
      <c r="I2497">
        <v>1816</v>
      </c>
      <c r="J2497">
        <v>33</v>
      </c>
      <c r="K2497" s="17">
        <f t="shared" si="305"/>
        <v>1997.6</v>
      </c>
      <c r="L2497" t="str">
        <f t="shared" si="306"/>
        <v>Sufficuent Stock</v>
      </c>
      <c r="P2497" s="19">
        <f t="shared" si="307"/>
        <v>0</v>
      </c>
      <c r="R2497" s="19">
        <f t="shared" si="304"/>
        <v>0</v>
      </c>
      <c r="T2497" s="19">
        <f t="shared" si="308"/>
        <v>837938.72</v>
      </c>
      <c r="U2497" s="19">
        <f t="shared" si="309"/>
        <v>935802.95999999985</v>
      </c>
      <c r="V2497" s="21">
        <f t="shared" si="310"/>
        <v>97864.239999999874</v>
      </c>
      <c r="W2497" s="18">
        <f t="shared" si="311"/>
        <v>0.11679164318841821</v>
      </c>
    </row>
    <row r="2498" spans="1:23" x14ac:dyDescent="0.3">
      <c r="A2498" t="s">
        <v>107</v>
      </c>
      <c r="B2498" t="s">
        <v>1832</v>
      </c>
      <c r="C2498" t="s">
        <v>37</v>
      </c>
      <c r="D2498" t="s">
        <v>13</v>
      </c>
      <c r="E2498">
        <v>4148</v>
      </c>
      <c r="F2498">
        <v>420.83</v>
      </c>
      <c r="G2498">
        <v>428.39</v>
      </c>
      <c r="H2498">
        <v>420.83</v>
      </c>
      <c r="I2498">
        <v>2398</v>
      </c>
      <c r="J2498">
        <v>20</v>
      </c>
      <c r="K2498" s="17">
        <f t="shared" si="305"/>
        <v>1598.6666666666667</v>
      </c>
      <c r="L2498" t="str">
        <f t="shared" si="306"/>
        <v>Sufficuent Stock</v>
      </c>
      <c r="P2498" s="19">
        <f t="shared" si="307"/>
        <v>0</v>
      </c>
      <c r="R2498" s="19">
        <f t="shared" ref="R2498:R2561" si="312">P2498*H2498</f>
        <v>0</v>
      </c>
      <c r="T2498" s="19">
        <f t="shared" si="308"/>
        <v>1027279.22</v>
      </c>
      <c r="U2498" s="19">
        <f t="shared" si="309"/>
        <v>1009150.34</v>
      </c>
      <c r="V2498" s="21">
        <f t="shared" si="310"/>
        <v>-18128.880000000005</v>
      </c>
      <c r="W2498" s="18">
        <f t="shared" si="311"/>
        <v>-1.7647470762622849E-2</v>
      </c>
    </row>
    <row r="2499" spans="1:23" x14ac:dyDescent="0.3">
      <c r="A2499" t="s">
        <v>260</v>
      </c>
      <c r="B2499" t="s">
        <v>2312</v>
      </c>
      <c r="C2499" t="s">
        <v>50</v>
      </c>
      <c r="D2499" t="s">
        <v>26</v>
      </c>
      <c r="E2499">
        <v>4150</v>
      </c>
      <c r="F2499">
        <v>315.06</v>
      </c>
      <c r="G2499">
        <v>291.17</v>
      </c>
      <c r="H2499">
        <v>315.06</v>
      </c>
      <c r="I2499">
        <v>1774</v>
      </c>
      <c r="J2499">
        <v>34</v>
      </c>
      <c r="K2499" s="17">
        <f t="shared" ref="K2499:K2562" si="313">(I2499/30)*J2499</f>
        <v>2010.5333333333333</v>
      </c>
      <c r="L2499" t="str">
        <f t="shared" ref="L2499:L2562" si="314">IF(E2499&lt;K2499,"High Risk","Sufficuent Stock")</f>
        <v>Sufficuent Stock</v>
      </c>
      <c r="P2499" s="19">
        <f t="shared" ref="P2499:P2562" si="315">ROUNDUP(MAX(0,K2499-E2499),0)</f>
        <v>0</v>
      </c>
      <c r="R2499" s="19">
        <f t="shared" si="312"/>
        <v>0</v>
      </c>
      <c r="T2499" s="19">
        <f t="shared" ref="T2499:T2562" si="316">I2499*G2499</f>
        <v>516535.58</v>
      </c>
      <c r="U2499" s="19">
        <f t="shared" ref="U2499:U2562" si="317">I2499*H2499</f>
        <v>558916.44000000006</v>
      </c>
      <c r="V2499" s="21">
        <f t="shared" ref="V2499:V2562" si="318">U2499-T2499</f>
        <v>42380.860000000044</v>
      </c>
      <c r="W2499" s="18">
        <f t="shared" ref="W2499:W2562" si="319">IFERROR(V2499/T2499,0)</f>
        <v>8.2048287941752326E-2</v>
      </c>
    </row>
    <row r="2500" spans="1:23" x14ac:dyDescent="0.3">
      <c r="A2500" t="s">
        <v>559</v>
      </c>
      <c r="B2500" t="s">
        <v>1901</v>
      </c>
      <c r="C2500" t="s">
        <v>37</v>
      </c>
      <c r="D2500" t="s">
        <v>17</v>
      </c>
      <c r="E2500">
        <v>4151</v>
      </c>
      <c r="F2500">
        <v>296.77999999999997</v>
      </c>
      <c r="G2500">
        <v>297.13</v>
      </c>
      <c r="H2500">
        <v>296.77999999999997</v>
      </c>
      <c r="I2500">
        <v>1510</v>
      </c>
      <c r="J2500">
        <v>16</v>
      </c>
      <c r="K2500" s="17">
        <f t="shared" si="313"/>
        <v>805.33333333333337</v>
      </c>
      <c r="L2500" t="str">
        <f t="shared" si="314"/>
        <v>Sufficuent Stock</v>
      </c>
      <c r="P2500" s="19">
        <f t="shared" si="315"/>
        <v>0</v>
      </c>
      <c r="R2500" s="19">
        <f t="shared" si="312"/>
        <v>0</v>
      </c>
      <c r="T2500" s="19">
        <f t="shared" si="316"/>
        <v>448666.3</v>
      </c>
      <c r="U2500" s="19">
        <f t="shared" si="317"/>
        <v>448137.79999999993</v>
      </c>
      <c r="V2500" s="21">
        <f t="shared" si="318"/>
        <v>-528.50000000005821</v>
      </c>
      <c r="W2500" s="18">
        <f t="shared" si="319"/>
        <v>-1.1779355837513497E-3</v>
      </c>
    </row>
    <row r="2501" spans="1:23" x14ac:dyDescent="0.3">
      <c r="A2501" t="s">
        <v>283</v>
      </c>
      <c r="B2501" t="s">
        <v>2802</v>
      </c>
      <c r="C2501" t="s">
        <v>16</v>
      </c>
      <c r="D2501" t="s">
        <v>20</v>
      </c>
      <c r="E2501">
        <v>4154</v>
      </c>
      <c r="F2501">
        <v>256.89</v>
      </c>
      <c r="G2501">
        <v>232.46</v>
      </c>
      <c r="H2501">
        <v>256.89</v>
      </c>
      <c r="I2501">
        <v>2530</v>
      </c>
      <c r="J2501">
        <v>24</v>
      </c>
      <c r="K2501" s="17">
        <f t="shared" si="313"/>
        <v>2024</v>
      </c>
      <c r="L2501" t="str">
        <f t="shared" si="314"/>
        <v>Sufficuent Stock</v>
      </c>
      <c r="P2501" s="19">
        <f t="shared" si="315"/>
        <v>0</v>
      </c>
      <c r="R2501" s="19">
        <f t="shared" si="312"/>
        <v>0</v>
      </c>
      <c r="T2501" s="19">
        <f t="shared" si="316"/>
        <v>588123.80000000005</v>
      </c>
      <c r="U2501" s="19">
        <f t="shared" si="317"/>
        <v>649931.69999999995</v>
      </c>
      <c r="V2501" s="21">
        <f t="shared" si="318"/>
        <v>61807.899999999907</v>
      </c>
      <c r="W2501" s="18">
        <f t="shared" si="319"/>
        <v>0.10509334939344386</v>
      </c>
    </row>
    <row r="2502" spans="1:23" x14ac:dyDescent="0.3">
      <c r="A2502" t="s">
        <v>251</v>
      </c>
      <c r="B2502" t="s">
        <v>1049</v>
      </c>
      <c r="C2502" t="s">
        <v>37</v>
      </c>
      <c r="D2502" t="s">
        <v>17</v>
      </c>
      <c r="E2502">
        <v>4155</v>
      </c>
      <c r="F2502">
        <v>386.43</v>
      </c>
      <c r="G2502">
        <v>421.4</v>
      </c>
      <c r="H2502">
        <v>386.43</v>
      </c>
      <c r="I2502">
        <v>702</v>
      </c>
      <c r="J2502">
        <v>40</v>
      </c>
      <c r="K2502" s="17">
        <f t="shared" si="313"/>
        <v>936</v>
      </c>
      <c r="L2502" t="str">
        <f t="shared" si="314"/>
        <v>Sufficuent Stock</v>
      </c>
      <c r="P2502" s="19">
        <f t="shared" si="315"/>
        <v>0</v>
      </c>
      <c r="R2502" s="19">
        <f t="shared" si="312"/>
        <v>0</v>
      </c>
      <c r="T2502" s="19">
        <f t="shared" si="316"/>
        <v>295822.8</v>
      </c>
      <c r="U2502" s="19">
        <f t="shared" si="317"/>
        <v>271273.86</v>
      </c>
      <c r="V2502" s="21">
        <f t="shared" si="318"/>
        <v>-24548.940000000002</v>
      </c>
      <c r="W2502" s="18">
        <f t="shared" si="319"/>
        <v>-8.2985287138111069E-2</v>
      </c>
    </row>
    <row r="2503" spans="1:23" x14ac:dyDescent="0.3">
      <c r="A2503" t="s">
        <v>18</v>
      </c>
      <c r="B2503" t="s">
        <v>1930</v>
      </c>
      <c r="C2503" t="s">
        <v>37</v>
      </c>
      <c r="D2503" t="s">
        <v>69</v>
      </c>
      <c r="E2503">
        <v>4159</v>
      </c>
      <c r="F2503">
        <v>236.4</v>
      </c>
      <c r="G2503">
        <v>206.77</v>
      </c>
      <c r="H2503">
        <v>236.4</v>
      </c>
      <c r="I2503">
        <v>2505</v>
      </c>
      <c r="J2503">
        <v>19</v>
      </c>
      <c r="K2503" s="17">
        <f t="shared" si="313"/>
        <v>1586.5</v>
      </c>
      <c r="L2503" t="str">
        <f t="shared" si="314"/>
        <v>Sufficuent Stock</v>
      </c>
      <c r="P2503" s="19">
        <f t="shared" si="315"/>
        <v>0</v>
      </c>
      <c r="R2503" s="19">
        <f t="shared" si="312"/>
        <v>0</v>
      </c>
      <c r="T2503" s="19">
        <f t="shared" si="316"/>
        <v>517958.85000000003</v>
      </c>
      <c r="U2503" s="19">
        <f t="shared" si="317"/>
        <v>592182</v>
      </c>
      <c r="V2503" s="21">
        <f t="shared" si="318"/>
        <v>74223.149999999965</v>
      </c>
      <c r="W2503" s="18">
        <f t="shared" si="319"/>
        <v>0.14329931808289395</v>
      </c>
    </row>
    <row r="2504" spans="1:23" x14ac:dyDescent="0.3">
      <c r="A2504" t="s">
        <v>46</v>
      </c>
      <c r="B2504" t="s">
        <v>47</v>
      </c>
      <c r="C2504" t="s">
        <v>16</v>
      </c>
      <c r="D2504" t="s">
        <v>17</v>
      </c>
      <c r="E2504">
        <v>4160</v>
      </c>
      <c r="F2504">
        <v>25.03</v>
      </c>
      <c r="G2504">
        <v>24.59</v>
      </c>
      <c r="H2504">
        <v>25.03</v>
      </c>
      <c r="I2504">
        <v>1335</v>
      </c>
      <c r="J2504">
        <v>82</v>
      </c>
      <c r="K2504" s="17">
        <f t="shared" si="313"/>
        <v>3649</v>
      </c>
      <c r="L2504" t="str">
        <f t="shared" si="314"/>
        <v>Sufficuent Stock</v>
      </c>
      <c r="P2504" s="19">
        <f t="shared" si="315"/>
        <v>0</v>
      </c>
      <c r="R2504" s="19">
        <f t="shared" si="312"/>
        <v>0</v>
      </c>
      <c r="T2504" s="19">
        <f t="shared" si="316"/>
        <v>32827.65</v>
      </c>
      <c r="U2504" s="19">
        <f t="shared" si="317"/>
        <v>33415.050000000003</v>
      </c>
      <c r="V2504" s="21">
        <f t="shared" si="318"/>
        <v>587.40000000000146</v>
      </c>
      <c r="W2504" s="18">
        <f t="shared" si="319"/>
        <v>1.7893452623017531E-2</v>
      </c>
    </row>
    <row r="2505" spans="1:23" x14ac:dyDescent="0.3">
      <c r="A2505" t="s">
        <v>489</v>
      </c>
      <c r="B2505" t="s">
        <v>490</v>
      </c>
      <c r="C2505" t="s">
        <v>16</v>
      </c>
      <c r="D2505" t="s">
        <v>26</v>
      </c>
      <c r="E2505">
        <v>4162</v>
      </c>
      <c r="F2505">
        <v>114.61</v>
      </c>
      <c r="G2505">
        <v>97.49</v>
      </c>
      <c r="H2505">
        <v>114.61</v>
      </c>
      <c r="I2505">
        <v>3194</v>
      </c>
      <c r="J2505">
        <v>66</v>
      </c>
      <c r="K2505" s="17">
        <f t="shared" si="313"/>
        <v>7026.8</v>
      </c>
      <c r="L2505" t="str">
        <f t="shared" si="314"/>
        <v>High Risk</v>
      </c>
      <c r="P2505" s="19">
        <f t="shared" si="315"/>
        <v>2865</v>
      </c>
      <c r="R2505" s="19">
        <f t="shared" si="312"/>
        <v>328357.65000000002</v>
      </c>
      <c r="T2505" s="19">
        <f t="shared" si="316"/>
        <v>311383.06</v>
      </c>
      <c r="U2505" s="19">
        <f t="shared" si="317"/>
        <v>366064.34</v>
      </c>
      <c r="V2505" s="21">
        <f t="shared" si="318"/>
        <v>54681.280000000028</v>
      </c>
      <c r="W2505" s="18">
        <f t="shared" si="319"/>
        <v>0.17560775464150177</v>
      </c>
    </row>
    <row r="2506" spans="1:23" x14ac:dyDescent="0.3">
      <c r="A2506" t="s">
        <v>233</v>
      </c>
      <c r="B2506" t="s">
        <v>844</v>
      </c>
      <c r="C2506" t="s">
        <v>37</v>
      </c>
      <c r="D2506" t="s">
        <v>69</v>
      </c>
      <c r="E2506">
        <v>4162</v>
      </c>
      <c r="F2506">
        <v>129.36000000000001</v>
      </c>
      <c r="G2506">
        <v>110.33</v>
      </c>
      <c r="H2506">
        <v>129.36000000000001</v>
      </c>
      <c r="I2506">
        <v>2719</v>
      </c>
      <c r="J2506">
        <v>85</v>
      </c>
      <c r="K2506" s="17">
        <f t="shared" si="313"/>
        <v>7703.8333333333339</v>
      </c>
      <c r="L2506" t="str">
        <f t="shared" si="314"/>
        <v>High Risk</v>
      </c>
      <c r="P2506" s="19">
        <f t="shared" si="315"/>
        <v>3542</v>
      </c>
      <c r="R2506" s="19">
        <f t="shared" si="312"/>
        <v>458193.12000000005</v>
      </c>
      <c r="T2506" s="19">
        <f t="shared" si="316"/>
        <v>299987.27</v>
      </c>
      <c r="U2506" s="19">
        <f t="shared" si="317"/>
        <v>351729.84</v>
      </c>
      <c r="V2506" s="21">
        <f t="shared" si="318"/>
        <v>51742.570000000007</v>
      </c>
      <c r="W2506" s="18">
        <f t="shared" si="319"/>
        <v>0.17248255234297111</v>
      </c>
    </row>
    <row r="2507" spans="1:23" x14ac:dyDescent="0.3">
      <c r="A2507" t="s">
        <v>395</v>
      </c>
      <c r="B2507" t="s">
        <v>1045</v>
      </c>
      <c r="C2507" t="s">
        <v>37</v>
      </c>
      <c r="D2507" t="s">
        <v>20</v>
      </c>
      <c r="E2507">
        <v>4163</v>
      </c>
      <c r="F2507">
        <v>191.9</v>
      </c>
      <c r="G2507">
        <v>178.69</v>
      </c>
      <c r="H2507">
        <v>191.9</v>
      </c>
      <c r="I2507">
        <v>486</v>
      </c>
      <c r="J2507">
        <v>5</v>
      </c>
      <c r="K2507" s="17">
        <f t="shared" si="313"/>
        <v>81</v>
      </c>
      <c r="L2507" t="str">
        <f t="shared" si="314"/>
        <v>Sufficuent Stock</v>
      </c>
      <c r="P2507" s="19">
        <f t="shared" si="315"/>
        <v>0</v>
      </c>
      <c r="R2507" s="19">
        <f t="shared" si="312"/>
        <v>0</v>
      </c>
      <c r="T2507" s="19">
        <f t="shared" si="316"/>
        <v>86843.34</v>
      </c>
      <c r="U2507" s="19">
        <f t="shared" si="317"/>
        <v>93263.400000000009</v>
      </c>
      <c r="V2507" s="21">
        <f t="shared" si="318"/>
        <v>6420.0600000000122</v>
      </c>
      <c r="W2507" s="18">
        <f t="shared" si="319"/>
        <v>7.3926912530080172E-2</v>
      </c>
    </row>
    <row r="2508" spans="1:23" x14ac:dyDescent="0.3">
      <c r="A2508" t="s">
        <v>618</v>
      </c>
      <c r="B2508" t="s">
        <v>1402</v>
      </c>
      <c r="C2508" t="s">
        <v>37</v>
      </c>
      <c r="D2508" t="s">
        <v>13</v>
      </c>
      <c r="E2508">
        <v>4164</v>
      </c>
      <c r="F2508">
        <v>435.54</v>
      </c>
      <c r="G2508">
        <v>374.16</v>
      </c>
      <c r="H2508">
        <v>435.54</v>
      </c>
      <c r="I2508">
        <v>3293</v>
      </c>
      <c r="J2508">
        <v>21</v>
      </c>
      <c r="K2508" s="17">
        <f t="shared" si="313"/>
        <v>2305.1</v>
      </c>
      <c r="L2508" t="str">
        <f t="shared" si="314"/>
        <v>Sufficuent Stock</v>
      </c>
      <c r="P2508" s="19">
        <f t="shared" si="315"/>
        <v>0</v>
      </c>
      <c r="R2508" s="19">
        <f t="shared" si="312"/>
        <v>0</v>
      </c>
      <c r="T2508" s="19">
        <f t="shared" si="316"/>
        <v>1232108.8800000001</v>
      </c>
      <c r="U2508" s="19">
        <f t="shared" si="317"/>
        <v>1434233.22</v>
      </c>
      <c r="V2508" s="21">
        <f t="shared" si="318"/>
        <v>202124.33999999985</v>
      </c>
      <c r="W2508" s="18">
        <f t="shared" si="319"/>
        <v>0.1640474663245669</v>
      </c>
    </row>
    <row r="2509" spans="1:23" x14ac:dyDescent="0.3">
      <c r="A2509" t="s">
        <v>260</v>
      </c>
      <c r="B2509" t="s">
        <v>1891</v>
      </c>
      <c r="C2509" t="s">
        <v>12</v>
      </c>
      <c r="D2509" t="s">
        <v>13</v>
      </c>
      <c r="E2509">
        <v>4165</v>
      </c>
      <c r="F2509">
        <v>240.49</v>
      </c>
      <c r="G2509">
        <v>230.84</v>
      </c>
      <c r="H2509">
        <v>240.49</v>
      </c>
      <c r="I2509">
        <v>673</v>
      </c>
      <c r="J2509">
        <v>21</v>
      </c>
      <c r="K2509" s="17">
        <f t="shared" si="313"/>
        <v>471.1</v>
      </c>
      <c r="L2509" t="str">
        <f t="shared" si="314"/>
        <v>Sufficuent Stock</v>
      </c>
      <c r="P2509" s="19">
        <f t="shared" si="315"/>
        <v>0</v>
      </c>
      <c r="R2509" s="19">
        <f t="shared" si="312"/>
        <v>0</v>
      </c>
      <c r="T2509" s="19">
        <f t="shared" si="316"/>
        <v>155355.32</v>
      </c>
      <c r="U2509" s="19">
        <f t="shared" si="317"/>
        <v>161849.77000000002</v>
      </c>
      <c r="V2509" s="21">
        <f t="shared" si="318"/>
        <v>6494.4500000000116</v>
      </c>
      <c r="W2509" s="18">
        <f t="shared" si="319"/>
        <v>4.1803846820308514E-2</v>
      </c>
    </row>
    <row r="2510" spans="1:23" x14ac:dyDescent="0.3">
      <c r="A2510" t="s">
        <v>482</v>
      </c>
      <c r="B2510" t="s">
        <v>3044</v>
      </c>
      <c r="C2510" t="s">
        <v>12</v>
      </c>
      <c r="D2510" t="s">
        <v>17</v>
      </c>
      <c r="E2510">
        <v>4167</v>
      </c>
      <c r="F2510">
        <v>95.37</v>
      </c>
      <c r="G2510">
        <v>82.81</v>
      </c>
      <c r="H2510">
        <v>95.37</v>
      </c>
      <c r="I2510">
        <v>232</v>
      </c>
      <c r="J2510">
        <v>53</v>
      </c>
      <c r="K2510" s="17">
        <f t="shared" si="313"/>
        <v>409.86666666666667</v>
      </c>
      <c r="L2510" t="str">
        <f t="shared" si="314"/>
        <v>Sufficuent Stock</v>
      </c>
      <c r="P2510" s="19">
        <f t="shared" si="315"/>
        <v>0</v>
      </c>
      <c r="R2510" s="19">
        <f t="shared" si="312"/>
        <v>0</v>
      </c>
      <c r="T2510" s="19">
        <f t="shared" si="316"/>
        <v>19211.920000000002</v>
      </c>
      <c r="U2510" s="19">
        <f t="shared" si="317"/>
        <v>22125.84</v>
      </c>
      <c r="V2510" s="21">
        <f t="shared" si="318"/>
        <v>2913.9199999999983</v>
      </c>
      <c r="W2510" s="18">
        <f t="shared" si="319"/>
        <v>0.15167250332085486</v>
      </c>
    </row>
    <row r="2511" spans="1:23" x14ac:dyDescent="0.3">
      <c r="A2511" t="s">
        <v>1276</v>
      </c>
      <c r="B2511" t="s">
        <v>1277</v>
      </c>
      <c r="C2511" t="s">
        <v>12</v>
      </c>
      <c r="D2511" t="s">
        <v>13</v>
      </c>
      <c r="E2511">
        <v>4168</v>
      </c>
      <c r="F2511">
        <v>194.41</v>
      </c>
      <c r="G2511">
        <v>163.84</v>
      </c>
      <c r="H2511">
        <v>194.41</v>
      </c>
      <c r="I2511">
        <v>2742</v>
      </c>
      <c r="J2511">
        <v>30</v>
      </c>
      <c r="K2511" s="17">
        <f t="shared" si="313"/>
        <v>2742</v>
      </c>
      <c r="L2511" t="str">
        <f t="shared" si="314"/>
        <v>Sufficuent Stock</v>
      </c>
      <c r="P2511" s="19">
        <f t="shared" si="315"/>
        <v>0</v>
      </c>
      <c r="R2511" s="19">
        <f t="shared" si="312"/>
        <v>0</v>
      </c>
      <c r="T2511" s="19">
        <f t="shared" si="316"/>
        <v>449249.28000000003</v>
      </c>
      <c r="U2511" s="19">
        <f t="shared" si="317"/>
        <v>533072.22</v>
      </c>
      <c r="V2511" s="21">
        <f t="shared" si="318"/>
        <v>83822.939999999944</v>
      </c>
      <c r="W2511" s="18">
        <f t="shared" si="319"/>
        <v>0.18658447265624986</v>
      </c>
    </row>
    <row r="2512" spans="1:23" x14ac:dyDescent="0.3">
      <c r="A2512" t="s">
        <v>607</v>
      </c>
      <c r="B2512" t="s">
        <v>1803</v>
      </c>
      <c r="C2512" t="s">
        <v>37</v>
      </c>
      <c r="D2512" t="s">
        <v>69</v>
      </c>
      <c r="E2512">
        <v>4171</v>
      </c>
      <c r="F2512">
        <v>192.95</v>
      </c>
      <c r="G2512">
        <v>169.56</v>
      </c>
      <c r="H2512">
        <v>192.95</v>
      </c>
      <c r="I2512">
        <v>2183</v>
      </c>
      <c r="J2512">
        <v>35</v>
      </c>
      <c r="K2512" s="17">
        <f t="shared" si="313"/>
        <v>2546.8333333333335</v>
      </c>
      <c r="L2512" t="str">
        <f t="shared" si="314"/>
        <v>Sufficuent Stock</v>
      </c>
      <c r="P2512" s="19">
        <f t="shared" si="315"/>
        <v>0</v>
      </c>
      <c r="R2512" s="19">
        <f t="shared" si="312"/>
        <v>0</v>
      </c>
      <c r="T2512" s="19">
        <f t="shared" si="316"/>
        <v>370149.48</v>
      </c>
      <c r="U2512" s="19">
        <f t="shared" si="317"/>
        <v>421209.85</v>
      </c>
      <c r="V2512" s="21">
        <f t="shared" si="318"/>
        <v>51060.369999999995</v>
      </c>
      <c r="W2512" s="18">
        <f t="shared" si="319"/>
        <v>0.13794527011087521</v>
      </c>
    </row>
    <row r="2513" spans="1:23" x14ac:dyDescent="0.3">
      <c r="A2513" t="s">
        <v>354</v>
      </c>
      <c r="B2513" t="s">
        <v>3173</v>
      </c>
      <c r="C2513" t="s">
        <v>12</v>
      </c>
      <c r="D2513" t="s">
        <v>20</v>
      </c>
      <c r="E2513">
        <v>4171</v>
      </c>
      <c r="F2513">
        <v>255.22</v>
      </c>
      <c r="G2513">
        <v>226.73</v>
      </c>
      <c r="H2513">
        <v>255.22</v>
      </c>
      <c r="I2513">
        <v>1781</v>
      </c>
      <c r="J2513">
        <v>44</v>
      </c>
      <c r="K2513" s="17">
        <f t="shared" si="313"/>
        <v>2612.1333333333332</v>
      </c>
      <c r="L2513" t="str">
        <f t="shared" si="314"/>
        <v>Sufficuent Stock</v>
      </c>
      <c r="P2513" s="19">
        <f t="shared" si="315"/>
        <v>0</v>
      </c>
      <c r="R2513" s="19">
        <f t="shared" si="312"/>
        <v>0</v>
      </c>
      <c r="T2513" s="19">
        <f t="shared" si="316"/>
        <v>403806.13</v>
      </c>
      <c r="U2513" s="19">
        <f t="shared" si="317"/>
        <v>454546.82</v>
      </c>
      <c r="V2513" s="21">
        <f t="shared" si="318"/>
        <v>50740.69</v>
      </c>
      <c r="W2513" s="18">
        <f t="shared" si="319"/>
        <v>0.12565606668724916</v>
      </c>
    </row>
    <row r="2514" spans="1:23" x14ac:dyDescent="0.3">
      <c r="A2514" t="s">
        <v>288</v>
      </c>
      <c r="B2514" t="s">
        <v>2825</v>
      </c>
      <c r="C2514" t="s">
        <v>23</v>
      </c>
      <c r="D2514" t="s">
        <v>26</v>
      </c>
      <c r="E2514">
        <v>4173</v>
      </c>
      <c r="F2514">
        <v>268.48</v>
      </c>
      <c r="G2514">
        <v>240.46</v>
      </c>
      <c r="H2514">
        <v>268.48</v>
      </c>
      <c r="I2514">
        <v>1321</v>
      </c>
      <c r="J2514">
        <v>32</v>
      </c>
      <c r="K2514" s="17">
        <f t="shared" si="313"/>
        <v>1409.0666666666666</v>
      </c>
      <c r="L2514" t="str">
        <f t="shared" si="314"/>
        <v>Sufficuent Stock</v>
      </c>
      <c r="P2514" s="19">
        <f t="shared" si="315"/>
        <v>0</v>
      </c>
      <c r="R2514" s="19">
        <f t="shared" si="312"/>
        <v>0</v>
      </c>
      <c r="T2514" s="19">
        <f t="shared" si="316"/>
        <v>317647.66000000003</v>
      </c>
      <c r="U2514" s="19">
        <f t="shared" si="317"/>
        <v>354662.08</v>
      </c>
      <c r="V2514" s="21">
        <f t="shared" si="318"/>
        <v>37014.419999999984</v>
      </c>
      <c r="W2514" s="18">
        <f t="shared" si="319"/>
        <v>0.11652665724028938</v>
      </c>
    </row>
    <row r="2515" spans="1:23" x14ac:dyDescent="0.3">
      <c r="A2515" t="s">
        <v>222</v>
      </c>
      <c r="B2515" t="s">
        <v>2039</v>
      </c>
      <c r="C2515" t="s">
        <v>16</v>
      </c>
      <c r="D2515" t="s">
        <v>26</v>
      </c>
      <c r="E2515">
        <v>4173</v>
      </c>
      <c r="F2515">
        <v>15.5</v>
      </c>
      <c r="G2515">
        <v>15.34</v>
      </c>
      <c r="H2515">
        <v>15.5</v>
      </c>
      <c r="I2515">
        <v>1326</v>
      </c>
      <c r="J2515">
        <v>61</v>
      </c>
      <c r="K2515" s="17">
        <f t="shared" si="313"/>
        <v>2696.2000000000003</v>
      </c>
      <c r="L2515" t="str">
        <f t="shared" si="314"/>
        <v>Sufficuent Stock</v>
      </c>
      <c r="P2515" s="19">
        <f t="shared" si="315"/>
        <v>0</v>
      </c>
      <c r="R2515" s="19">
        <f t="shared" si="312"/>
        <v>0</v>
      </c>
      <c r="T2515" s="19">
        <f t="shared" si="316"/>
        <v>20340.84</v>
      </c>
      <c r="U2515" s="19">
        <f t="shared" si="317"/>
        <v>20553</v>
      </c>
      <c r="V2515" s="21">
        <f t="shared" si="318"/>
        <v>212.15999999999985</v>
      </c>
      <c r="W2515" s="18">
        <f t="shared" si="319"/>
        <v>1.0430247718383304E-2</v>
      </c>
    </row>
    <row r="2516" spans="1:23" x14ac:dyDescent="0.3">
      <c r="A2516" t="s">
        <v>773</v>
      </c>
      <c r="B2516" t="s">
        <v>1461</v>
      </c>
      <c r="C2516" t="s">
        <v>23</v>
      </c>
      <c r="D2516" t="s">
        <v>26</v>
      </c>
      <c r="E2516">
        <v>4173</v>
      </c>
      <c r="F2516">
        <v>147.43</v>
      </c>
      <c r="G2516">
        <v>123.27</v>
      </c>
      <c r="H2516">
        <v>147.43</v>
      </c>
      <c r="I2516">
        <v>3181</v>
      </c>
      <c r="J2516">
        <v>20</v>
      </c>
      <c r="K2516" s="17">
        <f t="shared" si="313"/>
        <v>2120.6666666666665</v>
      </c>
      <c r="L2516" t="str">
        <f t="shared" si="314"/>
        <v>Sufficuent Stock</v>
      </c>
      <c r="P2516" s="19">
        <f t="shared" si="315"/>
        <v>0</v>
      </c>
      <c r="R2516" s="19">
        <f t="shared" si="312"/>
        <v>0</v>
      </c>
      <c r="T2516" s="19">
        <f t="shared" si="316"/>
        <v>392121.87</v>
      </c>
      <c r="U2516" s="19">
        <f t="shared" si="317"/>
        <v>468974.83</v>
      </c>
      <c r="V2516" s="21">
        <f t="shared" si="318"/>
        <v>76852.960000000021</v>
      </c>
      <c r="W2516" s="18">
        <f t="shared" si="319"/>
        <v>0.19599253670803932</v>
      </c>
    </row>
    <row r="2517" spans="1:23" x14ac:dyDescent="0.3">
      <c r="A2517" t="s">
        <v>48</v>
      </c>
      <c r="B2517" t="s">
        <v>1651</v>
      </c>
      <c r="C2517" t="s">
        <v>50</v>
      </c>
      <c r="D2517" t="s">
        <v>69</v>
      </c>
      <c r="E2517">
        <v>4173</v>
      </c>
      <c r="F2517">
        <v>349.52</v>
      </c>
      <c r="G2517">
        <v>304.39</v>
      </c>
      <c r="H2517">
        <v>349.52</v>
      </c>
      <c r="I2517">
        <v>2154</v>
      </c>
      <c r="J2517">
        <v>48</v>
      </c>
      <c r="K2517" s="17">
        <f t="shared" si="313"/>
        <v>3446.3999999999996</v>
      </c>
      <c r="L2517" t="str">
        <f t="shared" si="314"/>
        <v>Sufficuent Stock</v>
      </c>
      <c r="P2517" s="19">
        <f t="shared" si="315"/>
        <v>0</v>
      </c>
      <c r="R2517" s="19">
        <f t="shared" si="312"/>
        <v>0</v>
      </c>
      <c r="T2517" s="19">
        <f t="shared" si="316"/>
        <v>655656.05999999994</v>
      </c>
      <c r="U2517" s="19">
        <f t="shared" si="317"/>
        <v>752866.08</v>
      </c>
      <c r="V2517" s="21">
        <f t="shared" si="318"/>
        <v>97210.020000000019</v>
      </c>
      <c r="W2517" s="18">
        <f t="shared" si="319"/>
        <v>0.14826374059594602</v>
      </c>
    </row>
    <row r="2518" spans="1:23" x14ac:dyDescent="0.3">
      <c r="A2518" t="s">
        <v>411</v>
      </c>
      <c r="B2518" t="s">
        <v>2804</v>
      </c>
      <c r="C2518" t="s">
        <v>37</v>
      </c>
      <c r="D2518" t="s">
        <v>26</v>
      </c>
      <c r="E2518">
        <v>4174</v>
      </c>
      <c r="F2518">
        <v>411.51</v>
      </c>
      <c r="G2518">
        <v>357.54</v>
      </c>
      <c r="H2518">
        <v>411.51</v>
      </c>
      <c r="I2518">
        <v>3985</v>
      </c>
      <c r="J2518">
        <v>14</v>
      </c>
      <c r="K2518" s="17">
        <f t="shared" si="313"/>
        <v>1859.6666666666667</v>
      </c>
      <c r="L2518" t="str">
        <f t="shared" si="314"/>
        <v>Sufficuent Stock</v>
      </c>
      <c r="P2518" s="19">
        <f t="shared" si="315"/>
        <v>0</v>
      </c>
      <c r="R2518" s="19">
        <f t="shared" si="312"/>
        <v>0</v>
      </c>
      <c r="T2518" s="19">
        <f t="shared" si="316"/>
        <v>1424796.9000000001</v>
      </c>
      <c r="U2518" s="19">
        <f t="shared" si="317"/>
        <v>1639867.3499999999</v>
      </c>
      <c r="V2518" s="21">
        <f t="shared" si="318"/>
        <v>215070.44999999972</v>
      </c>
      <c r="W2518" s="18">
        <f t="shared" si="319"/>
        <v>0.15094814566202361</v>
      </c>
    </row>
    <row r="2519" spans="1:23" x14ac:dyDescent="0.3">
      <c r="A2519" t="s">
        <v>759</v>
      </c>
      <c r="B2519" t="s">
        <v>3213</v>
      </c>
      <c r="C2519" t="s">
        <v>16</v>
      </c>
      <c r="D2519" t="s">
        <v>26</v>
      </c>
      <c r="E2519">
        <v>4174</v>
      </c>
      <c r="F2519">
        <v>281.45999999999998</v>
      </c>
      <c r="G2519">
        <v>291.57</v>
      </c>
      <c r="H2519">
        <v>281.45999999999998</v>
      </c>
      <c r="I2519">
        <v>1072</v>
      </c>
      <c r="J2519">
        <v>10</v>
      </c>
      <c r="K2519" s="17">
        <f t="shared" si="313"/>
        <v>357.33333333333337</v>
      </c>
      <c r="L2519" t="str">
        <f t="shared" si="314"/>
        <v>Sufficuent Stock</v>
      </c>
      <c r="P2519" s="19">
        <f t="shared" si="315"/>
        <v>0</v>
      </c>
      <c r="R2519" s="19">
        <f t="shared" si="312"/>
        <v>0</v>
      </c>
      <c r="T2519" s="19">
        <f t="shared" si="316"/>
        <v>312563.03999999998</v>
      </c>
      <c r="U2519" s="19">
        <f t="shared" si="317"/>
        <v>301725.12</v>
      </c>
      <c r="V2519" s="21">
        <f t="shared" si="318"/>
        <v>-10837.919999999984</v>
      </c>
      <c r="W2519" s="18">
        <f t="shared" si="319"/>
        <v>-3.4674349212881934E-2</v>
      </c>
    </row>
    <row r="2520" spans="1:23" x14ac:dyDescent="0.3">
      <c r="A2520" t="s">
        <v>927</v>
      </c>
      <c r="B2520" t="s">
        <v>1537</v>
      </c>
      <c r="C2520" t="s">
        <v>23</v>
      </c>
      <c r="D2520" t="s">
        <v>26</v>
      </c>
      <c r="E2520">
        <v>4175</v>
      </c>
      <c r="F2520">
        <v>221.02</v>
      </c>
      <c r="G2520">
        <v>186.14</v>
      </c>
      <c r="H2520">
        <v>221.02</v>
      </c>
      <c r="I2520">
        <v>898</v>
      </c>
      <c r="J2520">
        <v>24</v>
      </c>
      <c r="K2520" s="17">
        <f t="shared" si="313"/>
        <v>718.4</v>
      </c>
      <c r="L2520" t="str">
        <f t="shared" si="314"/>
        <v>Sufficuent Stock</v>
      </c>
      <c r="P2520" s="19">
        <f t="shared" si="315"/>
        <v>0</v>
      </c>
      <c r="R2520" s="19">
        <f t="shared" si="312"/>
        <v>0</v>
      </c>
      <c r="T2520" s="19">
        <f t="shared" si="316"/>
        <v>167153.72</v>
      </c>
      <c r="U2520" s="19">
        <f t="shared" si="317"/>
        <v>198475.96000000002</v>
      </c>
      <c r="V2520" s="21">
        <f t="shared" si="318"/>
        <v>31322.24000000002</v>
      </c>
      <c r="W2520" s="18">
        <f t="shared" si="319"/>
        <v>0.18738583861609553</v>
      </c>
    </row>
    <row r="2521" spans="1:23" x14ac:dyDescent="0.3">
      <c r="A2521" t="s">
        <v>393</v>
      </c>
      <c r="B2521" t="s">
        <v>1172</v>
      </c>
      <c r="C2521" t="s">
        <v>37</v>
      </c>
      <c r="D2521" t="s">
        <v>17</v>
      </c>
      <c r="E2521">
        <v>4176</v>
      </c>
      <c r="F2521">
        <v>213.65</v>
      </c>
      <c r="G2521">
        <v>180.63</v>
      </c>
      <c r="H2521">
        <v>213.65</v>
      </c>
      <c r="I2521">
        <v>814</v>
      </c>
      <c r="J2521">
        <v>90</v>
      </c>
      <c r="K2521" s="17">
        <f t="shared" si="313"/>
        <v>2442</v>
      </c>
      <c r="L2521" t="str">
        <f t="shared" si="314"/>
        <v>Sufficuent Stock</v>
      </c>
      <c r="P2521" s="19">
        <f t="shared" si="315"/>
        <v>0</v>
      </c>
      <c r="R2521" s="19">
        <f t="shared" si="312"/>
        <v>0</v>
      </c>
      <c r="T2521" s="19">
        <f t="shared" si="316"/>
        <v>147032.82</v>
      </c>
      <c r="U2521" s="19">
        <f t="shared" si="317"/>
        <v>173911.1</v>
      </c>
      <c r="V2521" s="21">
        <f t="shared" si="318"/>
        <v>26878.28</v>
      </c>
      <c r="W2521" s="18">
        <f t="shared" si="319"/>
        <v>0.18280462824558488</v>
      </c>
    </row>
    <row r="2522" spans="1:23" x14ac:dyDescent="0.3">
      <c r="A2522" t="s">
        <v>222</v>
      </c>
      <c r="B2522" t="s">
        <v>1994</v>
      </c>
      <c r="C2522" t="s">
        <v>37</v>
      </c>
      <c r="D2522" t="s">
        <v>26</v>
      </c>
      <c r="E2522">
        <v>4178</v>
      </c>
      <c r="F2522">
        <v>158.91999999999999</v>
      </c>
      <c r="G2522">
        <v>152.5</v>
      </c>
      <c r="H2522">
        <v>158.91999999999999</v>
      </c>
      <c r="I2522">
        <v>3344</v>
      </c>
      <c r="J2522">
        <v>21</v>
      </c>
      <c r="K2522" s="17">
        <f t="shared" si="313"/>
        <v>2340.8000000000002</v>
      </c>
      <c r="L2522" t="str">
        <f t="shared" si="314"/>
        <v>Sufficuent Stock</v>
      </c>
      <c r="P2522" s="19">
        <f t="shared" si="315"/>
        <v>0</v>
      </c>
      <c r="R2522" s="19">
        <f t="shared" si="312"/>
        <v>0</v>
      </c>
      <c r="T2522" s="19">
        <f t="shared" si="316"/>
        <v>509960</v>
      </c>
      <c r="U2522" s="19">
        <f t="shared" si="317"/>
        <v>531428.48</v>
      </c>
      <c r="V2522" s="21">
        <f t="shared" si="318"/>
        <v>21468.479999999981</v>
      </c>
      <c r="W2522" s="18">
        <f t="shared" si="319"/>
        <v>4.2098360655737667E-2</v>
      </c>
    </row>
    <row r="2523" spans="1:23" x14ac:dyDescent="0.3">
      <c r="A2523" t="s">
        <v>884</v>
      </c>
      <c r="B2523" t="s">
        <v>3063</v>
      </c>
      <c r="C2523" t="s">
        <v>23</v>
      </c>
      <c r="D2523" t="s">
        <v>17</v>
      </c>
      <c r="E2523">
        <v>4179</v>
      </c>
      <c r="F2523">
        <v>360.45</v>
      </c>
      <c r="G2523">
        <v>331.83</v>
      </c>
      <c r="H2523">
        <v>360.45</v>
      </c>
      <c r="I2523">
        <v>3810</v>
      </c>
      <c r="J2523">
        <v>35</v>
      </c>
      <c r="K2523" s="17">
        <f t="shared" si="313"/>
        <v>4445</v>
      </c>
      <c r="L2523" t="str">
        <f t="shared" si="314"/>
        <v>High Risk</v>
      </c>
      <c r="P2523" s="19">
        <f t="shared" si="315"/>
        <v>266</v>
      </c>
      <c r="R2523" s="19">
        <f t="shared" si="312"/>
        <v>95879.7</v>
      </c>
      <c r="T2523" s="19">
        <f t="shared" si="316"/>
        <v>1264272.3</v>
      </c>
      <c r="U2523" s="19">
        <f t="shared" si="317"/>
        <v>1373314.5</v>
      </c>
      <c r="V2523" s="21">
        <f t="shared" si="318"/>
        <v>109042.19999999995</v>
      </c>
      <c r="W2523" s="18">
        <f t="shared" si="319"/>
        <v>8.6248982912937311E-2</v>
      </c>
    </row>
    <row r="2524" spans="1:23" x14ac:dyDescent="0.3">
      <c r="A2524" t="s">
        <v>238</v>
      </c>
      <c r="B2524" t="s">
        <v>1130</v>
      </c>
      <c r="C2524" t="s">
        <v>50</v>
      </c>
      <c r="D2524" t="s">
        <v>17</v>
      </c>
      <c r="E2524">
        <v>4180</v>
      </c>
      <c r="F2524">
        <v>132.01</v>
      </c>
      <c r="G2524">
        <v>114.48</v>
      </c>
      <c r="H2524">
        <v>132.01</v>
      </c>
      <c r="I2524">
        <v>3578</v>
      </c>
      <c r="J2524">
        <v>85</v>
      </c>
      <c r="K2524" s="17">
        <f t="shared" si="313"/>
        <v>10137.666666666666</v>
      </c>
      <c r="L2524" t="str">
        <f t="shared" si="314"/>
        <v>High Risk</v>
      </c>
      <c r="P2524" s="19">
        <f t="shared" si="315"/>
        <v>5958</v>
      </c>
      <c r="R2524" s="19">
        <f t="shared" si="312"/>
        <v>786515.58</v>
      </c>
      <c r="T2524" s="19">
        <f t="shared" si="316"/>
        <v>409609.44</v>
      </c>
      <c r="U2524" s="19">
        <f t="shared" si="317"/>
        <v>472331.77999999997</v>
      </c>
      <c r="V2524" s="21">
        <f t="shared" si="318"/>
        <v>62722.339999999967</v>
      </c>
      <c r="W2524" s="18">
        <f t="shared" si="319"/>
        <v>0.15312718378756107</v>
      </c>
    </row>
    <row r="2525" spans="1:23" x14ac:dyDescent="0.3">
      <c r="A2525" t="s">
        <v>541</v>
      </c>
      <c r="B2525" t="s">
        <v>3111</v>
      </c>
      <c r="C2525" t="s">
        <v>23</v>
      </c>
      <c r="D2525" t="s">
        <v>69</v>
      </c>
      <c r="E2525">
        <v>4182</v>
      </c>
      <c r="F2525">
        <v>130.21</v>
      </c>
      <c r="G2525">
        <v>117.3</v>
      </c>
      <c r="H2525">
        <v>130.21</v>
      </c>
      <c r="I2525">
        <v>677</v>
      </c>
      <c r="J2525">
        <v>86</v>
      </c>
      <c r="K2525" s="17">
        <f t="shared" si="313"/>
        <v>1940.7333333333333</v>
      </c>
      <c r="L2525" t="str">
        <f t="shared" si="314"/>
        <v>Sufficuent Stock</v>
      </c>
      <c r="P2525" s="19">
        <f t="shared" si="315"/>
        <v>0</v>
      </c>
      <c r="R2525" s="19">
        <f t="shared" si="312"/>
        <v>0</v>
      </c>
      <c r="T2525" s="19">
        <f t="shared" si="316"/>
        <v>79412.099999999991</v>
      </c>
      <c r="U2525" s="19">
        <f t="shared" si="317"/>
        <v>88152.17</v>
      </c>
      <c r="V2525" s="21">
        <f t="shared" si="318"/>
        <v>8740.070000000007</v>
      </c>
      <c r="W2525" s="18">
        <f t="shared" si="319"/>
        <v>0.11005967604433088</v>
      </c>
    </row>
    <row r="2526" spans="1:23" x14ac:dyDescent="0.3">
      <c r="A2526" t="s">
        <v>1273</v>
      </c>
      <c r="B2526" t="s">
        <v>1671</v>
      </c>
      <c r="C2526" t="s">
        <v>16</v>
      </c>
      <c r="D2526" t="s">
        <v>17</v>
      </c>
      <c r="E2526">
        <v>4182</v>
      </c>
      <c r="F2526">
        <v>179.7</v>
      </c>
      <c r="G2526">
        <v>199.66</v>
      </c>
      <c r="H2526">
        <v>179.7</v>
      </c>
      <c r="I2526">
        <v>3984</v>
      </c>
      <c r="J2526">
        <v>87</v>
      </c>
      <c r="K2526" s="17">
        <f t="shared" si="313"/>
        <v>11553.6</v>
      </c>
      <c r="L2526" t="str">
        <f t="shared" si="314"/>
        <v>High Risk</v>
      </c>
      <c r="P2526" s="19">
        <f t="shared" si="315"/>
        <v>7372</v>
      </c>
      <c r="R2526" s="19">
        <f t="shared" si="312"/>
        <v>1324748.3999999999</v>
      </c>
      <c r="T2526" s="19">
        <f t="shared" si="316"/>
        <v>795445.44</v>
      </c>
      <c r="U2526" s="19">
        <f t="shared" si="317"/>
        <v>715924.79999999993</v>
      </c>
      <c r="V2526" s="21">
        <f t="shared" si="318"/>
        <v>-79520.640000000014</v>
      </c>
      <c r="W2526" s="18">
        <f t="shared" si="319"/>
        <v>-9.996994891315239E-2</v>
      </c>
    </row>
    <row r="2527" spans="1:23" x14ac:dyDescent="0.3">
      <c r="A2527" t="s">
        <v>1074</v>
      </c>
      <c r="B2527" t="s">
        <v>2167</v>
      </c>
      <c r="C2527" t="s">
        <v>37</v>
      </c>
      <c r="D2527" t="s">
        <v>17</v>
      </c>
      <c r="E2527">
        <v>4184</v>
      </c>
      <c r="F2527">
        <v>193.11</v>
      </c>
      <c r="G2527">
        <v>189.51</v>
      </c>
      <c r="H2527">
        <v>193.11</v>
      </c>
      <c r="I2527">
        <v>162</v>
      </c>
      <c r="J2527">
        <v>81</v>
      </c>
      <c r="K2527" s="17">
        <f t="shared" si="313"/>
        <v>437.40000000000003</v>
      </c>
      <c r="L2527" t="str">
        <f t="shared" si="314"/>
        <v>Sufficuent Stock</v>
      </c>
      <c r="P2527" s="19">
        <f t="shared" si="315"/>
        <v>0</v>
      </c>
      <c r="R2527" s="19">
        <f t="shared" si="312"/>
        <v>0</v>
      </c>
      <c r="T2527" s="19">
        <f t="shared" si="316"/>
        <v>30700.62</v>
      </c>
      <c r="U2527" s="19">
        <f t="shared" si="317"/>
        <v>31283.820000000003</v>
      </c>
      <c r="V2527" s="21">
        <f t="shared" si="318"/>
        <v>583.20000000000437</v>
      </c>
      <c r="W2527" s="18">
        <f t="shared" si="319"/>
        <v>1.8996359031185833E-2</v>
      </c>
    </row>
    <row r="2528" spans="1:23" x14ac:dyDescent="0.3">
      <c r="A2528" t="s">
        <v>188</v>
      </c>
      <c r="B2528" t="s">
        <v>531</v>
      </c>
      <c r="C2528" t="s">
        <v>37</v>
      </c>
      <c r="D2528" t="s">
        <v>13</v>
      </c>
      <c r="E2528">
        <v>4185</v>
      </c>
      <c r="F2528">
        <v>205.42</v>
      </c>
      <c r="G2528">
        <v>204.26</v>
      </c>
      <c r="H2528">
        <v>205.42</v>
      </c>
      <c r="I2528">
        <v>1204</v>
      </c>
      <c r="J2528">
        <v>28</v>
      </c>
      <c r="K2528" s="17">
        <f t="shared" si="313"/>
        <v>1123.7333333333333</v>
      </c>
      <c r="L2528" t="str">
        <f t="shared" si="314"/>
        <v>Sufficuent Stock</v>
      </c>
      <c r="P2528" s="19">
        <f t="shared" si="315"/>
        <v>0</v>
      </c>
      <c r="R2528" s="19">
        <f t="shared" si="312"/>
        <v>0</v>
      </c>
      <c r="T2528" s="19">
        <f t="shared" si="316"/>
        <v>245929.03999999998</v>
      </c>
      <c r="U2528" s="19">
        <f t="shared" si="317"/>
        <v>247325.68</v>
      </c>
      <c r="V2528" s="21">
        <f t="shared" si="318"/>
        <v>1396.640000000014</v>
      </c>
      <c r="W2528" s="18">
        <f t="shared" si="319"/>
        <v>5.6790365220797598E-3</v>
      </c>
    </row>
    <row r="2529" spans="1:23" x14ac:dyDescent="0.3">
      <c r="A2529" t="s">
        <v>393</v>
      </c>
      <c r="B2529" t="s">
        <v>1485</v>
      </c>
      <c r="C2529" t="s">
        <v>50</v>
      </c>
      <c r="D2529" t="s">
        <v>17</v>
      </c>
      <c r="E2529">
        <v>4185</v>
      </c>
      <c r="F2529">
        <v>252.9</v>
      </c>
      <c r="G2529">
        <v>214.05</v>
      </c>
      <c r="H2529">
        <v>252.9</v>
      </c>
      <c r="I2529">
        <v>2040</v>
      </c>
      <c r="J2529">
        <v>23</v>
      </c>
      <c r="K2529" s="17">
        <f t="shared" si="313"/>
        <v>1564</v>
      </c>
      <c r="L2529" t="str">
        <f t="shared" si="314"/>
        <v>Sufficuent Stock</v>
      </c>
      <c r="P2529" s="19">
        <f t="shared" si="315"/>
        <v>0</v>
      </c>
      <c r="R2529" s="19">
        <f t="shared" si="312"/>
        <v>0</v>
      </c>
      <c r="T2529" s="19">
        <f t="shared" si="316"/>
        <v>436662</v>
      </c>
      <c r="U2529" s="19">
        <f t="shared" si="317"/>
        <v>515916</v>
      </c>
      <c r="V2529" s="21">
        <f t="shared" si="318"/>
        <v>79254</v>
      </c>
      <c r="W2529" s="18">
        <f t="shared" si="319"/>
        <v>0.18149964961457604</v>
      </c>
    </row>
    <row r="2530" spans="1:23" x14ac:dyDescent="0.3">
      <c r="A2530" t="s">
        <v>444</v>
      </c>
      <c r="B2530" t="s">
        <v>2673</v>
      </c>
      <c r="C2530" t="s">
        <v>16</v>
      </c>
      <c r="D2530" t="s">
        <v>26</v>
      </c>
      <c r="E2530">
        <v>4186</v>
      </c>
      <c r="F2530">
        <v>204.81</v>
      </c>
      <c r="G2530">
        <v>171.06</v>
      </c>
      <c r="H2530">
        <v>204.81</v>
      </c>
      <c r="I2530">
        <v>3301</v>
      </c>
      <c r="J2530">
        <v>73</v>
      </c>
      <c r="K2530" s="17">
        <f t="shared" si="313"/>
        <v>8032.4333333333334</v>
      </c>
      <c r="L2530" t="str">
        <f t="shared" si="314"/>
        <v>High Risk</v>
      </c>
      <c r="P2530" s="19">
        <f t="shared" si="315"/>
        <v>3847</v>
      </c>
      <c r="R2530" s="19">
        <f t="shared" si="312"/>
        <v>787904.07000000007</v>
      </c>
      <c r="T2530" s="19">
        <f t="shared" si="316"/>
        <v>564669.06000000006</v>
      </c>
      <c r="U2530" s="19">
        <f t="shared" si="317"/>
        <v>676077.81</v>
      </c>
      <c r="V2530" s="21">
        <f t="shared" si="318"/>
        <v>111408.75</v>
      </c>
      <c r="W2530" s="18">
        <f t="shared" si="319"/>
        <v>0.19729919326552084</v>
      </c>
    </row>
    <row r="2531" spans="1:23" x14ac:dyDescent="0.3">
      <c r="A2531" t="s">
        <v>446</v>
      </c>
      <c r="B2531" t="s">
        <v>3252</v>
      </c>
      <c r="C2531" t="s">
        <v>12</v>
      </c>
      <c r="D2531" t="s">
        <v>17</v>
      </c>
      <c r="E2531">
        <v>4187</v>
      </c>
      <c r="F2531">
        <v>456.8</v>
      </c>
      <c r="G2531">
        <v>475.33</v>
      </c>
      <c r="H2531">
        <v>456.8</v>
      </c>
      <c r="I2531">
        <v>3484</v>
      </c>
      <c r="J2531">
        <v>12</v>
      </c>
      <c r="K2531" s="17">
        <f t="shared" si="313"/>
        <v>1393.6000000000001</v>
      </c>
      <c r="L2531" t="str">
        <f t="shared" si="314"/>
        <v>Sufficuent Stock</v>
      </c>
      <c r="P2531" s="19">
        <f t="shared" si="315"/>
        <v>0</v>
      </c>
      <c r="R2531" s="19">
        <f t="shared" si="312"/>
        <v>0</v>
      </c>
      <c r="T2531" s="19">
        <f t="shared" si="316"/>
        <v>1656049.72</v>
      </c>
      <c r="U2531" s="19">
        <f t="shared" si="317"/>
        <v>1591491.2</v>
      </c>
      <c r="V2531" s="21">
        <f t="shared" si="318"/>
        <v>-64558.520000000019</v>
      </c>
      <c r="W2531" s="18">
        <f t="shared" si="319"/>
        <v>-3.8983443081648549E-2</v>
      </c>
    </row>
    <row r="2532" spans="1:23" x14ac:dyDescent="0.3">
      <c r="A2532" t="s">
        <v>449</v>
      </c>
      <c r="B2532" t="s">
        <v>2454</v>
      </c>
      <c r="C2532" t="s">
        <v>12</v>
      </c>
      <c r="D2532" t="s">
        <v>26</v>
      </c>
      <c r="E2532">
        <v>4187</v>
      </c>
      <c r="F2532">
        <v>334.07</v>
      </c>
      <c r="G2532">
        <v>288.19</v>
      </c>
      <c r="H2532">
        <v>334.07</v>
      </c>
      <c r="I2532">
        <v>800</v>
      </c>
      <c r="J2532">
        <v>73</v>
      </c>
      <c r="K2532" s="17">
        <f t="shared" si="313"/>
        <v>1946.6666666666667</v>
      </c>
      <c r="L2532" t="str">
        <f t="shared" si="314"/>
        <v>Sufficuent Stock</v>
      </c>
      <c r="P2532" s="19">
        <f t="shared" si="315"/>
        <v>0</v>
      </c>
      <c r="R2532" s="19">
        <f t="shared" si="312"/>
        <v>0</v>
      </c>
      <c r="T2532" s="19">
        <f t="shared" si="316"/>
        <v>230552</v>
      </c>
      <c r="U2532" s="19">
        <f t="shared" si="317"/>
        <v>267256</v>
      </c>
      <c r="V2532" s="21">
        <f t="shared" si="318"/>
        <v>36704</v>
      </c>
      <c r="W2532" s="18">
        <f t="shared" si="319"/>
        <v>0.1592005274298206</v>
      </c>
    </row>
    <row r="2533" spans="1:23" x14ac:dyDescent="0.3">
      <c r="A2533" t="s">
        <v>132</v>
      </c>
      <c r="B2533" t="s">
        <v>633</v>
      </c>
      <c r="C2533" t="s">
        <v>23</v>
      </c>
      <c r="D2533" t="s">
        <v>13</v>
      </c>
      <c r="E2533">
        <v>4188</v>
      </c>
      <c r="F2533">
        <v>208.59</v>
      </c>
      <c r="G2533">
        <v>178.25</v>
      </c>
      <c r="H2533">
        <v>208.59</v>
      </c>
      <c r="I2533">
        <v>3360</v>
      </c>
      <c r="J2533">
        <v>24</v>
      </c>
      <c r="K2533" s="17">
        <f t="shared" si="313"/>
        <v>2688</v>
      </c>
      <c r="L2533" t="str">
        <f t="shared" si="314"/>
        <v>Sufficuent Stock</v>
      </c>
      <c r="P2533" s="19">
        <f t="shared" si="315"/>
        <v>0</v>
      </c>
      <c r="R2533" s="19">
        <f t="shared" si="312"/>
        <v>0</v>
      </c>
      <c r="T2533" s="19">
        <f t="shared" si="316"/>
        <v>598920</v>
      </c>
      <c r="U2533" s="19">
        <f t="shared" si="317"/>
        <v>700862.4</v>
      </c>
      <c r="V2533" s="21">
        <f t="shared" si="318"/>
        <v>101942.40000000002</v>
      </c>
      <c r="W2533" s="18">
        <f t="shared" si="319"/>
        <v>0.17021037868162697</v>
      </c>
    </row>
    <row r="2534" spans="1:23" x14ac:dyDescent="0.3">
      <c r="A2534" t="s">
        <v>1379</v>
      </c>
      <c r="B2534" t="s">
        <v>1877</v>
      </c>
      <c r="C2534" t="s">
        <v>50</v>
      </c>
      <c r="D2534" t="s">
        <v>17</v>
      </c>
      <c r="E2534">
        <v>4189</v>
      </c>
      <c r="F2534">
        <v>380.32</v>
      </c>
      <c r="G2534">
        <v>373.1</v>
      </c>
      <c r="H2534">
        <v>380.32</v>
      </c>
      <c r="I2534">
        <v>2219</v>
      </c>
      <c r="J2534">
        <v>52</v>
      </c>
      <c r="K2534" s="17">
        <f t="shared" si="313"/>
        <v>3846.2666666666669</v>
      </c>
      <c r="L2534" t="str">
        <f t="shared" si="314"/>
        <v>Sufficuent Stock</v>
      </c>
      <c r="P2534" s="19">
        <f t="shared" si="315"/>
        <v>0</v>
      </c>
      <c r="R2534" s="19">
        <f t="shared" si="312"/>
        <v>0</v>
      </c>
      <c r="T2534" s="19">
        <f t="shared" si="316"/>
        <v>827908.9</v>
      </c>
      <c r="U2534" s="19">
        <f t="shared" si="317"/>
        <v>843930.08</v>
      </c>
      <c r="V2534" s="21">
        <f t="shared" si="318"/>
        <v>16021.179999999935</v>
      </c>
      <c r="W2534" s="18">
        <f t="shared" si="319"/>
        <v>1.9351380326990002E-2</v>
      </c>
    </row>
    <row r="2535" spans="1:23" x14ac:dyDescent="0.3">
      <c r="A2535" t="s">
        <v>374</v>
      </c>
      <c r="B2535" t="s">
        <v>1438</v>
      </c>
      <c r="C2535" t="s">
        <v>37</v>
      </c>
      <c r="D2535" t="s">
        <v>20</v>
      </c>
      <c r="E2535">
        <v>4189</v>
      </c>
      <c r="F2535">
        <v>428.45</v>
      </c>
      <c r="G2535">
        <v>434.65</v>
      </c>
      <c r="H2535">
        <v>428.45</v>
      </c>
      <c r="I2535">
        <v>2583</v>
      </c>
      <c r="J2535">
        <v>15</v>
      </c>
      <c r="K2535" s="17">
        <f t="shared" si="313"/>
        <v>1291.5</v>
      </c>
      <c r="L2535" t="str">
        <f t="shared" si="314"/>
        <v>Sufficuent Stock</v>
      </c>
      <c r="P2535" s="19">
        <f t="shared" si="315"/>
        <v>0</v>
      </c>
      <c r="R2535" s="19">
        <f t="shared" si="312"/>
        <v>0</v>
      </c>
      <c r="T2535" s="19">
        <f t="shared" si="316"/>
        <v>1122700.95</v>
      </c>
      <c r="U2535" s="19">
        <f t="shared" si="317"/>
        <v>1106686.3499999999</v>
      </c>
      <c r="V2535" s="21">
        <f t="shared" si="318"/>
        <v>-16014.600000000093</v>
      </c>
      <c r="W2535" s="18">
        <f t="shared" si="319"/>
        <v>-1.4264350626941301E-2</v>
      </c>
    </row>
    <row r="2536" spans="1:23" x14ac:dyDescent="0.3">
      <c r="A2536" t="s">
        <v>14</v>
      </c>
      <c r="B2536" t="s">
        <v>2953</v>
      </c>
      <c r="C2536" t="s">
        <v>12</v>
      </c>
      <c r="D2536" t="s">
        <v>20</v>
      </c>
      <c r="E2536">
        <v>4193</v>
      </c>
      <c r="F2536">
        <v>378.25</v>
      </c>
      <c r="G2536">
        <v>386.99</v>
      </c>
      <c r="H2536">
        <v>378.25</v>
      </c>
      <c r="I2536">
        <v>3554</v>
      </c>
      <c r="J2536">
        <v>40</v>
      </c>
      <c r="K2536" s="17">
        <f t="shared" si="313"/>
        <v>4738.666666666667</v>
      </c>
      <c r="L2536" t="str">
        <f t="shared" si="314"/>
        <v>High Risk</v>
      </c>
      <c r="P2536" s="19">
        <f t="shared" si="315"/>
        <v>546</v>
      </c>
      <c r="R2536" s="19">
        <f t="shared" si="312"/>
        <v>206524.5</v>
      </c>
      <c r="T2536" s="19">
        <f t="shared" si="316"/>
        <v>1375362.46</v>
      </c>
      <c r="U2536" s="19">
        <f t="shared" si="317"/>
        <v>1344300.5</v>
      </c>
      <c r="V2536" s="21">
        <f t="shared" si="318"/>
        <v>-31061.959999999963</v>
      </c>
      <c r="W2536" s="18">
        <f t="shared" si="319"/>
        <v>-2.2584562908602262E-2</v>
      </c>
    </row>
    <row r="2537" spans="1:23" x14ac:dyDescent="0.3">
      <c r="A2537" t="s">
        <v>798</v>
      </c>
      <c r="B2537" t="s">
        <v>1916</v>
      </c>
      <c r="C2537" t="s">
        <v>12</v>
      </c>
      <c r="D2537" t="s">
        <v>69</v>
      </c>
      <c r="E2537">
        <v>4195</v>
      </c>
      <c r="F2537">
        <v>106.7</v>
      </c>
      <c r="G2537">
        <v>106.37</v>
      </c>
      <c r="H2537">
        <v>106.7</v>
      </c>
      <c r="I2537">
        <v>374</v>
      </c>
      <c r="J2537">
        <v>54</v>
      </c>
      <c r="K2537" s="17">
        <f t="shared" si="313"/>
        <v>673.2</v>
      </c>
      <c r="L2537" t="str">
        <f t="shared" si="314"/>
        <v>Sufficuent Stock</v>
      </c>
      <c r="P2537" s="19">
        <f t="shared" si="315"/>
        <v>0</v>
      </c>
      <c r="R2537" s="19">
        <f t="shared" si="312"/>
        <v>0</v>
      </c>
      <c r="T2537" s="19">
        <f t="shared" si="316"/>
        <v>39782.380000000005</v>
      </c>
      <c r="U2537" s="19">
        <f t="shared" si="317"/>
        <v>39905.800000000003</v>
      </c>
      <c r="V2537" s="21">
        <f t="shared" si="318"/>
        <v>123.41999999999825</v>
      </c>
      <c r="W2537" s="18">
        <f t="shared" si="319"/>
        <v>3.102378490175757E-3</v>
      </c>
    </row>
    <row r="2538" spans="1:23" x14ac:dyDescent="0.3">
      <c r="A2538" t="s">
        <v>464</v>
      </c>
      <c r="B2538" t="s">
        <v>3113</v>
      </c>
      <c r="C2538" t="s">
        <v>16</v>
      </c>
      <c r="D2538" t="s">
        <v>20</v>
      </c>
      <c r="E2538">
        <v>4197</v>
      </c>
      <c r="F2538">
        <v>56.34</v>
      </c>
      <c r="G2538">
        <v>57.13</v>
      </c>
      <c r="H2538">
        <v>56.34</v>
      </c>
      <c r="I2538">
        <v>80</v>
      </c>
      <c r="J2538">
        <v>71</v>
      </c>
      <c r="K2538" s="17">
        <f t="shared" si="313"/>
        <v>189.33333333333331</v>
      </c>
      <c r="L2538" t="str">
        <f t="shared" si="314"/>
        <v>Sufficuent Stock</v>
      </c>
      <c r="P2538" s="19">
        <f t="shared" si="315"/>
        <v>0</v>
      </c>
      <c r="R2538" s="19">
        <f t="shared" si="312"/>
        <v>0</v>
      </c>
      <c r="T2538" s="19">
        <f t="shared" si="316"/>
        <v>4570.4000000000005</v>
      </c>
      <c r="U2538" s="19">
        <f t="shared" si="317"/>
        <v>4507.2000000000007</v>
      </c>
      <c r="V2538" s="21">
        <f t="shared" si="318"/>
        <v>-63.199999999999818</v>
      </c>
      <c r="W2538" s="18">
        <f t="shared" si="319"/>
        <v>-1.3828111325048095E-2</v>
      </c>
    </row>
    <row r="2539" spans="1:23" x14ac:dyDescent="0.3">
      <c r="A2539" t="s">
        <v>238</v>
      </c>
      <c r="B2539" t="s">
        <v>3202</v>
      </c>
      <c r="C2539" t="s">
        <v>23</v>
      </c>
      <c r="D2539" t="s">
        <v>26</v>
      </c>
      <c r="E2539">
        <v>4200</v>
      </c>
      <c r="F2539">
        <v>247.98</v>
      </c>
      <c r="G2539">
        <v>258.25</v>
      </c>
      <c r="H2539">
        <v>247.98</v>
      </c>
      <c r="I2539">
        <v>2375</v>
      </c>
      <c r="J2539">
        <v>37</v>
      </c>
      <c r="K2539" s="17">
        <f t="shared" si="313"/>
        <v>2929.166666666667</v>
      </c>
      <c r="L2539" t="str">
        <f t="shared" si="314"/>
        <v>Sufficuent Stock</v>
      </c>
      <c r="P2539" s="19">
        <f t="shared" si="315"/>
        <v>0</v>
      </c>
      <c r="R2539" s="19">
        <f t="shared" si="312"/>
        <v>0</v>
      </c>
      <c r="T2539" s="19">
        <f t="shared" si="316"/>
        <v>613343.75</v>
      </c>
      <c r="U2539" s="19">
        <f t="shared" si="317"/>
        <v>588952.5</v>
      </c>
      <c r="V2539" s="21">
        <f t="shared" si="318"/>
        <v>-24391.25</v>
      </c>
      <c r="W2539" s="18">
        <f t="shared" si="319"/>
        <v>-3.9767666989351406E-2</v>
      </c>
    </row>
    <row r="2540" spans="1:23" x14ac:dyDescent="0.3">
      <c r="A2540" t="s">
        <v>566</v>
      </c>
      <c r="B2540" t="s">
        <v>567</v>
      </c>
      <c r="C2540" t="s">
        <v>23</v>
      </c>
      <c r="D2540" t="s">
        <v>13</v>
      </c>
      <c r="E2540">
        <v>4200</v>
      </c>
      <c r="F2540">
        <v>586.61</v>
      </c>
      <c r="G2540">
        <v>494.84</v>
      </c>
      <c r="H2540">
        <v>586.61</v>
      </c>
      <c r="I2540">
        <v>2879</v>
      </c>
      <c r="J2540">
        <v>66</v>
      </c>
      <c r="K2540" s="17">
        <f t="shared" si="313"/>
        <v>6333.8</v>
      </c>
      <c r="L2540" t="str">
        <f t="shared" si="314"/>
        <v>High Risk</v>
      </c>
      <c r="P2540" s="19">
        <f t="shared" si="315"/>
        <v>2134</v>
      </c>
      <c r="R2540" s="19">
        <f t="shared" si="312"/>
        <v>1251825.74</v>
      </c>
      <c r="T2540" s="19">
        <f t="shared" si="316"/>
        <v>1424644.3599999999</v>
      </c>
      <c r="U2540" s="19">
        <f t="shared" si="317"/>
        <v>1688850.19</v>
      </c>
      <c r="V2540" s="21">
        <f t="shared" si="318"/>
        <v>264205.83000000007</v>
      </c>
      <c r="W2540" s="18">
        <f t="shared" si="319"/>
        <v>0.1854538840837443</v>
      </c>
    </row>
    <row r="2541" spans="1:23" x14ac:dyDescent="0.3">
      <c r="A2541" t="s">
        <v>186</v>
      </c>
      <c r="B2541" t="s">
        <v>2257</v>
      </c>
      <c r="C2541" t="s">
        <v>16</v>
      </c>
      <c r="D2541" t="s">
        <v>20</v>
      </c>
      <c r="E2541">
        <v>4203</v>
      </c>
      <c r="F2541">
        <v>285.07</v>
      </c>
      <c r="G2541">
        <v>290.95</v>
      </c>
      <c r="H2541">
        <v>285.07</v>
      </c>
      <c r="I2541">
        <v>365</v>
      </c>
      <c r="J2541">
        <v>61</v>
      </c>
      <c r="K2541" s="17">
        <f t="shared" si="313"/>
        <v>742.16666666666663</v>
      </c>
      <c r="L2541" t="str">
        <f t="shared" si="314"/>
        <v>Sufficuent Stock</v>
      </c>
      <c r="P2541" s="19">
        <f t="shared" si="315"/>
        <v>0</v>
      </c>
      <c r="R2541" s="19">
        <f t="shared" si="312"/>
        <v>0</v>
      </c>
      <c r="T2541" s="19">
        <f t="shared" si="316"/>
        <v>106196.75</v>
      </c>
      <c r="U2541" s="19">
        <f t="shared" si="317"/>
        <v>104050.55</v>
      </c>
      <c r="V2541" s="21">
        <f t="shared" si="318"/>
        <v>-2146.1999999999971</v>
      </c>
      <c r="W2541" s="18">
        <f t="shared" si="319"/>
        <v>-2.0209658016841353E-2</v>
      </c>
    </row>
    <row r="2542" spans="1:23" x14ac:dyDescent="0.3">
      <c r="A2542" t="s">
        <v>1146</v>
      </c>
      <c r="B2542" t="s">
        <v>1632</v>
      </c>
      <c r="C2542" t="s">
        <v>16</v>
      </c>
      <c r="D2542" t="s">
        <v>17</v>
      </c>
      <c r="E2542">
        <v>4207</v>
      </c>
      <c r="F2542">
        <v>319.93</v>
      </c>
      <c r="G2542">
        <v>325.99</v>
      </c>
      <c r="H2542">
        <v>319.93</v>
      </c>
      <c r="I2542">
        <v>3616</v>
      </c>
      <c r="J2542">
        <v>17</v>
      </c>
      <c r="K2542" s="17">
        <f t="shared" si="313"/>
        <v>2049.0666666666666</v>
      </c>
      <c r="L2542" t="str">
        <f t="shared" si="314"/>
        <v>Sufficuent Stock</v>
      </c>
      <c r="P2542" s="19">
        <f t="shared" si="315"/>
        <v>0</v>
      </c>
      <c r="R2542" s="19">
        <f t="shared" si="312"/>
        <v>0</v>
      </c>
      <c r="T2542" s="19">
        <f t="shared" si="316"/>
        <v>1178779.8400000001</v>
      </c>
      <c r="U2542" s="19">
        <f t="shared" si="317"/>
        <v>1156866.8800000001</v>
      </c>
      <c r="V2542" s="21">
        <f t="shared" si="318"/>
        <v>-21912.959999999963</v>
      </c>
      <c r="W2542" s="18">
        <f t="shared" si="319"/>
        <v>-1.8589527286113038E-2</v>
      </c>
    </row>
    <row r="2543" spans="1:23" x14ac:dyDescent="0.3">
      <c r="A2543" t="s">
        <v>113</v>
      </c>
      <c r="B2543" t="s">
        <v>862</v>
      </c>
      <c r="C2543" t="s">
        <v>16</v>
      </c>
      <c r="D2543" t="s">
        <v>13</v>
      </c>
      <c r="E2543">
        <v>4209</v>
      </c>
      <c r="F2543">
        <v>285.29000000000002</v>
      </c>
      <c r="G2543">
        <v>305.14999999999998</v>
      </c>
      <c r="H2543">
        <v>285.29000000000002</v>
      </c>
      <c r="I2543">
        <v>2807</v>
      </c>
      <c r="J2543">
        <v>62</v>
      </c>
      <c r="K2543" s="17">
        <f t="shared" si="313"/>
        <v>5801.1333333333332</v>
      </c>
      <c r="L2543" t="str">
        <f t="shared" si="314"/>
        <v>High Risk</v>
      </c>
      <c r="P2543" s="19">
        <f t="shared" si="315"/>
        <v>1593</v>
      </c>
      <c r="R2543" s="19">
        <f t="shared" si="312"/>
        <v>454466.97000000003</v>
      </c>
      <c r="T2543" s="19">
        <f t="shared" si="316"/>
        <v>856556.04999999993</v>
      </c>
      <c r="U2543" s="19">
        <f t="shared" si="317"/>
        <v>800809.03</v>
      </c>
      <c r="V2543" s="21">
        <f t="shared" si="318"/>
        <v>-55747.019999999902</v>
      </c>
      <c r="W2543" s="18">
        <f t="shared" si="319"/>
        <v>-6.5082746190398055E-2</v>
      </c>
    </row>
    <row r="2544" spans="1:23" x14ac:dyDescent="0.3">
      <c r="A2544" t="s">
        <v>927</v>
      </c>
      <c r="B2544" t="s">
        <v>1368</v>
      </c>
      <c r="C2544" t="s">
        <v>12</v>
      </c>
      <c r="D2544" t="s">
        <v>20</v>
      </c>
      <c r="E2544">
        <v>4211</v>
      </c>
      <c r="F2544">
        <v>328.16</v>
      </c>
      <c r="G2544">
        <v>335.06</v>
      </c>
      <c r="H2544">
        <v>328.16</v>
      </c>
      <c r="I2544">
        <v>608</v>
      </c>
      <c r="J2544">
        <v>9</v>
      </c>
      <c r="K2544" s="17">
        <f t="shared" si="313"/>
        <v>182.39999999999998</v>
      </c>
      <c r="L2544" t="str">
        <f t="shared" si="314"/>
        <v>Sufficuent Stock</v>
      </c>
      <c r="P2544" s="19">
        <f t="shared" si="315"/>
        <v>0</v>
      </c>
      <c r="R2544" s="19">
        <f t="shared" si="312"/>
        <v>0</v>
      </c>
      <c r="T2544" s="19">
        <f t="shared" si="316"/>
        <v>203716.48000000001</v>
      </c>
      <c r="U2544" s="19">
        <f t="shared" si="317"/>
        <v>199521.28000000003</v>
      </c>
      <c r="V2544" s="21">
        <f t="shared" si="318"/>
        <v>-4195.1999999999825</v>
      </c>
      <c r="W2544" s="18">
        <f t="shared" si="319"/>
        <v>-2.0593326568375727E-2</v>
      </c>
    </row>
    <row r="2545" spans="1:23" x14ac:dyDescent="0.3">
      <c r="A2545" t="s">
        <v>238</v>
      </c>
      <c r="B2545" t="s">
        <v>1821</v>
      </c>
      <c r="C2545" t="s">
        <v>50</v>
      </c>
      <c r="D2545" t="s">
        <v>26</v>
      </c>
      <c r="E2545">
        <v>4217</v>
      </c>
      <c r="F2545">
        <v>172.08</v>
      </c>
      <c r="G2545">
        <v>175.26</v>
      </c>
      <c r="H2545">
        <v>172.08</v>
      </c>
      <c r="I2545">
        <v>2930</v>
      </c>
      <c r="J2545">
        <v>16</v>
      </c>
      <c r="K2545" s="17">
        <f t="shared" si="313"/>
        <v>1562.6666666666667</v>
      </c>
      <c r="L2545" t="str">
        <f t="shared" si="314"/>
        <v>Sufficuent Stock</v>
      </c>
      <c r="P2545" s="19">
        <f t="shared" si="315"/>
        <v>0</v>
      </c>
      <c r="R2545" s="19">
        <f t="shared" si="312"/>
        <v>0</v>
      </c>
      <c r="T2545" s="19">
        <f t="shared" si="316"/>
        <v>513511.8</v>
      </c>
      <c r="U2545" s="19">
        <f t="shared" si="317"/>
        <v>504194.4</v>
      </c>
      <c r="V2545" s="21">
        <f t="shared" si="318"/>
        <v>-9317.3999999999651</v>
      </c>
      <c r="W2545" s="18">
        <f t="shared" si="319"/>
        <v>-1.8144471071550771E-2</v>
      </c>
    </row>
    <row r="2546" spans="1:23" x14ac:dyDescent="0.3">
      <c r="A2546" t="s">
        <v>657</v>
      </c>
      <c r="B2546" t="s">
        <v>658</v>
      </c>
      <c r="C2546" t="s">
        <v>16</v>
      </c>
      <c r="D2546" t="s">
        <v>26</v>
      </c>
      <c r="E2546">
        <v>4217</v>
      </c>
      <c r="F2546">
        <v>96.17</v>
      </c>
      <c r="G2546">
        <v>81.67</v>
      </c>
      <c r="H2546">
        <v>96.17</v>
      </c>
      <c r="I2546">
        <v>660</v>
      </c>
      <c r="J2546">
        <v>71</v>
      </c>
      <c r="K2546" s="17">
        <f t="shared" si="313"/>
        <v>1562</v>
      </c>
      <c r="L2546" t="str">
        <f t="shared" si="314"/>
        <v>Sufficuent Stock</v>
      </c>
      <c r="P2546" s="19">
        <f t="shared" si="315"/>
        <v>0</v>
      </c>
      <c r="R2546" s="19">
        <f t="shared" si="312"/>
        <v>0</v>
      </c>
      <c r="T2546" s="19">
        <f t="shared" si="316"/>
        <v>53902.200000000004</v>
      </c>
      <c r="U2546" s="19">
        <f t="shared" si="317"/>
        <v>63472.200000000004</v>
      </c>
      <c r="V2546" s="21">
        <f t="shared" si="318"/>
        <v>9570</v>
      </c>
      <c r="W2546" s="18">
        <f t="shared" si="319"/>
        <v>0.17754377372352148</v>
      </c>
    </row>
    <row r="2547" spans="1:23" x14ac:dyDescent="0.3">
      <c r="A2547" t="s">
        <v>249</v>
      </c>
      <c r="B2547" t="s">
        <v>346</v>
      </c>
      <c r="C2547" t="s">
        <v>50</v>
      </c>
      <c r="D2547" t="s">
        <v>20</v>
      </c>
      <c r="E2547">
        <v>4218</v>
      </c>
      <c r="F2547">
        <v>315.48</v>
      </c>
      <c r="G2547">
        <v>279.91000000000003</v>
      </c>
      <c r="H2547">
        <v>315.48</v>
      </c>
      <c r="I2547">
        <v>2488</v>
      </c>
      <c r="J2547">
        <v>15</v>
      </c>
      <c r="K2547" s="17">
        <f t="shared" si="313"/>
        <v>1244</v>
      </c>
      <c r="L2547" t="str">
        <f t="shared" si="314"/>
        <v>Sufficuent Stock</v>
      </c>
      <c r="P2547" s="19">
        <f t="shared" si="315"/>
        <v>0</v>
      </c>
      <c r="R2547" s="19">
        <f t="shared" si="312"/>
        <v>0</v>
      </c>
      <c r="T2547" s="19">
        <f t="shared" si="316"/>
        <v>696416.08000000007</v>
      </c>
      <c r="U2547" s="19">
        <f t="shared" si="317"/>
        <v>784914.24</v>
      </c>
      <c r="V2547" s="21">
        <f t="shared" si="318"/>
        <v>88498.159999999916</v>
      </c>
      <c r="W2547" s="18">
        <f t="shared" si="319"/>
        <v>0.12707656032296083</v>
      </c>
    </row>
    <row r="2548" spans="1:23" x14ac:dyDescent="0.3">
      <c r="A2548" t="s">
        <v>743</v>
      </c>
      <c r="B2548" t="s">
        <v>2785</v>
      </c>
      <c r="C2548" t="s">
        <v>23</v>
      </c>
      <c r="D2548" t="s">
        <v>13</v>
      </c>
      <c r="E2548">
        <v>4219</v>
      </c>
      <c r="F2548">
        <v>293.5</v>
      </c>
      <c r="G2548">
        <v>267.66000000000003</v>
      </c>
      <c r="H2548">
        <v>293.5</v>
      </c>
      <c r="I2548">
        <v>2247</v>
      </c>
      <c r="J2548">
        <v>62</v>
      </c>
      <c r="K2548" s="17">
        <f t="shared" si="313"/>
        <v>4643.8</v>
      </c>
      <c r="L2548" t="str">
        <f t="shared" si="314"/>
        <v>High Risk</v>
      </c>
      <c r="P2548" s="19">
        <f t="shared" si="315"/>
        <v>425</v>
      </c>
      <c r="R2548" s="19">
        <f t="shared" si="312"/>
        <v>124737.5</v>
      </c>
      <c r="T2548" s="19">
        <f t="shared" si="316"/>
        <v>601432.02</v>
      </c>
      <c r="U2548" s="19">
        <f t="shared" si="317"/>
        <v>659494.5</v>
      </c>
      <c r="V2548" s="21">
        <f t="shared" si="318"/>
        <v>58062.479999999981</v>
      </c>
      <c r="W2548" s="18">
        <f t="shared" si="319"/>
        <v>9.6540387058208138E-2</v>
      </c>
    </row>
    <row r="2549" spans="1:23" x14ac:dyDescent="0.3">
      <c r="A2549" t="s">
        <v>365</v>
      </c>
      <c r="B2549" t="s">
        <v>2504</v>
      </c>
      <c r="C2549" t="s">
        <v>37</v>
      </c>
      <c r="D2549" t="s">
        <v>13</v>
      </c>
      <c r="E2549">
        <v>4220</v>
      </c>
      <c r="F2549">
        <v>198.03</v>
      </c>
      <c r="G2549">
        <v>193.77</v>
      </c>
      <c r="H2549">
        <v>198.03</v>
      </c>
      <c r="I2549">
        <v>3348</v>
      </c>
      <c r="J2549">
        <v>90</v>
      </c>
      <c r="K2549" s="17">
        <f t="shared" si="313"/>
        <v>10044</v>
      </c>
      <c r="L2549" t="str">
        <f t="shared" si="314"/>
        <v>High Risk</v>
      </c>
      <c r="P2549" s="19">
        <f t="shared" si="315"/>
        <v>5824</v>
      </c>
      <c r="R2549" s="19">
        <f t="shared" si="312"/>
        <v>1153326.72</v>
      </c>
      <c r="T2549" s="19">
        <f t="shared" si="316"/>
        <v>648741.96000000008</v>
      </c>
      <c r="U2549" s="19">
        <f t="shared" si="317"/>
        <v>663004.44000000006</v>
      </c>
      <c r="V2549" s="21">
        <f t="shared" si="318"/>
        <v>14262.479999999981</v>
      </c>
      <c r="W2549" s="18">
        <f t="shared" si="319"/>
        <v>2.1984827372658274E-2</v>
      </c>
    </row>
    <row r="2550" spans="1:23" x14ac:dyDescent="0.3">
      <c r="A2550" t="s">
        <v>385</v>
      </c>
      <c r="B2550" t="s">
        <v>1922</v>
      </c>
      <c r="C2550" t="s">
        <v>23</v>
      </c>
      <c r="D2550" t="s">
        <v>13</v>
      </c>
      <c r="E2550">
        <v>4221</v>
      </c>
      <c r="F2550">
        <v>187.75</v>
      </c>
      <c r="G2550">
        <v>156.58000000000001</v>
      </c>
      <c r="H2550">
        <v>187.75</v>
      </c>
      <c r="I2550">
        <v>3256</v>
      </c>
      <c r="J2550">
        <v>76</v>
      </c>
      <c r="K2550" s="17">
        <f t="shared" si="313"/>
        <v>8248.5333333333328</v>
      </c>
      <c r="L2550" t="str">
        <f t="shared" si="314"/>
        <v>High Risk</v>
      </c>
      <c r="P2550" s="19">
        <f t="shared" si="315"/>
        <v>4028</v>
      </c>
      <c r="R2550" s="19">
        <f t="shared" si="312"/>
        <v>756257</v>
      </c>
      <c r="T2550" s="19">
        <f t="shared" si="316"/>
        <v>509824.48000000004</v>
      </c>
      <c r="U2550" s="19">
        <f t="shared" si="317"/>
        <v>611314</v>
      </c>
      <c r="V2550" s="21">
        <f t="shared" si="318"/>
        <v>101489.51999999996</v>
      </c>
      <c r="W2550" s="18">
        <f t="shared" si="319"/>
        <v>0.19906756929365171</v>
      </c>
    </row>
    <row r="2551" spans="1:23" x14ac:dyDescent="0.3">
      <c r="A2551" t="s">
        <v>1481</v>
      </c>
      <c r="B2551" t="s">
        <v>1644</v>
      </c>
      <c r="C2551" t="s">
        <v>12</v>
      </c>
      <c r="D2551" t="s">
        <v>17</v>
      </c>
      <c r="E2551">
        <v>4221</v>
      </c>
      <c r="F2551">
        <v>64.760000000000005</v>
      </c>
      <c r="G2551">
        <v>64.900000000000006</v>
      </c>
      <c r="H2551">
        <v>64.760000000000005</v>
      </c>
      <c r="I2551">
        <v>644</v>
      </c>
      <c r="J2551">
        <v>68</v>
      </c>
      <c r="K2551" s="17">
        <f t="shared" si="313"/>
        <v>1459.7333333333331</v>
      </c>
      <c r="L2551" t="str">
        <f t="shared" si="314"/>
        <v>Sufficuent Stock</v>
      </c>
      <c r="P2551" s="19">
        <f t="shared" si="315"/>
        <v>0</v>
      </c>
      <c r="R2551" s="19">
        <f t="shared" si="312"/>
        <v>0</v>
      </c>
      <c r="T2551" s="19">
        <f t="shared" si="316"/>
        <v>41795.600000000006</v>
      </c>
      <c r="U2551" s="19">
        <f t="shared" si="317"/>
        <v>41705.440000000002</v>
      </c>
      <c r="V2551" s="21">
        <f t="shared" si="318"/>
        <v>-90.160000000003492</v>
      </c>
      <c r="W2551" s="18">
        <f t="shared" si="319"/>
        <v>-2.1571648690293589E-3</v>
      </c>
    </row>
    <row r="2552" spans="1:23" x14ac:dyDescent="0.3">
      <c r="A2552" t="s">
        <v>1014</v>
      </c>
      <c r="B2552" t="s">
        <v>1222</v>
      </c>
      <c r="C2552" t="s">
        <v>23</v>
      </c>
      <c r="D2552" t="s">
        <v>69</v>
      </c>
      <c r="E2552">
        <v>4222</v>
      </c>
      <c r="F2552">
        <v>183.57</v>
      </c>
      <c r="G2552">
        <v>153.88999999999999</v>
      </c>
      <c r="H2552">
        <v>183.57</v>
      </c>
      <c r="I2552">
        <v>549</v>
      </c>
      <c r="J2552">
        <v>26</v>
      </c>
      <c r="K2552" s="17">
        <f t="shared" si="313"/>
        <v>475.8</v>
      </c>
      <c r="L2552" t="str">
        <f t="shared" si="314"/>
        <v>Sufficuent Stock</v>
      </c>
      <c r="P2552" s="19">
        <f t="shared" si="315"/>
        <v>0</v>
      </c>
      <c r="R2552" s="19">
        <f t="shared" si="312"/>
        <v>0</v>
      </c>
      <c r="T2552" s="19">
        <f t="shared" si="316"/>
        <v>84485.609999999986</v>
      </c>
      <c r="U2552" s="19">
        <f t="shared" si="317"/>
        <v>100779.93</v>
      </c>
      <c r="V2552" s="21">
        <f t="shared" si="318"/>
        <v>16294.320000000007</v>
      </c>
      <c r="W2552" s="18">
        <f t="shared" si="319"/>
        <v>0.19286503346546247</v>
      </c>
    </row>
    <row r="2553" spans="1:23" x14ac:dyDescent="0.3">
      <c r="A2553" t="s">
        <v>349</v>
      </c>
      <c r="B2553" t="s">
        <v>1307</v>
      </c>
      <c r="C2553" t="s">
        <v>12</v>
      </c>
      <c r="D2553" t="s">
        <v>13</v>
      </c>
      <c r="E2553">
        <v>4223</v>
      </c>
      <c r="F2553">
        <v>196.47</v>
      </c>
      <c r="G2553">
        <v>172.37</v>
      </c>
      <c r="H2553">
        <v>196.47</v>
      </c>
      <c r="I2553">
        <v>2442</v>
      </c>
      <c r="J2553">
        <v>67</v>
      </c>
      <c r="K2553" s="17">
        <f t="shared" si="313"/>
        <v>5453.8</v>
      </c>
      <c r="L2553" t="str">
        <f t="shared" si="314"/>
        <v>High Risk</v>
      </c>
      <c r="P2553" s="19">
        <f t="shared" si="315"/>
        <v>1231</v>
      </c>
      <c r="R2553" s="19">
        <f t="shared" si="312"/>
        <v>241854.57</v>
      </c>
      <c r="T2553" s="19">
        <f t="shared" si="316"/>
        <v>420927.54000000004</v>
      </c>
      <c r="U2553" s="19">
        <f t="shared" si="317"/>
        <v>479779.74</v>
      </c>
      <c r="V2553" s="21">
        <f t="shared" si="318"/>
        <v>58852.199999999953</v>
      </c>
      <c r="W2553" s="18">
        <f t="shared" si="319"/>
        <v>0.13981551314033752</v>
      </c>
    </row>
    <row r="2554" spans="1:23" x14ac:dyDescent="0.3">
      <c r="A2554" t="s">
        <v>374</v>
      </c>
      <c r="B2554" t="s">
        <v>2133</v>
      </c>
      <c r="C2554" t="s">
        <v>12</v>
      </c>
      <c r="D2554" t="s">
        <v>17</v>
      </c>
      <c r="E2554">
        <v>4223</v>
      </c>
      <c r="F2554">
        <v>464.26</v>
      </c>
      <c r="G2554">
        <v>488.23</v>
      </c>
      <c r="H2554">
        <v>464.26</v>
      </c>
      <c r="I2554">
        <v>762</v>
      </c>
      <c r="J2554">
        <v>49</v>
      </c>
      <c r="K2554" s="17">
        <f t="shared" si="313"/>
        <v>1244.5999999999999</v>
      </c>
      <c r="L2554" t="str">
        <f t="shared" si="314"/>
        <v>Sufficuent Stock</v>
      </c>
      <c r="P2554" s="19">
        <f t="shared" si="315"/>
        <v>0</v>
      </c>
      <c r="R2554" s="19">
        <f t="shared" si="312"/>
        <v>0</v>
      </c>
      <c r="T2554" s="19">
        <f t="shared" si="316"/>
        <v>372031.26</v>
      </c>
      <c r="U2554" s="19">
        <f t="shared" si="317"/>
        <v>353766.12</v>
      </c>
      <c r="V2554" s="21">
        <f t="shared" si="318"/>
        <v>-18265.140000000014</v>
      </c>
      <c r="W2554" s="18">
        <f t="shared" si="319"/>
        <v>-4.9095713086045545E-2</v>
      </c>
    </row>
    <row r="2555" spans="1:23" x14ac:dyDescent="0.3">
      <c r="A2555" t="s">
        <v>338</v>
      </c>
      <c r="B2555" t="s">
        <v>933</v>
      </c>
      <c r="C2555" t="s">
        <v>37</v>
      </c>
      <c r="D2555" t="s">
        <v>13</v>
      </c>
      <c r="E2555">
        <v>4225</v>
      </c>
      <c r="F2555">
        <v>31.52</v>
      </c>
      <c r="G2555">
        <v>32.31</v>
      </c>
      <c r="H2555">
        <v>31.52</v>
      </c>
      <c r="I2555">
        <v>1309</v>
      </c>
      <c r="J2555">
        <v>53</v>
      </c>
      <c r="K2555" s="17">
        <f t="shared" si="313"/>
        <v>2312.5666666666666</v>
      </c>
      <c r="L2555" t="str">
        <f t="shared" si="314"/>
        <v>Sufficuent Stock</v>
      </c>
      <c r="P2555" s="19">
        <f t="shared" si="315"/>
        <v>0</v>
      </c>
      <c r="R2555" s="19">
        <f t="shared" si="312"/>
        <v>0</v>
      </c>
      <c r="T2555" s="19">
        <f t="shared" si="316"/>
        <v>42293.79</v>
      </c>
      <c r="U2555" s="19">
        <f t="shared" si="317"/>
        <v>41259.68</v>
      </c>
      <c r="V2555" s="21">
        <f t="shared" si="318"/>
        <v>-1034.1100000000006</v>
      </c>
      <c r="W2555" s="18">
        <f t="shared" si="319"/>
        <v>-2.4450634478489646E-2</v>
      </c>
    </row>
    <row r="2556" spans="1:23" x14ac:dyDescent="0.3">
      <c r="A2556" t="s">
        <v>141</v>
      </c>
      <c r="B2556" t="s">
        <v>1600</v>
      </c>
      <c r="C2556" t="s">
        <v>16</v>
      </c>
      <c r="D2556" t="s">
        <v>17</v>
      </c>
      <c r="E2556">
        <v>4225</v>
      </c>
      <c r="F2556">
        <v>456.32</v>
      </c>
      <c r="G2556">
        <v>417.74</v>
      </c>
      <c r="H2556">
        <v>456.32</v>
      </c>
      <c r="I2556">
        <v>1081</v>
      </c>
      <c r="J2556">
        <v>87</v>
      </c>
      <c r="K2556" s="17">
        <f t="shared" si="313"/>
        <v>3134.8999999999996</v>
      </c>
      <c r="L2556" t="str">
        <f t="shared" si="314"/>
        <v>Sufficuent Stock</v>
      </c>
      <c r="P2556" s="19">
        <f t="shared" si="315"/>
        <v>0</v>
      </c>
      <c r="R2556" s="19">
        <f t="shared" si="312"/>
        <v>0</v>
      </c>
      <c r="T2556" s="19">
        <f t="shared" si="316"/>
        <v>451576.94</v>
      </c>
      <c r="U2556" s="19">
        <f t="shared" si="317"/>
        <v>493281.92</v>
      </c>
      <c r="V2556" s="21">
        <f t="shared" si="318"/>
        <v>41704.979999999981</v>
      </c>
      <c r="W2556" s="18">
        <f t="shared" si="319"/>
        <v>9.2354095849092696E-2</v>
      </c>
    </row>
    <row r="2557" spans="1:23" x14ac:dyDescent="0.3">
      <c r="A2557" t="s">
        <v>344</v>
      </c>
      <c r="B2557" t="s">
        <v>2714</v>
      </c>
      <c r="C2557" t="s">
        <v>23</v>
      </c>
      <c r="D2557" t="s">
        <v>17</v>
      </c>
      <c r="E2557">
        <v>4227</v>
      </c>
      <c r="F2557">
        <v>394.34</v>
      </c>
      <c r="G2557">
        <v>344.9</v>
      </c>
      <c r="H2557">
        <v>394.34</v>
      </c>
      <c r="I2557">
        <v>1748</v>
      </c>
      <c r="J2557">
        <v>18</v>
      </c>
      <c r="K2557" s="17">
        <f t="shared" si="313"/>
        <v>1048.8</v>
      </c>
      <c r="L2557" t="str">
        <f t="shared" si="314"/>
        <v>Sufficuent Stock</v>
      </c>
      <c r="P2557" s="19">
        <f t="shared" si="315"/>
        <v>0</v>
      </c>
      <c r="R2557" s="19">
        <f t="shared" si="312"/>
        <v>0</v>
      </c>
      <c r="T2557" s="19">
        <f t="shared" si="316"/>
        <v>602885.19999999995</v>
      </c>
      <c r="U2557" s="19">
        <f t="shared" si="317"/>
        <v>689306.32</v>
      </c>
      <c r="V2557" s="21">
        <f t="shared" si="318"/>
        <v>86421.119999999995</v>
      </c>
      <c r="W2557" s="18">
        <f t="shared" si="319"/>
        <v>0.14334589736155406</v>
      </c>
    </row>
    <row r="2558" spans="1:23" x14ac:dyDescent="0.3">
      <c r="A2558" t="s">
        <v>18</v>
      </c>
      <c r="B2558" t="s">
        <v>469</v>
      </c>
      <c r="C2558" t="s">
        <v>16</v>
      </c>
      <c r="D2558" t="s">
        <v>20</v>
      </c>
      <c r="E2558">
        <v>4228</v>
      </c>
      <c r="F2558">
        <v>439.13</v>
      </c>
      <c r="G2558">
        <v>431.79</v>
      </c>
      <c r="H2558">
        <v>439.13</v>
      </c>
      <c r="I2558">
        <v>1832</v>
      </c>
      <c r="J2558">
        <v>30</v>
      </c>
      <c r="K2558" s="17">
        <f t="shared" si="313"/>
        <v>1832</v>
      </c>
      <c r="L2558" t="str">
        <f t="shared" si="314"/>
        <v>Sufficuent Stock</v>
      </c>
      <c r="P2558" s="19">
        <f t="shared" si="315"/>
        <v>0</v>
      </c>
      <c r="R2558" s="19">
        <f t="shared" si="312"/>
        <v>0</v>
      </c>
      <c r="T2558" s="19">
        <f t="shared" si="316"/>
        <v>791039.28</v>
      </c>
      <c r="U2558" s="19">
        <f t="shared" si="317"/>
        <v>804486.16</v>
      </c>
      <c r="V2558" s="21">
        <f t="shared" si="318"/>
        <v>13446.880000000005</v>
      </c>
      <c r="W2558" s="18">
        <f t="shared" si="319"/>
        <v>1.6999004145533715E-2</v>
      </c>
    </row>
    <row r="2559" spans="1:23" x14ac:dyDescent="0.3">
      <c r="A2559" t="s">
        <v>201</v>
      </c>
      <c r="B2559" t="s">
        <v>682</v>
      </c>
      <c r="C2559" t="s">
        <v>37</v>
      </c>
      <c r="D2559" t="s">
        <v>26</v>
      </c>
      <c r="E2559">
        <v>4230</v>
      </c>
      <c r="F2559">
        <v>416.16</v>
      </c>
      <c r="G2559">
        <v>384.85</v>
      </c>
      <c r="H2559">
        <v>416.16</v>
      </c>
      <c r="I2559">
        <v>727</v>
      </c>
      <c r="J2559">
        <v>69</v>
      </c>
      <c r="K2559" s="17">
        <f t="shared" si="313"/>
        <v>1672.1000000000001</v>
      </c>
      <c r="L2559" t="str">
        <f t="shared" si="314"/>
        <v>Sufficuent Stock</v>
      </c>
      <c r="P2559" s="19">
        <f t="shared" si="315"/>
        <v>0</v>
      </c>
      <c r="R2559" s="19">
        <f t="shared" si="312"/>
        <v>0</v>
      </c>
      <c r="T2559" s="19">
        <f t="shared" si="316"/>
        <v>279785.95</v>
      </c>
      <c r="U2559" s="19">
        <f t="shared" si="317"/>
        <v>302548.32</v>
      </c>
      <c r="V2559" s="21">
        <f t="shared" si="318"/>
        <v>22762.369999999995</v>
      </c>
      <c r="W2559" s="18">
        <f t="shared" si="319"/>
        <v>8.1356372612706229E-2</v>
      </c>
    </row>
    <row r="2560" spans="1:23" x14ac:dyDescent="0.3">
      <c r="A2560" t="s">
        <v>251</v>
      </c>
      <c r="B2560" t="s">
        <v>571</v>
      </c>
      <c r="C2560" t="s">
        <v>16</v>
      </c>
      <c r="D2560" t="s">
        <v>20</v>
      </c>
      <c r="E2560">
        <v>4231</v>
      </c>
      <c r="F2560">
        <v>335</v>
      </c>
      <c r="G2560">
        <v>287.98</v>
      </c>
      <c r="H2560">
        <v>335</v>
      </c>
      <c r="I2560">
        <v>1796</v>
      </c>
      <c r="J2560">
        <v>72</v>
      </c>
      <c r="K2560" s="17">
        <f t="shared" si="313"/>
        <v>4310.3999999999996</v>
      </c>
      <c r="L2560" t="str">
        <f t="shared" si="314"/>
        <v>High Risk</v>
      </c>
      <c r="P2560" s="19">
        <f t="shared" si="315"/>
        <v>80</v>
      </c>
      <c r="R2560" s="19">
        <f t="shared" si="312"/>
        <v>26800</v>
      </c>
      <c r="T2560" s="19">
        <f t="shared" si="316"/>
        <v>517212.08</v>
      </c>
      <c r="U2560" s="19">
        <f t="shared" si="317"/>
        <v>601660</v>
      </c>
      <c r="V2560" s="21">
        <f t="shared" si="318"/>
        <v>84447.919999999984</v>
      </c>
      <c r="W2560" s="18">
        <f t="shared" si="319"/>
        <v>0.1632752274463504</v>
      </c>
    </row>
    <row r="2561" spans="1:23" x14ac:dyDescent="0.3">
      <c r="A2561" t="s">
        <v>80</v>
      </c>
      <c r="B2561" t="s">
        <v>2006</v>
      </c>
      <c r="C2561" t="s">
        <v>23</v>
      </c>
      <c r="D2561" t="s">
        <v>17</v>
      </c>
      <c r="E2561">
        <v>4234</v>
      </c>
      <c r="F2561">
        <v>235.26</v>
      </c>
      <c r="G2561">
        <v>251.54</v>
      </c>
      <c r="H2561">
        <v>235.26</v>
      </c>
      <c r="I2561">
        <v>391</v>
      </c>
      <c r="J2561">
        <v>56</v>
      </c>
      <c r="K2561" s="17">
        <f t="shared" si="313"/>
        <v>729.86666666666667</v>
      </c>
      <c r="L2561" t="str">
        <f t="shared" si="314"/>
        <v>Sufficuent Stock</v>
      </c>
      <c r="P2561" s="19">
        <f t="shared" si="315"/>
        <v>0</v>
      </c>
      <c r="R2561" s="19">
        <f t="shared" si="312"/>
        <v>0</v>
      </c>
      <c r="T2561" s="19">
        <f t="shared" si="316"/>
        <v>98352.14</v>
      </c>
      <c r="U2561" s="19">
        <f t="shared" si="317"/>
        <v>91986.66</v>
      </c>
      <c r="V2561" s="21">
        <f t="shared" si="318"/>
        <v>-6365.4799999999959</v>
      </c>
      <c r="W2561" s="18">
        <f t="shared" si="319"/>
        <v>-6.4721316689194522E-2</v>
      </c>
    </row>
    <row r="2562" spans="1:23" x14ac:dyDescent="0.3">
      <c r="A2562" t="s">
        <v>290</v>
      </c>
      <c r="B2562" t="s">
        <v>2800</v>
      </c>
      <c r="C2562" t="s">
        <v>16</v>
      </c>
      <c r="D2562" t="s">
        <v>26</v>
      </c>
      <c r="E2562">
        <v>4235</v>
      </c>
      <c r="F2562">
        <v>236.9</v>
      </c>
      <c r="G2562">
        <v>226.15</v>
      </c>
      <c r="H2562">
        <v>236.9</v>
      </c>
      <c r="I2562">
        <v>939</v>
      </c>
      <c r="J2562">
        <v>76</v>
      </c>
      <c r="K2562" s="17">
        <f t="shared" si="313"/>
        <v>2378.8000000000002</v>
      </c>
      <c r="L2562" t="str">
        <f t="shared" si="314"/>
        <v>Sufficuent Stock</v>
      </c>
      <c r="P2562" s="19">
        <f t="shared" si="315"/>
        <v>0</v>
      </c>
      <c r="R2562" s="19">
        <f t="shared" ref="R2562:R2625" si="320">P2562*H2562</f>
        <v>0</v>
      </c>
      <c r="T2562" s="19">
        <f t="shared" si="316"/>
        <v>212354.85</v>
      </c>
      <c r="U2562" s="19">
        <f t="shared" si="317"/>
        <v>222449.1</v>
      </c>
      <c r="V2562" s="21">
        <f t="shared" si="318"/>
        <v>10094.25</v>
      </c>
      <c r="W2562" s="18">
        <f t="shared" si="319"/>
        <v>4.7534822020782665E-2</v>
      </c>
    </row>
    <row r="2563" spans="1:23" x14ac:dyDescent="0.3">
      <c r="A2563" t="s">
        <v>424</v>
      </c>
      <c r="B2563" t="s">
        <v>1283</v>
      </c>
      <c r="C2563" t="s">
        <v>16</v>
      </c>
      <c r="D2563" t="s">
        <v>20</v>
      </c>
      <c r="E2563">
        <v>4235</v>
      </c>
      <c r="F2563">
        <v>352.25</v>
      </c>
      <c r="G2563">
        <v>340.83</v>
      </c>
      <c r="H2563">
        <v>352.25</v>
      </c>
      <c r="I2563">
        <v>1051</v>
      </c>
      <c r="J2563">
        <v>79</v>
      </c>
      <c r="K2563" s="17">
        <f t="shared" ref="K2563:K2626" si="321">(I2563/30)*J2563</f>
        <v>2767.6333333333332</v>
      </c>
      <c r="L2563" t="str">
        <f t="shared" ref="L2563:L2626" si="322">IF(E2563&lt;K2563,"High Risk","Sufficuent Stock")</f>
        <v>Sufficuent Stock</v>
      </c>
      <c r="P2563" s="19">
        <f t="shared" ref="P2563:P2626" si="323">ROUNDUP(MAX(0,K2563-E2563),0)</f>
        <v>0</v>
      </c>
      <c r="R2563" s="19">
        <f t="shared" si="320"/>
        <v>0</v>
      </c>
      <c r="T2563" s="19">
        <f t="shared" ref="T2563:T2626" si="324">I2563*G2563</f>
        <v>358212.32999999996</v>
      </c>
      <c r="U2563" s="19">
        <f t="shared" ref="U2563:U2626" si="325">I2563*H2563</f>
        <v>370214.75</v>
      </c>
      <c r="V2563" s="21">
        <f t="shared" ref="V2563:V2626" si="326">U2563-T2563</f>
        <v>12002.420000000042</v>
      </c>
      <c r="W2563" s="18">
        <f t="shared" ref="W2563:W2626" si="327">IFERROR(V2563/T2563,0)</f>
        <v>3.3506440160784093E-2</v>
      </c>
    </row>
    <row r="2564" spans="1:23" x14ac:dyDescent="0.3">
      <c r="A2564" t="s">
        <v>395</v>
      </c>
      <c r="B2564" t="s">
        <v>2187</v>
      </c>
      <c r="C2564" t="s">
        <v>16</v>
      </c>
      <c r="D2564" t="s">
        <v>26</v>
      </c>
      <c r="E2564">
        <v>4237</v>
      </c>
      <c r="F2564">
        <v>346.53</v>
      </c>
      <c r="G2564">
        <v>358.25</v>
      </c>
      <c r="H2564">
        <v>346.53</v>
      </c>
      <c r="I2564">
        <v>1906</v>
      </c>
      <c r="J2564">
        <v>48</v>
      </c>
      <c r="K2564" s="17">
        <f t="shared" si="321"/>
        <v>3049.6</v>
      </c>
      <c r="L2564" t="str">
        <f t="shared" si="322"/>
        <v>Sufficuent Stock</v>
      </c>
      <c r="P2564" s="19">
        <f t="shared" si="323"/>
        <v>0</v>
      </c>
      <c r="R2564" s="19">
        <f t="shared" si="320"/>
        <v>0</v>
      </c>
      <c r="T2564" s="19">
        <f t="shared" si="324"/>
        <v>682824.5</v>
      </c>
      <c r="U2564" s="19">
        <f t="shared" si="325"/>
        <v>660486.17999999993</v>
      </c>
      <c r="V2564" s="21">
        <f t="shared" si="326"/>
        <v>-22338.320000000065</v>
      </c>
      <c r="W2564" s="18">
        <f t="shared" si="327"/>
        <v>-3.2714584787159898E-2</v>
      </c>
    </row>
    <row r="2565" spans="1:23" x14ac:dyDescent="0.3">
      <c r="A2565" t="s">
        <v>145</v>
      </c>
      <c r="B2565" t="s">
        <v>871</v>
      </c>
      <c r="C2565" t="s">
        <v>50</v>
      </c>
      <c r="D2565" t="s">
        <v>20</v>
      </c>
      <c r="E2565">
        <v>4237</v>
      </c>
      <c r="F2565">
        <v>60.24</v>
      </c>
      <c r="G2565">
        <v>59.58</v>
      </c>
      <c r="H2565">
        <v>60.24</v>
      </c>
      <c r="I2565">
        <v>1631</v>
      </c>
      <c r="J2565">
        <v>87</v>
      </c>
      <c r="K2565" s="17">
        <f t="shared" si="321"/>
        <v>4729.8999999999996</v>
      </c>
      <c r="L2565" t="str">
        <f t="shared" si="322"/>
        <v>High Risk</v>
      </c>
      <c r="P2565" s="19">
        <f t="shared" si="323"/>
        <v>493</v>
      </c>
      <c r="R2565" s="19">
        <f t="shared" si="320"/>
        <v>29698.32</v>
      </c>
      <c r="T2565" s="19">
        <f t="shared" si="324"/>
        <v>97174.98</v>
      </c>
      <c r="U2565" s="19">
        <f t="shared" si="325"/>
        <v>98251.44</v>
      </c>
      <c r="V2565" s="21">
        <f t="shared" si="326"/>
        <v>1076.4600000000064</v>
      </c>
      <c r="W2565" s="18">
        <f t="shared" si="327"/>
        <v>1.1077542799597247E-2</v>
      </c>
    </row>
    <row r="2566" spans="1:23" x14ac:dyDescent="0.3">
      <c r="A2566" t="s">
        <v>1481</v>
      </c>
      <c r="B2566" t="s">
        <v>3045</v>
      </c>
      <c r="C2566" t="s">
        <v>16</v>
      </c>
      <c r="D2566" t="s">
        <v>13</v>
      </c>
      <c r="E2566">
        <v>4238</v>
      </c>
      <c r="F2566">
        <v>177.74</v>
      </c>
      <c r="G2566">
        <v>162.71</v>
      </c>
      <c r="H2566">
        <v>177.74</v>
      </c>
      <c r="I2566">
        <v>426</v>
      </c>
      <c r="J2566">
        <v>86</v>
      </c>
      <c r="K2566" s="17">
        <f t="shared" si="321"/>
        <v>1221.2</v>
      </c>
      <c r="L2566" t="str">
        <f t="shared" si="322"/>
        <v>Sufficuent Stock</v>
      </c>
      <c r="P2566" s="19">
        <f t="shared" si="323"/>
        <v>0</v>
      </c>
      <c r="R2566" s="19">
        <f t="shared" si="320"/>
        <v>0</v>
      </c>
      <c r="T2566" s="19">
        <f t="shared" si="324"/>
        <v>69314.460000000006</v>
      </c>
      <c r="U2566" s="19">
        <f t="shared" si="325"/>
        <v>75717.240000000005</v>
      </c>
      <c r="V2566" s="21">
        <f t="shared" si="326"/>
        <v>6402.7799999999988</v>
      </c>
      <c r="W2566" s="18">
        <f t="shared" si="327"/>
        <v>9.2372933439862304E-2</v>
      </c>
    </row>
    <row r="2567" spans="1:23" x14ac:dyDescent="0.3">
      <c r="A2567" t="s">
        <v>581</v>
      </c>
      <c r="B2567" t="s">
        <v>2530</v>
      </c>
      <c r="C2567" t="s">
        <v>12</v>
      </c>
      <c r="D2567" t="s">
        <v>20</v>
      </c>
      <c r="E2567">
        <v>4243</v>
      </c>
      <c r="F2567">
        <v>484.51</v>
      </c>
      <c r="G2567">
        <v>476.97</v>
      </c>
      <c r="H2567">
        <v>484.51</v>
      </c>
      <c r="I2567">
        <v>3414</v>
      </c>
      <c r="J2567">
        <v>13</v>
      </c>
      <c r="K2567" s="17">
        <f t="shared" si="321"/>
        <v>1479.3999999999999</v>
      </c>
      <c r="L2567" t="str">
        <f t="shared" si="322"/>
        <v>Sufficuent Stock</v>
      </c>
      <c r="P2567" s="19">
        <f t="shared" si="323"/>
        <v>0</v>
      </c>
      <c r="R2567" s="19">
        <f t="shared" si="320"/>
        <v>0</v>
      </c>
      <c r="T2567" s="19">
        <f t="shared" si="324"/>
        <v>1628375.58</v>
      </c>
      <c r="U2567" s="19">
        <f t="shared" si="325"/>
        <v>1654117.14</v>
      </c>
      <c r="V2567" s="21">
        <f t="shared" si="326"/>
        <v>25741.559999999823</v>
      </c>
      <c r="W2567" s="18">
        <f t="shared" si="327"/>
        <v>1.5808122104115453E-2</v>
      </c>
    </row>
    <row r="2568" spans="1:23" x14ac:dyDescent="0.3">
      <c r="A2568" t="s">
        <v>363</v>
      </c>
      <c r="B2568" t="s">
        <v>1087</v>
      </c>
      <c r="C2568" t="s">
        <v>23</v>
      </c>
      <c r="D2568" t="s">
        <v>69</v>
      </c>
      <c r="E2568">
        <v>4245</v>
      </c>
      <c r="F2568">
        <v>383.44</v>
      </c>
      <c r="G2568">
        <v>392.86</v>
      </c>
      <c r="H2568">
        <v>383.44</v>
      </c>
      <c r="I2568">
        <v>3054</v>
      </c>
      <c r="J2568">
        <v>24</v>
      </c>
      <c r="K2568" s="17">
        <f t="shared" si="321"/>
        <v>2443.1999999999998</v>
      </c>
      <c r="L2568" t="str">
        <f t="shared" si="322"/>
        <v>Sufficuent Stock</v>
      </c>
      <c r="P2568" s="19">
        <f t="shared" si="323"/>
        <v>0</v>
      </c>
      <c r="R2568" s="19">
        <f t="shared" si="320"/>
        <v>0</v>
      </c>
      <c r="T2568" s="19">
        <f t="shared" si="324"/>
        <v>1199794.44</v>
      </c>
      <c r="U2568" s="19">
        <f t="shared" si="325"/>
        <v>1171025.76</v>
      </c>
      <c r="V2568" s="21">
        <f t="shared" si="326"/>
        <v>-28768.679999999935</v>
      </c>
      <c r="W2568" s="18">
        <f t="shared" si="327"/>
        <v>-2.3978007432673164E-2</v>
      </c>
    </row>
    <row r="2569" spans="1:23" x14ac:dyDescent="0.3">
      <c r="A2569" t="s">
        <v>2201</v>
      </c>
      <c r="B2569" t="s">
        <v>2233</v>
      </c>
      <c r="C2569" t="s">
        <v>23</v>
      </c>
      <c r="D2569" t="s">
        <v>17</v>
      </c>
      <c r="E2569">
        <v>4251</v>
      </c>
      <c r="F2569">
        <v>200.24</v>
      </c>
      <c r="G2569">
        <v>215.78</v>
      </c>
      <c r="H2569">
        <v>200.24</v>
      </c>
      <c r="I2569">
        <v>995</v>
      </c>
      <c r="J2569">
        <v>41</v>
      </c>
      <c r="K2569" s="17">
        <f t="shared" si="321"/>
        <v>1359.8333333333333</v>
      </c>
      <c r="L2569" t="str">
        <f t="shared" si="322"/>
        <v>Sufficuent Stock</v>
      </c>
      <c r="P2569" s="19">
        <f t="shared" si="323"/>
        <v>0</v>
      </c>
      <c r="R2569" s="19">
        <f t="shared" si="320"/>
        <v>0</v>
      </c>
      <c r="T2569" s="19">
        <f t="shared" si="324"/>
        <v>214701.1</v>
      </c>
      <c r="U2569" s="19">
        <f t="shared" si="325"/>
        <v>199238.80000000002</v>
      </c>
      <c r="V2569" s="21">
        <f t="shared" si="326"/>
        <v>-15462.299999999988</v>
      </c>
      <c r="W2569" s="18">
        <f t="shared" si="327"/>
        <v>-7.2017795903234719E-2</v>
      </c>
    </row>
    <row r="2570" spans="1:23" x14ac:dyDescent="0.3">
      <c r="A2570" t="s">
        <v>96</v>
      </c>
      <c r="B2570" t="s">
        <v>2228</v>
      </c>
      <c r="C2570" t="s">
        <v>23</v>
      </c>
      <c r="D2570" t="s">
        <v>69</v>
      </c>
      <c r="E2570">
        <v>4251</v>
      </c>
      <c r="F2570">
        <v>451.88</v>
      </c>
      <c r="G2570">
        <v>475.63</v>
      </c>
      <c r="H2570">
        <v>451.88</v>
      </c>
      <c r="I2570">
        <v>125</v>
      </c>
      <c r="J2570">
        <v>18</v>
      </c>
      <c r="K2570" s="17">
        <f t="shared" si="321"/>
        <v>75</v>
      </c>
      <c r="L2570" t="str">
        <f t="shared" si="322"/>
        <v>Sufficuent Stock</v>
      </c>
      <c r="P2570" s="19">
        <f t="shared" si="323"/>
        <v>0</v>
      </c>
      <c r="R2570" s="19">
        <f t="shared" si="320"/>
        <v>0</v>
      </c>
      <c r="T2570" s="19">
        <f t="shared" si="324"/>
        <v>59453.75</v>
      </c>
      <c r="U2570" s="19">
        <f t="shared" si="325"/>
        <v>56485</v>
      </c>
      <c r="V2570" s="21">
        <f t="shared" si="326"/>
        <v>-2968.75</v>
      </c>
      <c r="W2570" s="18">
        <f t="shared" si="327"/>
        <v>-4.99337720497025E-2</v>
      </c>
    </row>
    <row r="2571" spans="1:23" x14ac:dyDescent="0.3">
      <c r="A2571" t="s">
        <v>511</v>
      </c>
      <c r="B2571" t="s">
        <v>512</v>
      </c>
      <c r="C2571" t="s">
        <v>12</v>
      </c>
      <c r="D2571" t="s">
        <v>20</v>
      </c>
      <c r="E2571">
        <v>4252</v>
      </c>
      <c r="F2571">
        <v>157.08000000000001</v>
      </c>
      <c r="G2571">
        <v>159.53</v>
      </c>
      <c r="H2571">
        <v>157.08000000000001</v>
      </c>
      <c r="I2571">
        <v>685</v>
      </c>
      <c r="J2571">
        <v>78</v>
      </c>
      <c r="K2571" s="17">
        <f t="shared" si="321"/>
        <v>1781</v>
      </c>
      <c r="L2571" t="str">
        <f t="shared" si="322"/>
        <v>Sufficuent Stock</v>
      </c>
      <c r="P2571" s="19">
        <f t="shared" si="323"/>
        <v>0</v>
      </c>
      <c r="R2571" s="19">
        <f t="shared" si="320"/>
        <v>0</v>
      </c>
      <c r="T2571" s="19">
        <f t="shared" si="324"/>
        <v>109278.05</v>
      </c>
      <c r="U2571" s="19">
        <f t="shared" si="325"/>
        <v>107599.8</v>
      </c>
      <c r="V2571" s="21">
        <f t="shared" si="326"/>
        <v>-1678.25</v>
      </c>
      <c r="W2571" s="18">
        <f t="shared" si="327"/>
        <v>-1.5357612988152698E-2</v>
      </c>
    </row>
    <row r="2572" spans="1:23" x14ac:dyDescent="0.3">
      <c r="A2572" t="s">
        <v>376</v>
      </c>
      <c r="B2572" t="s">
        <v>734</v>
      </c>
      <c r="C2572" t="s">
        <v>23</v>
      </c>
      <c r="D2572" t="s">
        <v>20</v>
      </c>
      <c r="E2572">
        <v>4253</v>
      </c>
      <c r="F2572">
        <v>485.62</v>
      </c>
      <c r="G2572">
        <v>435.19</v>
      </c>
      <c r="H2572">
        <v>485.62</v>
      </c>
      <c r="I2572">
        <v>2357</v>
      </c>
      <c r="J2572">
        <v>5</v>
      </c>
      <c r="K2572" s="17">
        <f t="shared" si="321"/>
        <v>392.83333333333331</v>
      </c>
      <c r="L2572" t="str">
        <f t="shared" si="322"/>
        <v>Sufficuent Stock</v>
      </c>
      <c r="P2572" s="19">
        <f t="shared" si="323"/>
        <v>0</v>
      </c>
      <c r="R2572" s="19">
        <f t="shared" si="320"/>
        <v>0</v>
      </c>
      <c r="T2572" s="19">
        <f t="shared" si="324"/>
        <v>1025742.83</v>
      </c>
      <c r="U2572" s="19">
        <f t="shared" si="325"/>
        <v>1144606.3400000001</v>
      </c>
      <c r="V2572" s="21">
        <f t="shared" si="326"/>
        <v>118863.51000000013</v>
      </c>
      <c r="W2572" s="18">
        <f t="shared" si="327"/>
        <v>0.11588042004641663</v>
      </c>
    </row>
    <row r="2573" spans="1:23" x14ac:dyDescent="0.3">
      <c r="A2573" t="s">
        <v>235</v>
      </c>
      <c r="B2573" t="s">
        <v>545</v>
      </c>
      <c r="C2573" t="s">
        <v>23</v>
      </c>
      <c r="D2573" t="s">
        <v>26</v>
      </c>
      <c r="E2573">
        <v>4254</v>
      </c>
      <c r="F2573">
        <v>166.73</v>
      </c>
      <c r="G2573">
        <v>141.47999999999999</v>
      </c>
      <c r="H2573">
        <v>166.73</v>
      </c>
      <c r="I2573">
        <v>1697</v>
      </c>
      <c r="J2573">
        <v>34</v>
      </c>
      <c r="K2573" s="17">
        <f t="shared" si="321"/>
        <v>1923.2666666666669</v>
      </c>
      <c r="L2573" t="str">
        <f t="shared" si="322"/>
        <v>Sufficuent Stock</v>
      </c>
      <c r="P2573" s="19">
        <f t="shared" si="323"/>
        <v>0</v>
      </c>
      <c r="R2573" s="19">
        <f t="shared" si="320"/>
        <v>0</v>
      </c>
      <c r="T2573" s="19">
        <f t="shared" si="324"/>
        <v>240091.55999999997</v>
      </c>
      <c r="U2573" s="19">
        <f t="shared" si="325"/>
        <v>282940.81</v>
      </c>
      <c r="V2573" s="21">
        <f t="shared" si="326"/>
        <v>42849.250000000029</v>
      </c>
      <c r="W2573" s="18">
        <f t="shared" si="327"/>
        <v>0.17847045518801258</v>
      </c>
    </row>
    <row r="2574" spans="1:23" x14ac:dyDescent="0.3">
      <c r="A2574" t="s">
        <v>220</v>
      </c>
      <c r="B2574" t="s">
        <v>3255</v>
      </c>
      <c r="C2574" t="s">
        <v>23</v>
      </c>
      <c r="D2574" t="s">
        <v>17</v>
      </c>
      <c r="E2574">
        <v>4254</v>
      </c>
      <c r="F2574">
        <v>166.37</v>
      </c>
      <c r="G2574">
        <v>166.8</v>
      </c>
      <c r="H2574">
        <v>166.37</v>
      </c>
      <c r="I2574">
        <v>1621</v>
      </c>
      <c r="J2574">
        <v>68</v>
      </c>
      <c r="K2574" s="17">
        <f t="shared" si="321"/>
        <v>3674.2666666666664</v>
      </c>
      <c r="L2574" t="str">
        <f t="shared" si="322"/>
        <v>Sufficuent Stock</v>
      </c>
      <c r="P2574" s="19">
        <f t="shared" si="323"/>
        <v>0</v>
      </c>
      <c r="R2574" s="19">
        <f t="shared" si="320"/>
        <v>0</v>
      </c>
      <c r="T2574" s="19">
        <f t="shared" si="324"/>
        <v>270382.80000000005</v>
      </c>
      <c r="U2574" s="19">
        <f t="shared" si="325"/>
        <v>269685.77</v>
      </c>
      <c r="V2574" s="21">
        <f t="shared" si="326"/>
        <v>-697.03000000002794</v>
      </c>
      <c r="W2574" s="18">
        <f t="shared" si="327"/>
        <v>-2.5779376498801989E-3</v>
      </c>
    </row>
    <row r="2575" spans="1:23" x14ac:dyDescent="0.3">
      <c r="A2575" t="s">
        <v>1113</v>
      </c>
      <c r="B2575" t="s">
        <v>1114</v>
      </c>
      <c r="C2575" t="s">
        <v>23</v>
      </c>
      <c r="D2575" t="s">
        <v>13</v>
      </c>
      <c r="E2575">
        <v>4254</v>
      </c>
      <c r="F2575">
        <v>207.78</v>
      </c>
      <c r="G2575">
        <v>194.25</v>
      </c>
      <c r="H2575">
        <v>207.78</v>
      </c>
      <c r="I2575">
        <v>1586</v>
      </c>
      <c r="J2575">
        <v>79</v>
      </c>
      <c r="K2575" s="17">
        <f t="shared" si="321"/>
        <v>4176.4666666666672</v>
      </c>
      <c r="L2575" t="str">
        <f t="shared" si="322"/>
        <v>Sufficuent Stock</v>
      </c>
      <c r="P2575" s="19">
        <f t="shared" si="323"/>
        <v>0</v>
      </c>
      <c r="R2575" s="19">
        <f t="shared" si="320"/>
        <v>0</v>
      </c>
      <c r="T2575" s="19">
        <f t="shared" si="324"/>
        <v>308080.5</v>
      </c>
      <c r="U2575" s="19">
        <f t="shared" si="325"/>
        <v>329539.08</v>
      </c>
      <c r="V2575" s="21">
        <f t="shared" si="326"/>
        <v>21458.580000000016</v>
      </c>
      <c r="W2575" s="18">
        <f t="shared" si="327"/>
        <v>6.96525096525097E-2</v>
      </c>
    </row>
    <row r="2576" spans="1:23" x14ac:dyDescent="0.3">
      <c r="A2576" t="s">
        <v>453</v>
      </c>
      <c r="B2576" t="s">
        <v>3027</v>
      </c>
      <c r="C2576" t="s">
        <v>12</v>
      </c>
      <c r="D2576" t="s">
        <v>13</v>
      </c>
      <c r="E2576">
        <v>4256</v>
      </c>
      <c r="F2576">
        <v>222.96</v>
      </c>
      <c r="G2576">
        <v>195.67</v>
      </c>
      <c r="H2576">
        <v>222.96</v>
      </c>
      <c r="I2576">
        <v>2454</v>
      </c>
      <c r="J2576">
        <v>73</v>
      </c>
      <c r="K2576" s="17">
        <f t="shared" si="321"/>
        <v>5971.4</v>
      </c>
      <c r="L2576" t="str">
        <f t="shared" si="322"/>
        <v>High Risk</v>
      </c>
      <c r="P2576" s="19">
        <f t="shared" si="323"/>
        <v>1716</v>
      </c>
      <c r="R2576" s="19">
        <f t="shared" si="320"/>
        <v>382599.36</v>
      </c>
      <c r="T2576" s="19">
        <f t="shared" si="324"/>
        <v>480174.18</v>
      </c>
      <c r="U2576" s="19">
        <f t="shared" si="325"/>
        <v>547143.84</v>
      </c>
      <c r="V2576" s="21">
        <f t="shared" si="326"/>
        <v>66969.659999999974</v>
      </c>
      <c r="W2576" s="18">
        <f t="shared" si="327"/>
        <v>0.13946951499974442</v>
      </c>
    </row>
    <row r="2577" spans="1:23" x14ac:dyDescent="0.3">
      <c r="A2577" t="s">
        <v>801</v>
      </c>
      <c r="B2577" t="s">
        <v>802</v>
      </c>
      <c r="C2577" t="s">
        <v>37</v>
      </c>
      <c r="D2577" t="s">
        <v>26</v>
      </c>
      <c r="E2577">
        <v>4262</v>
      </c>
      <c r="F2577">
        <v>394.05</v>
      </c>
      <c r="G2577">
        <v>360.6</v>
      </c>
      <c r="H2577">
        <v>394.05</v>
      </c>
      <c r="I2577">
        <v>3403</v>
      </c>
      <c r="J2577">
        <v>62</v>
      </c>
      <c r="K2577" s="17">
        <f t="shared" si="321"/>
        <v>7032.8666666666668</v>
      </c>
      <c r="L2577" t="str">
        <f t="shared" si="322"/>
        <v>High Risk</v>
      </c>
      <c r="P2577" s="19">
        <f t="shared" si="323"/>
        <v>2771</v>
      </c>
      <c r="R2577" s="19">
        <f t="shared" si="320"/>
        <v>1091912.55</v>
      </c>
      <c r="T2577" s="19">
        <f t="shared" si="324"/>
        <v>1227121.8</v>
      </c>
      <c r="U2577" s="19">
        <f t="shared" si="325"/>
        <v>1340952.1500000001</v>
      </c>
      <c r="V2577" s="21">
        <f t="shared" si="326"/>
        <v>113830.35000000009</v>
      </c>
      <c r="W2577" s="18">
        <f t="shared" si="327"/>
        <v>9.2762063227953481E-2</v>
      </c>
    </row>
    <row r="2578" spans="1:23" x14ac:dyDescent="0.3">
      <c r="A2578" t="s">
        <v>31</v>
      </c>
      <c r="B2578" t="s">
        <v>1544</v>
      </c>
      <c r="C2578" t="s">
        <v>16</v>
      </c>
      <c r="D2578" t="s">
        <v>20</v>
      </c>
      <c r="E2578">
        <v>4266</v>
      </c>
      <c r="F2578">
        <v>161.36000000000001</v>
      </c>
      <c r="G2578">
        <v>137</v>
      </c>
      <c r="H2578">
        <v>161.36000000000001</v>
      </c>
      <c r="I2578">
        <v>2954</v>
      </c>
      <c r="J2578">
        <v>15</v>
      </c>
      <c r="K2578" s="17">
        <f t="shared" si="321"/>
        <v>1477</v>
      </c>
      <c r="L2578" t="str">
        <f t="shared" si="322"/>
        <v>Sufficuent Stock</v>
      </c>
      <c r="P2578" s="19">
        <f t="shared" si="323"/>
        <v>0</v>
      </c>
      <c r="R2578" s="19">
        <f t="shared" si="320"/>
        <v>0</v>
      </c>
      <c r="T2578" s="19">
        <f t="shared" si="324"/>
        <v>404698</v>
      </c>
      <c r="U2578" s="19">
        <f t="shared" si="325"/>
        <v>476657.44000000006</v>
      </c>
      <c r="V2578" s="21">
        <f t="shared" si="326"/>
        <v>71959.440000000061</v>
      </c>
      <c r="W2578" s="18">
        <f t="shared" si="327"/>
        <v>0.17781021897810234</v>
      </c>
    </row>
    <row r="2579" spans="1:23" x14ac:dyDescent="0.3">
      <c r="A2579" t="s">
        <v>125</v>
      </c>
      <c r="B2579" t="s">
        <v>1557</v>
      </c>
      <c r="C2579" t="s">
        <v>16</v>
      </c>
      <c r="D2579" t="s">
        <v>13</v>
      </c>
      <c r="E2579">
        <v>4266</v>
      </c>
      <c r="F2579">
        <v>154.16999999999999</v>
      </c>
      <c r="G2579">
        <v>137.54</v>
      </c>
      <c r="H2579">
        <v>154.16999999999999</v>
      </c>
      <c r="I2579">
        <v>1554</v>
      </c>
      <c r="J2579">
        <v>83</v>
      </c>
      <c r="K2579" s="17">
        <f t="shared" si="321"/>
        <v>4299.3999999999996</v>
      </c>
      <c r="L2579" t="str">
        <f t="shared" si="322"/>
        <v>High Risk</v>
      </c>
      <c r="P2579" s="19">
        <f t="shared" si="323"/>
        <v>34</v>
      </c>
      <c r="R2579" s="19">
        <f t="shared" si="320"/>
        <v>5241.78</v>
      </c>
      <c r="T2579" s="19">
        <f t="shared" si="324"/>
        <v>213737.15999999997</v>
      </c>
      <c r="U2579" s="19">
        <f t="shared" si="325"/>
        <v>239580.18</v>
      </c>
      <c r="V2579" s="21">
        <f t="shared" si="326"/>
        <v>25843.020000000019</v>
      </c>
      <c r="W2579" s="18">
        <f t="shared" si="327"/>
        <v>0.12091028064563046</v>
      </c>
    </row>
    <row r="2580" spans="1:23" x14ac:dyDescent="0.3">
      <c r="A2580" t="s">
        <v>65</v>
      </c>
      <c r="B2580" t="s">
        <v>2293</v>
      </c>
      <c r="C2580" t="s">
        <v>16</v>
      </c>
      <c r="D2580" t="s">
        <v>13</v>
      </c>
      <c r="E2580">
        <v>4268</v>
      </c>
      <c r="F2580">
        <v>34.54</v>
      </c>
      <c r="G2580">
        <v>38.04</v>
      </c>
      <c r="H2580">
        <v>34.54</v>
      </c>
      <c r="I2580">
        <v>2662</v>
      </c>
      <c r="J2580">
        <v>36</v>
      </c>
      <c r="K2580" s="17">
        <f t="shared" si="321"/>
        <v>3194.4</v>
      </c>
      <c r="L2580" t="str">
        <f t="shared" si="322"/>
        <v>Sufficuent Stock</v>
      </c>
      <c r="P2580" s="19">
        <f t="shared" si="323"/>
        <v>0</v>
      </c>
      <c r="R2580" s="19">
        <f t="shared" si="320"/>
        <v>0</v>
      </c>
      <c r="T2580" s="19">
        <f t="shared" si="324"/>
        <v>101262.48</v>
      </c>
      <c r="U2580" s="19">
        <f t="shared" si="325"/>
        <v>91945.48</v>
      </c>
      <c r="V2580" s="21">
        <f t="shared" si="326"/>
        <v>-9317</v>
      </c>
      <c r="W2580" s="18">
        <f t="shared" si="327"/>
        <v>-9.2008412197686643E-2</v>
      </c>
    </row>
    <row r="2581" spans="1:23" x14ac:dyDescent="0.3">
      <c r="A2581" t="s">
        <v>857</v>
      </c>
      <c r="B2581" t="s">
        <v>3097</v>
      </c>
      <c r="C2581" t="s">
        <v>37</v>
      </c>
      <c r="D2581" t="s">
        <v>17</v>
      </c>
      <c r="E2581">
        <v>4273</v>
      </c>
      <c r="F2581">
        <v>116.19</v>
      </c>
      <c r="G2581">
        <v>119.59</v>
      </c>
      <c r="H2581">
        <v>116.19</v>
      </c>
      <c r="I2581">
        <v>201</v>
      </c>
      <c r="J2581">
        <v>88</v>
      </c>
      <c r="K2581" s="17">
        <f t="shared" si="321"/>
        <v>589.6</v>
      </c>
      <c r="L2581" t="str">
        <f t="shared" si="322"/>
        <v>Sufficuent Stock</v>
      </c>
      <c r="P2581" s="19">
        <f t="shared" si="323"/>
        <v>0</v>
      </c>
      <c r="R2581" s="19">
        <f t="shared" si="320"/>
        <v>0</v>
      </c>
      <c r="T2581" s="19">
        <f t="shared" si="324"/>
        <v>24037.59</v>
      </c>
      <c r="U2581" s="19">
        <f t="shared" si="325"/>
        <v>23354.19</v>
      </c>
      <c r="V2581" s="21">
        <f t="shared" si="326"/>
        <v>-683.40000000000146</v>
      </c>
      <c r="W2581" s="18">
        <f t="shared" si="327"/>
        <v>-2.8430470775148483E-2</v>
      </c>
    </row>
    <row r="2582" spans="1:23" x14ac:dyDescent="0.3">
      <c r="A2582" t="s">
        <v>203</v>
      </c>
      <c r="B2582" t="s">
        <v>2960</v>
      </c>
      <c r="C2582" t="s">
        <v>16</v>
      </c>
      <c r="D2582" t="s">
        <v>69</v>
      </c>
      <c r="E2582">
        <v>4274</v>
      </c>
      <c r="F2582">
        <v>447.22</v>
      </c>
      <c r="G2582">
        <v>377.94</v>
      </c>
      <c r="H2582">
        <v>447.22</v>
      </c>
      <c r="I2582">
        <v>3458</v>
      </c>
      <c r="J2582">
        <v>70</v>
      </c>
      <c r="K2582" s="17">
        <f t="shared" si="321"/>
        <v>8068.666666666667</v>
      </c>
      <c r="L2582" t="str">
        <f t="shared" si="322"/>
        <v>High Risk</v>
      </c>
      <c r="P2582" s="19">
        <f t="shared" si="323"/>
        <v>3795</v>
      </c>
      <c r="R2582" s="19">
        <f t="shared" si="320"/>
        <v>1697199.9000000001</v>
      </c>
      <c r="T2582" s="19">
        <f t="shared" si="324"/>
        <v>1306916.52</v>
      </c>
      <c r="U2582" s="19">
        <f t="shared" si="325"/>
        <v>1546486.76</v>
      </c>
      <c r="V2582" s="21">
        <f t="shared" si="326"/>
        <v>239570.24</v>
      </c>
      <c r="W2582" s="18">
        <f t="shared" si="327"/>
        <v>0.18330952002963433</v>
      </c>
    </row>
    <row r="2583" spans="1:23" x14ac:dyDescent="0.3">
      <c r="A2583" t="s">
        <v>21</v>
      </c>
      <c r="B2583" t="s">
        <v>2534</v>
      </c>
      <c r="C2583" t="s">
        <v>12</v>
      </c>
      <c r="D2583" t="s">
        <v>17</v>
      </c>
      <c r="E2583">
        <v>4274</v>
      </c>
      <c r="F2583">
        <v>87.79</v>
      </c>
      <c r="G2583">
        <v>85.6</v>
      </c>
      <c r="H2583">
        <v>87.79</v>
      </c>
      <c r="I2583">
        <v>87</v>
      </c>
      <c r="J2583">
        <v>15</v>
      </c>
      <c r="K2583" s="17">
        <f t="shared" si="321"/>
        <v>43.5</v>
      </c>
      <c r="L2583" t="str">
        <f t="shared" si="322"/>
        <v>Sufficuent Stock</v>
      </c>
      <c r="P2583" s="19">
        <f t="shared" si="323"/>
        <v>0</v>
      </c>
      <c r="R2583" s="19">
        <f t="shared" si="320"/>
        <v>0</v>
      </c>
      <c r="T2583" s="19">
        <f t="shared" si="324"/>
        <v>7447.2</v>
      </c>
      <c r="U2583" s="19">
        <f t="shared" si="325"/>
        <v>7637.7300000000005</v>
      </c>
      <c r="V2583" s="21">
        <f t="shared" si="326"/>
        <v>190.53000000000065</v>
      </c>
      <c r="W2583" s="18">
        <f t="shared" si="327"/>
        <v>2.5584112149532798E-2</v>
      </c>
    </row>
    <row r="2584" spans="1:23" x14ac:dyDescent="0.3">
      <c r="A2584" t="s">
        <v>256</v>
      </c>
      <c r="B2584" t="s">
        <v>3179</v>
      </c>
      <c r="C2584" t="s">
        <v>12</v>
      </c>
      <c r="D2584" t="s">
        <v>69</v>
      </c>
      <c r="E2584">
        <v>4277</v>
      </c>
      <c r="F2584">
        <v>72.37</v>
      </c>
      <c r="G2584">
        <v>61.95</v>
      </c>
      <c r="H2584">
        <v>72.37</v>
      </c>
      <c r="I2584">
        <v>2353</v>
      </c>
      <c r="J2584">
        <v>74</v>
      </c>
      <c r="K2584" s="17">
        <f t="shared" si="321"/>
        <v>5804.0666666666666</v>
      </c>
      <c r="L2584" t="str">
        <f t="shared" si="322"/>
        <v>High Risk</v>
      </c>
      <c r="P2584" s="19">
        <f t="shared" si="323"/>
        <v>1528</v>
      </c>
      <c r="R2584" s="19">
        <f t="shared" si="320"/>
        <v>110581.36</v>
      </c>
      <c r="T2584" s="19">
        <f t="shared" si="324"/>
        <v>145768.35</v>
      </c>
      <c r="U2584" s="19">
        <f t="shared" si="325"/>
        <v>170286.61000000002</v>
      </c>
      <c r="V2584" s="21">
        <f t="shared" si="326"/>
        <v>24518.260000000009</v>
      </c>
      <c r="W2584" s="18">
        <f t="shared" si="327"/>
        <v>0.16820016142050045</v>
      </c>
    </row>
    <row r="2585" spans="1:23" x14ac:dyDescent="0.3">
      <c r="A2585" t="s">
        <v>59</v>
      </c>
      <c r="B2585" t="s">
        <v>2240</v>
      </c>
      <c r="C2585" t="s">
        <v>37</v>
      </c>
      <c r="D2585" t="s">
        <v>20</v>
      </c>
      <c r="E2585">
        <v>4277</v>
      </c>
      <c r="F2585">
        <v>225.57</v>
      </c>
      <c r="G2585">
        <v>231.67</v>
      </c>
      <c r="H2585">
        <v>225.57</v>
      </c>
      <c r="I2585">
        <v>1241</v>
      </c>
      <c r="J2585">
        <v>49</v>
      </c>
      <c r="K2585" s="17">
        <f t="shared" si="321"/>
        <v>2026.9666666666667</v>
      </c>
      <c r="L2585" t="str">
        <f t="shared" si="322"/>
        <v>Sufficuent Stock</v>
      </c>
      <c r="P2585" s="19">
        <f t="shared" si="323"/>
        <v>0</v>
      </c>
      <c r="R2585" s="19">
        <f t="shared" si="320"/>
        <v>0</v>
      </c>
      <c r="T2585" s="19">
        <f t="shared" si="324"/>
        <v>287502.46999999997</v>
      </c>
      <c r="U2585" s="19">
        <f t="shared" si="325"/>
        <v>279932.37</v>
      </c>
      <c r="V2585" s="21">
        <f t="shared" si="326"/>
        <v>-7570.0999999999767</v>
      </c>
      <c r="W2585" s="18">
        <f t="shared" si="327"/>
        <v>-2.6330556394871939E-2</v>
      </c>
    </row>
    <row r="2586" spans="1:23" x14ac:dyDescent="0.3">
      <c r="A2586" t="s">
        <v>1014</v>
      </c>
      <c r="B2586" t="s">
        <v>3332</v>
      </c>
      <c r="C2586" t="s">
        <v>37</v>
      </c>
      <c r="D2586" t="s">
        <v>20</v>
      </c>
      <c r="E2586">
        <v>4277</v>
      </c>
      <c r="F2586">
        <v>504.56</v>
      </c>
      <c r="G2586">
        <v>460.2</v>
      </c>
      <c r="H2586">
        <v>504.56</v>
      </c>
      <c r="I2586">
        <v>3816</v>
      </c>
      <c r="J2586">
        <v>40</v>
      </c>
      <c r="K2586" s="17">
        <f t="shared" si="321"/>
        <v>5088</v>
      </c>
      <c r="L2586" t="str">
        <f t="shared" si="322"/>
        <v>High Risk</v>
      </c>
      <c r="P2586" s="19">
        <f t="shared" si="323"/>
        <v>811</v>
      </c>
      <c r="R2586" s="19">
        <f t="shared" si="320"/>
        <v>409198.16</v>
      </c>
      <c r="T2586" s="19">
        <f t="shared" si="324"/>
        <v>1756123.2</v>
      </c>
      <c r="U2586" s="19">
        <f t="shared" si="325"/>
        <v>1925400.96</v>
      </c>
      <c r="V2586" s="21">
        <f t="shared" si="326"/>
        <v>169277.76</v>
      </c>
      <c r="W2586" s="18">
        <f t="shared" si="327"/>
        <v>9.6392872664059118E-2</v>
      </c>
    </row>
    <row r="2587" spans="1:23" x14ac:dyDescent="0.3">
      <c r="A2587" t="s">
        <v>72</v>
      </c>
      <c r="B2587" t="s">
        <v>685</v>
      </c>
      <c r="C2587" t="s">
        <v>37</v>
      </c>
      <c r="D2587" t="s">
        <v>26</v>
      </c>
      <c r="E2587">
        <v>4279</v>
      </c>
      <c r="F2587">
        <v>287.69</v>
      </c>
      <c r="G2587">
        <v>242.32</v>
      </c>
      <c r="H2587">
        <v>287.69</v>
      </c>
      <c r="I2587">
        <v>507</v>
      </c>
      <c r="J2587">
        <v>82</v>
      </c>
      <c r="K2587" s="17">
        <f t="shared" si="321"/>
        <v>1385.8</v>
      </c>
      <c r="L2587" t="str">
        <f t="shared" si="322"/>
        <v>Sufficuent Stock</v>
      </c>
      <c r="P2587" s="19">
        <f t="shared" si="323"/>
        <v>0</v>
      </c>
      <c r="R2587" s="19">
        <f t="shared" si="320"/>
        <v>0</v>
      </c>
      <c r="T2587" s="19">
        <f t="shared" si="324"/>
        <v>122856.23999999999</v>
      </c>
      <c r="U2587" s="19">
        <f t="shared" si="325"/>
        <v>145858.82999999999</v>
      </c>
      <c r="V2587" s="21">
        <f t="shared" si="326"/>
        <v>23002.589999999997</v>
      </c>
      <c r="W2587" s="18">
        <f t="shared" si="327"/>
        <v>0.18723175965665234</v>
      </c>
    </row>
    <row r="2588" spans="1:23" x14ac:dyDescent="0.3">
      <c r="A2588" t="s">
        <v>831</v>
      </c>
      <c r="B2588" t="s">
        <v>3035</v>
      </c>
      <c r="C2588" t="s">
        <v>16</v>
      </c>
      <c r="D2588" t="s">
        <v>20</v>
      </c>
      <c r="E2588">
        <v>4279</v>
      </c>
      <c r="F2588">
        <v>332.1</v>
      </c>
      <c r="G2588">
        <v>346.77</v>
      </c>
      <c r="H2588">
        <v>332.1</v>
      </c>
      <c r="I2588">
        <v>1873</v>
      </c>
      <c r="J2588">
        <v>5</v>
      </c>
      <c r="K2588" s="17">
        <f t="shared" si="321"/>
        <v>312.16666666666663</v>
      </c>
      <c r="L2588" t="str">
        <f t="shared" si="322"/>
        <v>Sufficuent Stock</v>
      </c>
      <c r="P2588" s="19">
        <f t="shared" si="323"/>
        <v>0</v>
      </c>
      <c r="R2588" s="19">
        <f t="shared" si="320"/>
        <v>0</v>
      </c>
      <c r="T2588" s="19">
        <f t="shared" si="324"/>
        <v>649500.21</v>
      </c>
      <c r="U2588" s="19">
        <f t="shared" si="325"/>
        <v>622023.30000000005</v>
      </c>
      <c r="V2588" s="21">
        <f t="shared" si="326"/>
        <v>-27476.909999999916</v>
      </c>
      <c r="W2588" s="18">
        <f t="shared" si="327"/>
        <v>-4.2304697638203867E-2</v>
      </c>
    </row>
    <row r="2589" spans="1:23" x14ac:dyDescent="0.3">
      <c r="A2589" t="s">
        <v>188</v>
      </c>
      <c r="B2589" t="s">
        <v>189</v>
      </c>
      <c r="C2589" t="s">
        <v>23</v>
      </c>
      <c r="D2589" t="s">
        <v>13</v>
      </c>
      <c r="E2589">
        <v>4281</v>
      </c>
      <c r="F2589">
        <v>51.88</v>
      </c>
      <c r="G2589">
        <v>46.55</v>
      </c>
      <c r="H2589">
        <v>51.88</v>
      </c>
      <c r="I2589">
        <v>3390</v>
      </c>
      <c r="J2589">
        <v>12</v>
      </c>
      <c r="K2589" s="17">
        <f t="shared" si="321"/>
        <v>1356</v>
      </c>
      <c r="L2589" t="str">
        <f t="shared" si="322"/>
        <v>Sufficuent Stock</v>
      </c>
      <c r="P2589" s="19">
        <f t="shared" si="323"/>
        <v>0</v>
      </c>
      <c r="R2589" s="19">
        <f t="shared" si="320"/>
        <v>0</v>
      </c>
      <c r="T2589" s="19">
        <f t="shared" si="324"/>
        <v>157804.5</v>
      </c>
      <c r="U2589" s="19">
        <f t="shared" si="325"/>
        <v>175873.2</v>
      </c>
      <c r="V2589" s="21">
        <f t="shared" si="326"/>
        <v>18068.700000000012</v>
      </c>
      <c r="W2589" s="18">
        <f t="shared" si="327"/>
        <v>0.11450053705692811</v>
      </c>
    </row>
    <row r="2590" spans="1:23" x14ac:dyDescent="0.3">
      <c r="A2590" t="s">
        <v>224</v>
      </c>
      <c r="B2590" t="s">
        <v>681</v>
      </c>
      <c r="C2590" t="s">
        <v>12</v>
      </c>
      <c r="D2590" t="s">
        <v>13</v>
      </c>
      <c r="E2590">
        <v>4284</v>
      </c>
      <c r="F2590">
        <v>25.58</v>
      </c>
      <c r="G2590">
        <v>25.95</v>
      </c>
      <c r="H2590">
        <v>25.58</v>
      </c>
      <c r="I2590">
        <v>2007</v>
      </c>
      <c r="J2590">
        <v>39</v>
      </c>
      <c r="K2590" s="17">
        <f t="shared" si="321"/>
        <v>2609.1000000000004</v>
      </c>
      <c r="L2590" t="str">
        <f t="shared" si="322"/>
        <v>Sufficuent Stock</v>
      </c>
      <c r="P2590" s="19">
        <f t="shared" si="323"/>
        <v>0</v>
      </c>
      <c r="R2590" s="19">
        <f t="shared" si="320"/>
        <v>0</v>
      </c>
      <c r="T2590" s="19">
        <f t="shared" si="324"/>
        <v>52081.65</v>
      </c>
      <c r="U2590" s="19">
        <f t="shared" si="325"/>
        <v>51339.06</v>
      </c>
      <c r="V2590" s="21">
        <f t="shared" si="326"/>
        <v>-742.59000000000378</v>
      </c>
      <c r="W2590" s="18">
        <f t="shared" si="327"/>
        <v>-1.4258188824662885E-2</v>
      </c>
    </row>
    <row r="2591" spans="1:23" x14ac:dyDescent="0.3">
      <c r="A2591" t="s">
        <v>335</v>
      </c>
      <c r="B2591" t="s">
        <v>3030</v>
      </c>
      <c r="C2591" t="s">
        <v>12</v>
      </c>
      <c r="D2591" t="s">
        <v>26</v>
      </c>
      <c r="E2591">
        <v>4285</v>
      </c>
      <c r="F2591">
        <v>403.65</v>
      </c>
      <c r="G2591">
        <v>389.35</v>
      </c>
      <c r="H2591">
        <v>403.65</v>
      </c>
      <c r="I2591">
        <v>501</v>
      </c>
      <c r="J2591">
        <v>19</v>
      </c>
      <c r="K2591" s="17">
        <f t="shared" si="321"/>
        <v>317.3</v>
      </c>
      <c r="L2591" t="str">
        <f t="shared" si="322"/>
        <v>Sufficuent Stock</v>
      </c>
      <c r="P2591" s="19">
        <f t="shared" si="323"/>
        <v>0</v>
      </c>
      <c r="R2591" s="19">
        <f t="shared" si="320"/>
        <v>0</v>
      </c>
      <c r="T2591" s="19">
        <f t="shared" si="324"/>
        <v>195064.35</v>
      </c>
      <c r="U2591" s="19">
        <f t="shared" si="325"/>
        <v>202228.65</v>
      </c>
      <c r="V2591" s="21">
        <f t="shared" si="326"/>
        <v>7164.2999999999884</v>
      </c>
      <c r="W2591" s="18">
        <f t="shared" si="327"/>
        <v>3.6727879799666047E-2</v>
      </c>
    </row>
    <row r="2592" spans="1:23" x14ac:dyDescent="0.3">
      <c r="A2592" t="s">
        <v>385</v>
      </c>
      <c r="B2592" t="s">
        <v>3090</v>
      </c>
      <c r="C2592" t="s">
        <v>12</v>
      </c>
      <c r="D2592" t="s">
        <v>26</v>
      </c>
      <c r="E2592">
        <v>4286</v>
      </c>
      <c r="F2592">
        <v>71.89</v>
      </c>
      <c r="G2592">
        <v>65.02</v>
      </c>
      <c r="H2592">
        <v>71.89</v>
      </c>
      <c r="I2592">
        <v>3166</v>
      </c>
      <c r="J2592">
        <v>58</v>
      </c>
      <c r="K2592" s="17">
        <f t="shared" si="321"/>
        <v>6120.9333333333334</v>
      </c>
      <c r="L2592" t="str">
        <f t="shared" si="322"/>
        <v>High Risk</v>
      </c>
      <c r="P2592" s="19">
        <f t="shared" si="323"/>
        <v>1835</v>
      </c>
      <c r="R2592" s="19">
        <f t="shared" si="320"/>
        <v>131918.15</v>
      </c>
      <c r="T2592" s="19">
        <f t="shared" si="324"/>
        <v>205853.31999999998</v>
      </c>
      <c r="U2592" s="19">
        <f t="shared" si="325"/>
        <v>227603.74</v>
      </c>
      <c r="V2592" s="21">
        <f t="shared" si="326"/>
        <v>21750.420000000013</v>
      </c>
      <c r="W2592" s="18">
        <f t="shared" si="327"/>
        <v>0.10565979698554298</v>
      </c>
    </row>
    <row r="2593" spans="1:23" x14ac:dyDescent="0.3">
      <c r="A2593" t="s">
        <v>1014</v>
      </c>
      <c r="B2593" t="s">
        <v>2349</v>
      </c>
      <c r="C2593" t="s">
        <v>16</v>
      </c>
      <c r="D2593" t="s">
        <v>26</v>
      </c>
      <c r="E2593">
        <v>4287</v>
      </c>
      <c r="F2593">
        <v>238.37</v>
      </c>
      <c r="G2593">
        <v>201.97</v>
      </c>
      <c r="H2593">
        <v>238.37</v>
      </c>
      <c r="I2593">
        <v>2823</v>
      </c>
      <c r="J2593">
        <v>68</v>
      </c>
      <c r="K2593" s="17">
        <f t="shared" si="321"/>
        <v>6398.7999999999993</v>
      </c>
      <c r="L2593" t="str">
        <f t="shared" si="322"/>
        <v>High Risk</v>
      </c>
      <c r="P2593" s="19">
        <f t="shared" si="323"/>
        <v>2112</v>
      </c>
      <c r="R2593" s="19">
        <f t="shared" si="320"/>
        <v>503437.44</v>
      </c>
      <c r="T2593" s="19">
        <f t="shared" si="324"/>
        <v>570161.30999999994</v>
      </c>
      <c r="U2593" s="19">
        <f t="shared" si="325"/>
        <v>672918.51</v>
      </c>
      <c r="V2593" s="21">
        <f t="shared" si="326"/>
        <v>102757.20000000007</v>
      </c>
      <c r="W2593" s="18">
        <f t="shared" si="327"/>
        <v>0.18022478585928617</v>
      </c>
    </row>
    <row r="2594" spans="1:23" x14ac:dyDescent="0.3">
      <c r="A2594" t="s">
        <v>651</v>
      </c>
      <c r="B2594" t="s">
        <v>2603</v>
      </c>
      <c r="C2594" t="s">
        <v>37</v>
      </c>
      <c r="D2594" t="s">
        <v>17</v>
      </c>
      <c r="E2594">
        <v>4287</v>
      </c>
      <c r="F2594">
        <v>417.12</v>
      </c>
      <c r="G2594">
        <v>414.19</v>
      </c>
      <c r="H2594">
        <v>417.12</v>
      </c>
      <c r="I2594">
        <v>2248</v>
      </c>
      <c r="J2594">
        <v>27</v>
      </c>
      <c r="K2594" s="17">
        <f t="shared" si="321"/>
        <v>2023.2</v>
      </c>
      <c r="L2594" t="str">
        <f t="shared" si="322"/>
        <v>Sufficuent Stock</v>
      </c>
      <c r="P2594" s="19">
        <f t="shared" si="323"/>
        <v>0</v>
      </c>
      <c r="R2594" s="19">
        <f t="shared" si="320"/>
        <v>0</v>
      </c>
      <c r="T2594" s="19">
        <f t="shared" si="324"/>
        <v>931099.12</v>
      </c>
      <c r="U2594" s="19">
        <f t="shared" si="325"/>
        <v>937685.76</v>
      </c>
      <c r="V2594" s="21">
        <f t="shared" si="326"/>
        <v>6586.640000000014</v>
      </c>
      <c r="W2594" s="18">
        <f t="shared" si="327"/>
        <v>7.0740481421569966E-3</v>
      </c>
    </row>
    <row r="2595" spans="1:23" x14ac:dyDescent="0.3">
      <c r="A2595" t="s">
        <v>833</v>
      </c>
      <c r="B2595" t="s">
        <v>834</v>
      </c>
      <c r="C2595" t="s">
        <v>16</v>
      </c>
      <c r="D2595" t="s">
        <v>20</v>
      </c>
      <c r="E2595">
        <v>4288</v>
      </c>
      <c r="F2595">
        <v>188.82</v>
      </c>
      <c r="G2595">
        <v>201.88</v>
      </c>
      <c r="H2595">
        <v>188.82</v>
      </c>
      <c r="I2595">
        <v>956</v>
      </c>
      <c r="J2595">
        <v>59</v>
      </c>
      <c r="K2595" s="17">
        <f t="shared" si="321"/>
        <v>1880.1333333333334</v>
      </c>
      <c r="L2595" t="str">
        <f t="shared" si="322"/>
        <v>Sufficuent Stock</v>
      </c>
      <c r="P2595" s="19">
        <f t="shared" si="323"/>
        <v>0</v>
      </c>
      <c r="R2595" s="19">
        <f t="shared" si="320"/>
        <v>0</v>
      </c>
      <c r="T2595" s="19">
        <f t="shared" si="324"/>
        <v>192997.28</v>
      </c>
      <c r="U2595" s="19">
        <f t="shared" si="325"/>
        <v>180511.91999999998</v>
      </c>
      <c r="V2595" s="21">
        <f t="shared" si="326"/>
        <v>-12485.360000000015</v>
      </c>
      <c r="W2595" s="18">
        <f t="shared" si="327"/>
        <v>-6.4691896175946187E-2</v>
      </c>
    </row>
    <row r="2596" spans="1:23" x14ac:dyDescent="0.3">
      <c r="A2596" t="s">
        <v>138</v>
      </c>
      <c r="B2596" t="s">
        <v>745</v>
      </c>
      <c r="C2596" t="s">
        <v>16</v>
      </c>
      <c r="D2596" t="s">
        <v>69</v>
      </c>
      <c r="E2596">
        <v>4291</v>
      </c>
      <c r="F2596">
        <v>425.69</v>
      </c>
      <c r="G2596">
        <v>416.59</v>
      </c>
      <c r="H2596">
        <v>425.69</v>
      </c>
      <c r="I2596">
        <v>2545</v>
      </c>
      <c r="J2596">
        <v>73</v>
      </c>
      <c r="K2596" s="17">
        <f t="shared" si="321"/>
        <v>6192.833333333333</v>
      </c>
      <c r="L2596" t="str">
        <f t="shared" si="322"/>
        <v>High Risk</v>
      </c>
      <c r="P2596" s="19">
        <f t="shared" si="323"/>
        <v>1902</v>
      </c>
      <c r="R2596" s="19">
        <f t="shared" si="320"/>
        <v>809662.38</v>
      </c>
      <c r="T2596" s="19">
        <f t="shared" si="324"/>
        <v>1060221.55</v>
      </c>
      <c r="U2596" s="19">
        <f t="shared" si="325"/>
        <v>1083381.05</v>
      </c>
      <c r="V2596" s="21">
        <f t="shared" si="326"/>
        <v>23159.5</v>
      </c>
      <c r="W2596" s="18">
        <f t="shared" si="327"/>
        <v>2.1844019299551116E-2</v>
      </c>
    </row>
    <row r="2597" spans="1:23" x14ac:dyDescent="0.3">
      <c r="A2597" t="s">
        <v>72</v>
      </c>
      <c r="B2597" t="s">
        <v>2207</v>
      </c>
      <c r="C2597" t="s">
        <v>12</v>
      </c>
      <c r="D2597" t="s">
        <v>69</v>
      </c>
      <c r="E2597">
        <v>4292</v>
      </c>
      <c r="F2597">
        <v>440.1</v>
      </c>
      <c r="G2597">
        <v>401.48</v>
      </c>
      <c r="H2597">
        <v>440.1</v>
      </c>
      <c r="I2597">
        <v>126</v>
      </c>
      <c r="J2597">
        <v>87</v>
      </c>
      <c r="K2597" s="17">
        <f t="shared" si="321"/>
        <v>365.40000000000003</v>
      </c>
      <c r="L2597" t="str">
        <f t="shared" si="322"/>
        <v>Sufficuent Stock</v>
      </c>
      <c r="P2597" s="19">
        <f t="shared" si="323"/>
        <v>0</v>
      </c>
      <c r="R2597" s="19">
        <f t="shared" si="320"/>
        <v>0</v>
      </c>
      <c r="T2597" s="19">
        <f t="shared" si="324"/>
        <v>50586.48</v>
      </c>
      <c r="U2597" s="19">
        <f t="shared" si="325"/>
        <v>55452.600000000006</v>
      </c>
      <c r="V2597" s="21">
        <f t="shared" si="326"/>
        <v>4866.1200000000026</v>
      </c>
      <c r="W2597" s="18">
        <f t="shared" si="327"/>
        <v>9.6194081896981212E-2</v>
      </c>
    </row>
    <row r="2598" spans="1:23" x14ac:dyDescent="0.3">
      <c r="A2598" t="s">
        <v>487</v>
      </c>
      <c r="B2598" t="s">
        <v>3031</v>
      </c>
      <c r="C2598" t="s">
        <v>37</v>
      </c>
      <c r="D2598" t="s">
        <v>17</v>
      </c>
      <c r="E2598">
        <v>4292</v>
      </c>
      <c r="F2598">
        <v>401.44</v>
      </c>
      <c r="G2598">
        <v>369.45</v>
      </c>
      <c r="H2598">
        <v>401.44</v>
      </c>
      <c r="I2598">
        <v>720</v>
      </c>
      <c r="J2598">
        <v>63</v>
      </c>
      <c r="K2598" s="17">
        <f t="shared" si="321"/>
        <v>1512</v>
      </c>
      <c r="L2598" t="str">
        <f t="shared" si="322"/>
        <v>Sufficuent Stock</v>
      </c>
      <c r="P2598" s="19">
        <f t="shared" si="323"/>
        <v>0</v>
      </c>
      <c r="R2598" s="19">
        <f t="shared" si="320"/>
        <v>0</v>
      </c>
      <c r="T2598" s="19">
        <f t="shared" si="324"/>
        <v>266004</v>
      </c>
      <c r="U2598" s="19">
        <f t="shared" si="325"/>
        <v>289036.79999999999</v>
      </c>
      <c r="V2598" s="21">
        <f t="shared" si="326"/>
        <v>23032.799999999988</v>
      </c>
      <c r="W2598" s="18">
        <f t="shared" si="327"/>
        <v>8.6588171606441972E-2</v>
      </c>
    </row>
    <row r="2599" spans="1:23" x14ac:dyDescent="0.3">
      <c r="A2599" t="s">
        <v>349</v>
      </c>
      <c r="B2599" t="s">
        <v>3239</v>
      </c>
      <c r="C2599" t="s">
        <v>50</v>
      </c>
      <c r="D2599" t="s">
        <v>13</v>
      </c>
      <c r="E2599">
        <v>4295</v>
      </c>
      <c r="F2599">
        <v>516.9</v>
      </c>
      <c r="G2599">
        <v>448.55</v>
      </c>
      <c r="H2599">
        <v>516.9</v>
      </c>
      <c r="I2599">
        <v>503</v>
      </c>
      <c r="J2599">
        <v>12</v>
      </c>
      <c r="K2599" s="17">
        <f t="shared" si="321"/>
        <v>201.2</v>
      </c>
      <c r="L2599" t="str">
        <f t="shared" si="322"/>
        <v>Sufficuent Stock</v>
      </c>
      <c r="P2599" s="19">
        <f t="shared" si="323"/>
        <v>0</v>
      </c>
      <c r="R2599" s="19">
        <f t="shared" si="320"/>
        <v>0</v>
      </c>
      <c r="T2599" s="19">
        <f t="shared" si="324"/>
        <v>225620.65</v>
      </c>
      <c r="U2599" s="19">
        <f t="shared" si="325"/>
        <v>260000.69999999998</v>
      </c>
      <c r="V2599" s="21">
        <f t="shared" si="326"/>
        <v>34380.049999999988</v>
      </c>
      <c r="W2599" s="18">
        <f t="shared" si="327"/>
        <v>0.15237989075911265</v>
      </c>
    </row>
    <row r="2600" spans="1:23" x14ac:dyDescent="0.3">
      <c r="A2600" t="s">
        <v>850</v>
      </c>
      <c r="B2600" t="s">
        <v>1356</v>
      </c>
      <c r="C2600" t="s">
        <v>23</v>
      </c>
      <c r="D2600" t="s">
        <v>26</v>
      </c>
      <c r="E2600">
        <v>4300</v>
      </c>
      <c r="F2600">
        <v>170.56</v>
      </c>
      <c r="G2600">
        <v>167.86</v>
      </c>
      <c r="H2600">
        <v>170.56</v>
      </c>
      <c r="I2600">
        <v>3246</v>
      </c>
      <c r="J2600">
        <v>18</v>
      </c>
      <c r="K2600" s="17">
        <f t="shared" si="321"/>
        <v>1947.6000000000001</v>
      </c>
      <c r="L2600" t="str">
        <f t="shared" si="322"/>
        <v>Sufficuent Stock</v>
      </c>
      <c r="P2600" s="19">
        <f t="shared" si="323"/>
        <v>0</v>
      </c>
      <c r="R2600" s="19">
        <f t="shared" si="320"/>
        <v>0</v>
      </c>
      <c r="T2600" s="19">
        <f t="shared" si="324"/>
        <v>544873.56000000006</v>
      </c>
      <c r="U2600" s="19">
        <f t="shared" si="325"/>
        <v>553637.76</v>
      </c>
      <c r="V2600" s="21">
        <f t="shared" si="326"/>
        <v>8764.1999999999534</v>
      </c>
      <c r="W2600" s="18">
        <f t="shared" si="327"/>
        <v>1.608483259859398E-2</v>
      </c>
    </row>
    <row r="2601" spans="1:23" x14ac:dyDescent="0.3">
      <c r="A2601" t="s">
        <v>659</v>
      </c>
      <c r="B2601" t="s">
        <v>2070</v>
      </c>
      <c r="C2601" t="s">
        <v>12</v>
      </c>
      <c r="D2601" t="s">
        <v>20</v>
      </c>
      <c r="E2601">
        <v>4301</v>
      </c>
      <c r="F2601">
        <v>303.10000000000002</v>
      </c>
      <c r="G2601">
        <v>329.11</v>
      </c>
      <c r="H2601">
        <v>303.10000000000002</v>
      </c>
      <c r="I2601">
        <v>776</v>
      </c>
      <c r="J2601">
        <v>44</v>
      </c>
      <c r="K2601" s="17">
        <f t="shared" si="321"/>
        <v>1138.1333333333334</v>
      </c>
      <c r="L2601" t="str">
        <f t="shared" si="322"/>
        <v>Sufficuent Stock</v>
      </c>
      <c r="P2601" s="19">
        <f t="shared" si="323"/>
        <v>0</v>
      </c>
      <c r="R2601" s="19">
        <f t="shared" si="320"/>
        <v>0</v>
      </c>
      <c r="T2601" s="19">
        <f t="shared" si="324"/>
        <v>255389.36000000002</v>
      </c>
      <c r="U2601" s="19">
        <f t="shared" si="325"/>
        <v>235205.6</v>
      </c>
      <c r="V2601" s="21">
        <f t="shared" si="326"/>
        <v>-20183.760000000009</v>
      </c>
      <c r="W2601" s="18">
        <f t="shared" si="327"/>
        <v>-7.9031326911974745E-2</v>
      </c>
    </row>
    <row r="2602" spans="1:23" x14ac:dyDescent="0.3">
      <c r="A2602" t="s">
        <v>222</v>
      </c>
      <c r="B2602" t="s">
        <v>2430</v>
      </c>
      <c r="C2602" t="s">
        <v>23</v>
      </c>
      <c r="D2602" t="s">
        <v>69</v>
      </c>
      <c r="E2602">
        <v>4302</v>
      </c>
      <c r="F2602">
        <v>115.12</v>
      </c>
      <c r="G2602">
        <v>121.64</v>
      </c>
      <c r="H2602">
        <v>115.12</v>
      </c>
      <c r="I2602">
        <v>2713</v>
      </c>
      <c r="J2602">
        <v>85</v>
      </c>
      <c r="K2602" s="17">
        <f t="shared" si="321"/>
        <v>7686.8333333333339</v>
      </c>
      <c r="L2602" t="str">
        <f t="shared" si="322"/>
        <v>High Risk</v>
      </c>
      <c r="P2602" s="19">
        <f t="shared" si="323"/>
        <v>3385</v>
      </c>
      <c r="R2602" s="19">
        <f t="shared" si="320"/>
        <v>389681.2</v>
      </c>
      <c r="T2602" s="19">
        <f t="shared" si="324"/>
        <v>330009.32</v>
      </c>
      <c r="U2602" s="19">
        <f t="shared" si="325"/>
        <v>312320.56</v>
      </c>
      <c r="V2602" s="21">
        <f t="shared" si="326"/>
        <v>-17688.760000000009</v>
      </c>
      <c r="W2602" s="18">
        <f t="shared" si="327"/>
        <v>-5.3600789214074344E-2</v>
      </c>
    </row>
    <row r="2603" spans="1:23" x14ac:dyDescent="0.3">
      <c r="A2603" t="s">
        <v>896</v>
      </c>
      <c r="B2603" t="s">
        <v>922</v>
      </c>
      <c r="C2603" t="s">
        <v>23</v>
      </c>
      <c r="D2603" t="s">
        <v>69</v>
      </c>
      <c r="E2603">
        <v>4303</v>
      </c>
      <c r="F2603">
        <v>515.82000000000005</v>
      </c>
      <c r="G2603">
        <v>477.06</v>
      </c>
      <c r="H2603">
        <v>515.82000000000005</v>
      </c>
      <c r="I2603">
        <v>1350</v>
      </c>
      <c r="J2603">
        <v>18</v>
      </c>
      <c r="K2603" s="17">
        <f t="shared" si="321"/>
        <v>810</v>
      </c>
      <c r="L2603" t="str">
        <f t="shared" si="322"/>
        <v>Sufficuent Stock</v>
      </c>
      <c r="P2603" s="19">
        <f t="shared" si="323"/>
        <v>0</v>
      </c>
      <c r="R2603" s="19">
        <f t="shared" si="320"/>
        <v>0</v>
      </c>
      <c r="T2603" s="19">
        <f t="shared" si="324"/>
        <v>644031</v>
      </c>
      <c r="U2603" s="19">
        <f t="shared" si="325"/>
        <v>696357.00000000012</v>
      </c>
      <c r="V2603" s="21">
        <f t="shared" si="326"/>
        <v>52326.000000000116</v>
      </c>
      <c r="W2603" s="18">
        <f t="shared" si="327"/>
        <v>8.124764180606231E-2</v>
      </c>
    </row>
    <row r="2604" spans="1:23" x14ac:dyDescent="0.3">
      <c r="A2604" t="s">
        <v>249</v>
      </c>
      <c r="B2604" t="s">
        <v>1206</v>
      </c>
      <c r="C2604" t="s">
        <v>12</v>
      </c>
      <c r="D2604" t="s">
        <v>13</v>
      </c>
      <c r="E2604">
        <v>4304</v>
      </c>
      <c r="F2604">
        <v>535.05999999999995</v>
      </c>
      <c r="G2604">
        <v>496</v>
      </c>
      <c r="H2604">
        <v>535.05999999999995</v>
      </c>
      <c r="I2604">
        <v>1589</v>
      </c>
      <c r="J2604">
        <v>89</v>
      </c>
      <c r="K2604" s="17">
        <f t="shared" si="321"/>
        <v>4714.0333333333338</v>
      </c>
      <c r="L2604" t="str">
        <f t="shared" si="322"/>
        <v>High Risk</v>
      </c>
      <c r="P2604" s="19">
        <f t="shared" si="323"/>
        <v>411</v>
      </c>
      <c r="R2604" s="19">
        <f t="shared" si="320"/>
        <v>219909.65999999997</v>
      </c>
      <c r="T2604" s="19">
        <f t="shared" si="324"/>
        <v>788144</v>
      </c>
      <c r="U2604" s="19">
        <f t="shared" si="325"/>
        <v>850210.34</v>
      </c>
      <c r="V2604" s="21">
        <f t="shared" si="326"/>
        <v>62066.339999999967</v>
      </c>
      <c r="W2604" s="18">
        <f t="shared" si="327"/>
        <v>7.8749999999999959E-2</v>
      </c>
    </row>
    <row r="2605" spans="1:23" x14ac:dyDescent="0.3">
      <c r="A2605" t="s">
        <v>464</v>
      </c>
      <c r="B2605" t="s">
        <v>2060</v>
      </c>
      <c r="C2605" t="s">
        <v>37</v>
      </c>
      <c r="D2605" t="s">
        <v>69</v>
      </c>
      <c r="E2605">
        <v>4305</v>
      </c>
      <c r="F2605">
        <v>432.59</v>
      </c>
      <c r="G2605">
        <v>384.29</v>
      </c>
      <c r="H2605">
        <v>432.59</v>
      </c>
      <c r="I2605">
        <v>3796</v>
      </c>
      <c r="J2605">
        <v>23</v>
      </c>
      <c r="K2605" s="17">
        <f t="shared" si="321"/>
        <v>2910.2666666666664</v>
      </c>
      <c r="L2605" t="str">
        <f t="shared" si="322"/>
        <v>Sufficuent Stock</v>
      </c>
      <c r="P2605" s="19">
        <f t="shared" si="323"/>
        <v>0</v>
      </c>
      <c r="R2605" s="19">
        <f t="shared" si="320"/>
        <v>0</v>
      </c>
      <c r="T2605" s="19">
        <f t="shared" si="324"/>
        <v>1458764.84</v>
      </c>
      <c r="U2605" s="19">
        <f t="shared" si="325"/>
        <v>1642111.64</v>
      </c>
      <c r="V2605" s="21">
        <f t="shared" si="326"/>
        <v>183346.79999999981</v>
      </c>
      <c r="W2605" s="18">
        <f t="shared" si="327"/>
        <v>0.12568633063571769</v>
      </c>
    </row>
    <row r="2606" spans="1:23" x14ac:dyDescent="0.3">
      <c r="A2606" t="s">
        <v>1074</v>
      </c>
      <c r="B2606" t="s">
        <v>3338</v>
      </c>
      <c r="C2606" t="s">
        <v>23</v>
      </c>
      <c r="D2606" t="s">
        <v>17</v>
      </c>
      <c r="E2606">
        <v>4306</v>
      </c>
      <c r="F2606">
        <v>456.86</v>
      </c>
      <c r="G2606">
        <v>428.06</v>
      </c>
      <c r="H2606">
        <v>456.86</v>
      </c>
      <c r="I2606">
        <v>2266</v>
      </c>
      <c r="J2606">
        <v>19</v>
      </c>
      <c r="K2606" s="17">
        <f t="shared" si="321"/>
        <v>1435.1333333333332</v>
      </c>
      <c r="L2606" t="str">
        <f t="shared" si="322"/>
        <v>Sufficuent Stock</v>
      </c>
      <c r="P2606" s="19">
        <f t="shared" si="323"/>
        <v>0</v>
      </c>
      <c r="R2606" s="19">
        <f t="shared" si="320"/>
        <v>0</v>
      </c>
      <c r="T2606" s="19">
        <f t="shared" si="324"/>
        <v>969983.96</v>
      </c>
      <c r="U2606" s="19">
        <f t="shared" si="325"/>
        <v>1035244.76</v>
      </c>
      <c r="V2606" s="21">
        <f t="shared" si="326"/>
        <v>65260.800000000047</v>
      </c>
      <c r="W2606" s="18">
        <f t="shared" si="327"/>
        <v>6.7280287810120132E-2</v>
      </c>
    </row>
    <row r="2607" spans="1:23" x14ac:dyDescent="0.3">
      <c r="A2607" t="s">
        <v>1325</v>
      </c>
      <c r="B2607" t="s">
        <v>1326</v>
      </c>
      <c r="C2607" t="s">
        <v>16</v>
      </c>
      <c r="D2607" t="s">
        <v>17</v>
      </c>
      <c r="E2607">
        <v>4307</v>
      </c>
      <c r="F2607">
        <v>415.98</v>
      </c>
      <c r="G2607">
        <v>381.57</v>
      </c>
      <c r="H2607">
        <v>415.98</v>
      </c>
      <c r="I2607">
        <v>2410</v>
      </c>
      <c r="J2607">
        <v>32</v>
      </c>
      <c r="K2607" s="17">
        <f t="shared" si="321"/>
        <v>2570.6666666666665</v>
      </c>
      <c r="L2607" t="str">
        <f t="shared" si="322"/>
        <v>Sufficuent Stock</v>
      </c>
      <c r="P2607" s="19">
        <f t="shared" si="323"/>
        <v>0</v>
      </c>
      <c r="R2607" s="19">
        <f t="shared" si="320"/>
        <v>0</v>
      </c>
      <c r="T2607" s="19">
        <f t="shared" si="324"/>
        <v>919583.7</v>
      </c>
      <c r="U2607" s="19">
        <f t="shared" si="325"/>
        <v>1002511.8</v>
      </c>
      <c r="V2607" s="21">
        <f t="shared" si="326"/>
        <v>82928.100000000093</v>
      </c>
      <c r="W2607" s="18">
        <f t="shared" si="327"/>
        <v>9.0180045601069375E-2</v>
      </c>
    </row>
    <row r="2608" spans="1:23" x14ac:dyDescent="0.3">
      <c r="A2608" t="s">
        <v>76</v>
      </c>
      <c r="B2608" t="s">
        <v>3017</v>
      </c>
      <c r="C2608" t="s">
        <v>50</v>
      </c>
      <c r="D2608" t="s">
        <v>69</v>
      </c>
      <c r="E2608">
        <v>4308</v>
      </c>
      <c r="F2608">
        <v>520.77</v>
      </c>
      <c r="G2608">
        <v>495.12</v>
      </c>
      <c r="H2608">
        <v>520.77</v>
      </c>
      <c r="I2608">
        <v>1680</v>
      </c>
      <c r="J2608">
        <v>9</v>
      </c>
      <c r="K2608" s="17">
        <f t="shared" si="321"/>
        <v>504</v>
      </c>
      <c r="L2608" t="str">
        <f t="shared" si="322"/>
        <v>Sufficuent Stock</v>
      </c>
      <c r="P2608" s="19">
        <f t="shared" si="323"/>
        <v>0</v>
      </c>
      <c r="R2608" s="19">
        <f t="shared" si="320"/>
        <v>0</v>
      </c>
      <c r="T2608" s="19">
        <f t="shared" si="324"/>
        <v>831801.6</v>
      </c>
      <c r="U2608" s="19">
        <f t="shared" si="325"/>
        <v>874893.6</v>
      </c>
      <c r="V2608" s="21">
        <f t="shared" si="326"/>
        <v>43092</v>
      </c>
      <c r="W2608" s="18">
        <f t="shared" si="327"/>
        <v>5.1805622879301988E-2</v>
      </c>
    </row>
    <row r="2609" spans="1:23" x14ac:dyDescent="0.3">
      <c r="A2609" t="s">
        <v>424</v>
      </c>
      <c r="B2609" t="s">
        <v>2931</v>
      </c>
      <c r="C2609" t="s">
        <v>12</v>
      </c>
      <c r="D2609" t="s">
        <v>20</v>
      </c>
      <c r="E2609">
        <v>4308</v>
      </c>
      <c r="F2609">
        <v>347.51</v>
      </c>
      <c r="G2609">
        <v>351.26</v>
      </c>
      <c r="H2609">
        <v>347.51</v>
      </c>
      <c r="I2609">
        <v>2421</v>
      </c>
      <c r="J2609">
        <v>6</v>
      </c>
      <c r="K2609" s="17">
        <f t="shared" si="321"/>
        <v>484.20000000000005</v>
      </c>
      <c r="L2609" t="str">
        <f t="shared" si="322"/>
        <v>Sufficuent Stock</v>
      </c>
      <c r="P2609" s="19">
        <f t="shared" si="323"/>
        <v>0</v>
      </c>
      <c r="R2609" s="19">
        <f t="shared" si="320"/>
        <v>0</v>
      </c>
      <c r="T2609" s="19">
        <f t="shared" si="324"/>
        <v>850400.46</v>
      </c>
      <c r="U2609" s="19">
        <f t="shared" si="325"/>
        <v>841321.71</v>
      </c>
      <c r="V2609" s="21">
        <f t="shared" si="326"/>
        <v>-9078.75</v>
      </c>
      <c r="W2609" s="18">
        <f t="shared" si="327"/>
        <v>-1.0675852644764562E-2</v>
      </c>
    </row>
    <row r="2610" spans="1:23" x14ac:dyDescent="0.3">
      <c r="A2610" t="s">
        <v>301</v>
      </c>
      <c r="B2610" t="s">
        <v>3219</v>
      </c>
      <c r="C2610" t="s">
        <v>16</v>
      </c>
      <c r="D2610" t="s">
        <v>20</v>
      </c>
      <c r="E2610">
        <v>4309</v>
      </c>
      <c r="F2610">
        <v>263.52999999999997</v>
      </c>
      <c r="G2610">
        <v>267.16000000000003</v>
      </c>
      <c r="H2610">
        <v>263.52999999999997</v>
      </c>
      <c r="I2610">
        <v>2450</v>
      </c>
      <c r="J2610">
        <v>37</v>
      </c>
      <c r="K2610" s="17">
        <f t="shared" si="321"/>
        <v>3021.666666666667</v>
      </c>
      <c r="L2610" t="str">
        <f t="shared" si="322"/>
        <v>Sufficuent Stock</v>
      </c>
      <c r="P2610" s="19">
        <f t="shared" si="323"/>
        <v>0</v>
      </c>
      <c r="R2610" s="19">
        <f t="shared" si="320"/>
        <v>0</v>
      </c>
      <c r="T2610" s="19">
        <f t="shared" si="324"/>
        <v>654542.00000000012</v>
      </c>
      <c r="U2610" s="19">
        <f t="shared" si="325"/>
        <v>645648.49999999988</v>
      </c>
      <c r="V2610" s="21">
        <f t="shared" si="326"/>
        <v>-8893.5000000002328</v>
      </c>
      <c r="W2610" s="18">
        <f t="shared" si="327"/>
        <v>-1.3587363377751514E-2</v>
      </c>
    </row>
    <row r="2611" spans="1:23" x14ac:dyDescent="0.3">
      <c r="A2611" t="s">
        <v>55</v>
      </c>
      <c r="B2611" t="s">
        <v>1966</v>
      </c>
      <c r="C2611" t="s">
        <v>50</v>
      </c>
      <c r="D2611" t="s">
        <v>26</v>
      </c>
      <c r="E2611">
        <v>4309</v>
      </c>
      <c r="F2611">
        <v>224.03</v>
      </c>
      <c r="G2611">
        <v>204</v>
      </c>
      <c r="H2611">
        <v>224.03</v>
      </c>
      <c r="I2611">
        <v>3846</v>
      </c>
      <c r="J2611">
        <v>8</v>
      </c>
      <c r="K2611" s="17">
        <f t="shared" si="321"/>
        <v>1025.5999999999999</v>
      </c>
      <c r="L2611" t="str">
        <f t="shared" si="322"/>
        <v>Sufficuent Stock</v>
      </c>
      <c r="P2611" s="19">
        <f t="shared" si="323"/>
        <v>0</v>
      </c>
      <c r="R2611" s="19">
        <f t="shared" si="320"/>
        <v>0</v>
      </c>
      <c r="T2611" s="19">
        <f t="shared" si="324"/>
        <v>784584</v>
      </c>
      <c r="U2611" s="19">
        <f t="shared" si="325"/>
        <v>861619.38</v>
      </c>
      <c r="V2611" s="21">
        <f t="shared" si="326"/>
        <v>77035.38</v>
      </c>
      <c r="W2611" s="18">
        <f t="shared" si="327"/>
        <v>9.8186274509803925E-2</v>
      </c>
    </row>
    <row r="2612" spans="1:23" x14ac:dyDescent="0.3">
      <c r="A2612" t="s">
        <v>1253</v>
      </c>
      <c r="B2612" t="s">
        <v>1506</v>
      </c>
      <c r="C2612" t="s">
        <v>16</v>
      </c>
      <c r="D2612" t="s">
        <v>26</v>
      </c>
      <c r="E2612">
        <v>4310</v>
      </c>
      <c r="F2612">
        <v>484.16</v>
      </c>
      <c r="G2612">
        <v>483.95</v>
      </c>
      <c r="H2612">
        <v>484.16</v>
      </c>
      <c r="I2612">
        <v>1742</v>
      </c>
      <c r="J2612">
        <v>15</v>
      </c>
      <c r="K2612" s="17">
        <f t="shared" si="321"/>
        <v>871</v>
      </c>
      <c r="L2612" t="str">
        <f t="shared" si="322"/>
        <v>Sufficuent Stock</v>
      </c>
      <c r="P2612" s="19">
        <f t="shared" si="323"/>
        <v>0</v>
      </c>
      <c r="R2612" s="19">
        <f t="shared" si="320"/>
        <v>0</v>
      </c>
      <c r="T2612" s="19">
        <f t="shared" si="324"/>
        <v>843040.9</v>
      </c>
      <c r="U2612" s="19">
        <f t="shared" si="325"/>
        <v>843406.72000000009</v>
      </c>
      <c r="V2612" s="21">
        <f t="shared" si="326"/>
        <v>365.82000000006519</v>
      </c>
      <c r="W2612" s="18">
        <f t="shared" si="327"/>
        <v>4.3392912490967543E-4</v>
      </c>
    </row>
    <row r="2613" spans="1:23" x14ac:dyDescent="0.3">
      <c r="A2613" t="s">
        <v>55</v>
      </c>
      <c r="B2613" t="s">
        <v>1167</v>
      </c>
      <c r="C2613" t="s">
        <v>12</v>
      </c>
      <c r="D2613" t="s">
        <v>20</v>
      </c>
      <c r="E2613">
        <v>4310</v>
      </c>
      <c r="F2613">
        <v>32.74</v>
      </c>
      <c r="G2613">
        <v>28.99</v>
      </c>
      <c r="H2613">
        <v>32.74</v>
      </c>
      <c r="I2613">
        <v>980</v>
      </c>
      <c r="J2613">
        <v>85</v>
      </c>
      <c r="K2613" s="17">
        <f t="shared" si="321"/>
        <v>2776.6666666666665</v>
      </c>
      <c r="L2613" t="str">
        <f t="shared" si="322"/>
        <v>Sufficuent Stock</v>
      </c>
      <c r="P2613" s="19">
        <f t="shared" si="323"/>
        <v>0</v>
      </c>
      <c r="R2613" s="19">
        <f t="shared" si="320"/>
        <v>0</v>
      </c>
      <c r="T2613" s="19">
        <f t="shared" si="324"/>
        <v>28410.199999999997</v>
      </c>
      <c r="U2613" s="19">
        <f t="shared" si="325"/>
        <v>32085.200000000001</v>
      </c>
      <c r="V2613" s="21">
        <f t="shared" si="326"/>
        <v>3675.0000000000036</v>
      </c>
      <c r="W2613" s="18">
        <f t="shared" si="327"/>
        <v>0.12935494998275282</v>
      </c>
    </row>
    <row r="2614" spans="1:23" x14ac:dyDescent="0.3">
      <c r="A2614" t="s">
        <v>686</v>
      </c>
      <c r="B2614" t="s">
        <v>2142</v>
      </c>
      <c r="C2614" t="s">
        <v>23</v>
      </c>
      <c r="D2614" t="s">
        <v>13</v>
      </c>
      <c r="E2614">
        <v>4312</v>
      </c>
      <c r="F2614">
        <v>331.11</v>
      </c>
      <c r="G2614">
        <v>286.41000000000003</v>
      </c>
      <c r="H2614">
        <v>331.11</v>
      </c>
      <c r="I2614">
        <v>2552</v>
      </c>
      <c r="J2614">
        <v>68</v>
      </c>
      <c r="K2614" s="17">
        <f t="shared" si="321"/>
        <v>5784.5333333333328</v>
      </c>
      <c r="L2614" t="str">
        <f t="shared" si="322"/>
        <v>High Risk</v>
      </c>
      <c r="P2614" s="19">
        <f t="shared" si="323"/>
        <v>1473</v>
      </c>
      <c r="R2614" s="19">
        <f t="shared" si="320"/>
        <v>487725.03</v>
      </c>
      <c r="T2614" s="19">
        <f t="shared" si="324"/>
        <v>730918.32000000007</v>
      </c>
      <c r="U2614" s="19">
        <f t="shared" si="325"/>
        <v>844992.72000000009</v>
      </c>
      <c r="V2614" s="21">
        <f t="shared" si="326"/>
        <v>114074.40000000002</v>
      </c>
      <c r="W2614" s="18">
        <f t="shared" si="327"/>
        <v>0.15606996962396566</v>
      </c>
    </row>
    <row r="2615" spans="1:23" x14ac:dyDescent="0.3">
      <c r="A2615" t="s">
        <v>723</v>
      </c>
      <c r="B2615" t="s">
        <v>1417</v>
      </c>
      <c r="C2615" t="s">
        <v>50</v>
      </c>
      <c r="D2615" t="s">
        <v>17</v>
      </c>
      <c r="E2615">
        <v>4312</v>
      </c>
      <c r="F2615">
        <v>38.549999999999997</v>
      </c>
      <c r="G2615">
        <v>32.4</v>
      </c>
      <c r="H2615">
        <v>38.549999999999997</v>
      </c>
      <c r="I2615">
        <v>2000</v>
      </c>
      <c r="J2615">
        <v>73</v>
      </c>
      <c r="K2615" s="17">
        <f t="shared" si="321"/>
        <v>4866.666666666667</v>
      </c>
      <c r="L2615" t="str">
        <f t="shared" si="322"/>
        <v>High Risk</v>
      </c>
      <c r="P2615" s="19">
        <f t="shared" si="323"/>
        <v>555</v>
      </c>
      <c r="R2615" s="19">
        <f t="shared" si="320"/>
        <v>21395.25</v>
      </c>
      <c r="T2615" s="19">
        <f t="shared" si="324"/>
        <v>64800</v>
      </c>
      <c r="U2615" s="19">
        <f t="shared" si="325"/>
        <v>77100</v>
      </c>
      <c r="V2615" s="21">
        <f t="shared" si="326"/>
        <v>12300</v>
      </c>
      <c r="W2615" s="18">
        <f t="shared" si="327"/>
        <v>0.18981481481481483</v>
      </c>
    </row>
    <row r="2616" spans="1:23" x14ac:dyDescent="0.3">
      <c r="A2616" t="s">
        <v>270</v>
      </c>
      <c r="B2616" t="s">
        <v>766</v>
      </c>
      <c r="C2616" t="s">
        <v>16</v>
      </c>
      <c r="D2616" t="s">
        <v>17</v>
      </c>
      <c r="E2616">
        <v>4313</v>
      </c>
      <c r="F2616">
        <v>435.77</v>
      </c>
      <c r="G2616">
        <v>386.17</v>
      </c>
      <c r="H2616">
        <v>435.77</v>
      </c>
      <c r="I2616">
        <v>2771</v>
      </c>
      <c r="J2616">
        <v>14</v>
      </c>
      <c r="K2616" s="17">
        <f t="shared" si="321"/>
        <v>1293.1333333333332</v>
      </c>
      <c r="L2616" t="str">
        <f t="shared" si="322"/>
        <v>Sufficuent Stock</v>
      </c>
      <c r="P2616" s="19">
        <f t="shared" si="323"/>
        <v>0</v>
      </c>
      <c r="R2616" s="19">
        <f t="shared" si="320"/>
        <v>0</v>
      </c>
      <c r="T2616" s="19">
        <f t="shared" si="324"/>
        <v>1070077.07</v>
      </c>
      <c r="U2616" s="19">
        <f t="shared" si="325"/>
        <v>1207518.67</v>
      </c>
      <c r="V2616" s="21">
        <f t="shared" si="326"/>
        <v>137441.59999999986</v>
      </c>
      <c r="W2616" s="18">
        <f t="shared" si="327"/>
        <v>0.12844084211616633</v>
      </c>
    </row>
    <row r="2617" spans="1:23" x14ac:dyDescent="0.3">
      <c r="A2617" t="s">
        <v>1071</v>
      </c>
      <c r="B2617" t="s">
        <v>2635</v>
      </c>
      <c r="C2617" t="s">
        <v>12</v>
      </c>
      <c r="D2617" t="s">
        <v>20</v>
      </c>
      <c r="E2617">
        <v>4316</v>
      </c>
      <c r="F2617">
        <v>194.27</v>
      </c>
      <c r="G2617">
        <v>205.15</v>
      </c>
      <c r="H2617">
        <v>194.27</v>
      </c>
      <c r="I2617">
        <v>2487</v>
      </c>
      <c r="J2617">
        <v>67</v>
      </c>
      <c r="K2617" s="17">
        <f t="shared" si="321"/>
        <v>5554.3</v>
      </c>
      <c r="L2617" t="str">
        <f t="shared" si="322"/>
        <v>High Risk</v>
      </c>
      <c r="P2617" s="19">
        <f t="shared" si="323"/>
        <v>1239</v>
      </c>
      <c r="R2617" s="19">
        <f t="shared" si="320"/>
        <v>240700.53</v>
      </c>
      <c r="T2617" s="19">
        <f t="shared" si="324"/>
        <v>510208.05</v>
      </c>
      <c r="U2617" s="19">
        <f t="shared" si="325"/>
        <v>483149.49000000005</v>
      </c>
      <c r="V2617" s="21">
        <f t="shared" si="326"/>
        <v>-27058.559999999939</v>
      </c>
      <c r="W2617" s="18">
        <f t="shared" si="327"/>
        <v>-5.3034365098708146E-2</v>
      </c>
    </row>
    <row r="2618" spans="1:23" x14ac:dyDescent="0.3">
      <c r="A2618" t="s">
        <v>1211</v>
      </c>
      <c r="B2618" t="s">
        <v>3298</v>
      </c>
      <c r="C2618" t="s">
        <v>23</v>
      </c>
      <c r="D2618" t="s">
        <v>17</v>
      </c>
      <c r="E2618">
        <v>4318</v>
      </c>
      <c r="F2618">
        <v>431.93</v>
      </c>
      <c r="G2618">
        <v>388.61</v>
      </c>
      <c r="H2618">
        <v>431.93</v>
      </c>
      <c r="I2618">
        <v>2432</v>
      </c>
      <c r="J2618">
        <v>50</v>
      </c>
      <c r="K2618" s="17">
        <f t="shared" si="321"/>
        <v>4053.333333333333</v>
      </c>
      <c r="L2618" t="str">
        <f t="shared" si="322"/>
        <v>Sufficuent Stock</v>
      </c>
      <c r="P2618" s="19">
        <f t="shared" si="323"/>
        <v>0</v>
      </c>
      <c r="R2618" s="19">
        <f t="shared" si="320"/>
        <v>0</v>
      </c>
      <c r="T2618" s="19">
        <f t="shared" si="324"/>
        <v>945099.52</v>
      </c>
      <c r="U2618" s="19">
        <f t="shared" si="325"/>
        <v>1050453.76</v>
      </c>
      <c r="V2618" s="21">
        <f t="shared" si="326"/>
        <v>105354.23999999999</v>
      </c>
      <c r="W2618" s="18">
        <f t="shared" si="327"/>
        <v>0.11147422866112554</v>
      </c>
    </row>
    <row r="2619" spans="1:23" x14ac:dyDescent="0.3">
      <c r="A2619" t="s">
        <v>138</v>
      </c>
      <c r="B2619" t="s">
        <v>2984</v>
      </c>
      <c r="C2619" t="s">
        <v>50</v>
      </c>
      <c r="D2619" t="s">
        <v>20</v>
      </c>
      <c r="E2619">
        <v>4322</v>
      </c>
      <c r="F2619">
        <v>319.64999999999998</v>
      </c>
      <c r="G2619">
        <v>269.45999999999998</v>
      </c>
      <c r="H2619">
        <v>319.64999999999998</v>
      </c>
      <c r="I2619">
        <v>250</v>
      </c>
      <c r="J2619">
        <v>72</v>
      </c>
      <c r="K2619" s="17">
        <f t="shared" si="321"/>
        <v>600</v>
      </c>
      <c r="L2619" t="str">
        <f t="shared" si="322"/>
        <v>Sufficuent Stock</v>
      </c>
      <c r="P2619" s="19">
        <f t="shared" si="323"/>
        <v>0</v>
      </c>
      <c r="R2619" s="19">
        <f t="shared" si="320"/>
        <v>0</v>
      </c>
      <c r="T2619" s="19">
        <f t="shared" si="324"/>
        <v>67365</v>
      </c>
      <c r="U2619" s="19">
        <f t="shared" si="325"/>
        <v>79912.5</v>
      </c>
      <c r="V2619" s="21">
        <f t="shared" si="326"/>
        <v>12547.5</v>
      </c>
      <c r="W2619" s="18">
        <f t="shared" si="327"/>
        <v>0.18626141171231353</v>
      </c>
    </row>
    <row r="2620" spans="1:23" x14ac:dyDescent="0.3">
      <c r="A2620" t="s">
        <v>535</v>
      </c>
      <c r="B2620" t="s">
        <v>921</v>
      </c>
      <c r="C2620" t="s">
        <v>50</v>
      </c>
      <c r="D2620" t="s">
        <v>17</v>
      </c>
      <c r="E2620">
        <v>4323</v>
      </c>
      <c r="F2620">
        <v>187.08</v>
      </c>
      <c r="G2620">
        <v>158.72</v>
      </c>
      <c r="H2620">
        <v>187.08</v>
      </c>
      <c r="I2620">
        <v>2593</v>
      </c>
      <c r="J2620">
        <v>46</v>
      </c>
      <c r="K2620" s="17">
        <f t="shared" si="321"/>
        <v>3975.9333333333334</v>
      </c>
      <c r="L2620" t="str">
        <f t="shared" si="322"/>
        <v>Sufficuent Stock</v>
      </c>
      <c r="P2620" s="19">
        <f t="shared" si="323"/>
        <v>0</v>
      </c>
      <c r="R2620" s="19">
        <f t="shared" si="320"/>
        <v>0</v>
      </c>
      <c r="T2620" s="19">
        <f t="shared" si="324"/>
        <v>411560.96000000002</v>
      </c>
      <c r="U2620" s="19">
        <f t="shared" si="325"/>
        <v>485098.44000000006</v>
      </c>
      <c r="V2620" s="21">
        <f t="shared" si="326"/>
        <v>73537.48000000004</v>
      </c>
      <c r="W2620" s="18">
        <f t="shared" si="327"/>
        <v>0.17867943548387105</v>
      </c>
    </row>
    <row r="2621" spans="1:23" x14ac:dyDescent="0.3">
      <c r="A2621" t="s">
        <v>535</v>
      </c>
      <c r="B2621" t="s">
        <v>3048</v>
      </c>
      <c r="C2621" t="s">
        <v>16</v>
      </c>
      <c r="D2621" t="s">
        <v>20</v>
      </c>
      <c r="E2621">
        <v>4323</v>
      </c>
      <c r="F2621">
        <v>261.20999999999998</v>
      </c>
      <c r="G2621">
        <v>279.18</v>
      </c>
      <c r="H2621">
        <v>261.20999999999998</v>
      </c>
      <c r="I2621">
        <v>1824</v>
      </c>
      <c r="J2621">
        <v>52</v>
      </c>
      <c r="K2621" s="17">
        <f t="shared" si="321"/>
        <v>3161.6</v>
      </c>
      <c r="L2621" t="str">
        <f t="shared" si="322"/>
        <v>Sufficuent Stock</v>
      </c>
      <c r="P2621" s="19">
        <f t="shared" si="323"/>
        <v>0</v>
      </c>
      <c r="R2621" s="19">
        <f t="shared" si="320"/>
        <v>0</v>
      </c>
      <c r="T2621" s="19">
        <f t="shared" si="324"/>
        <v>509224.32</v>
      </c>
      <c r="U2621" s="19">
        <f t="shared" si="325"/>
        <v>476447.04</v>
      </c>
      <c r="V2621" s="21">
        <f t="shared" si="326"/>
        <v>-32777.280000000028</v>
      </c>
      <c r="W2621" s="18">
        <f t="shared" si="327"/>
        <v>-6.4367075005372934E-2</v>
      </c>
    </row>
    <row r="2622" spans="1:23" x14ac:dyDescent="0.3">
      <c r="A2622" t="s">
        <v>743</v>
      </c>
      <c r="B2622" t="s">
        <v>2654</v>
      </c>
      <c r="C2622" t="s">
        <v>50</v>
      </c>
      <c r="D2622" t="s">
        <v>26</v>
      </c>
      <c r="E2622">
        <v>4324</v>
      </c>
      <c r="F2622">
        <v>65.3</v>
      </c>
      <c r="G2622">
        <v>72.239999999999995</v>
      </c>
      <c r="H2622">
        <v>65.3</v>
      </c>
      <c r="I2622">
        <v>178</v>
      </c>
      <c r="J2622">
        <v>73</v>
      </c>
      <c r="K2622" s="17">
        <f t="shared" si="321"/>
        <v>433.13333333333333</v>
      </c>
      <c r="L2622" t="str">
        <f t="shared" si="322"/>
        <v>Sufficuent Stock</v>
      </c>
      <c r="P2622" s="19">
        <f t="shared" si="323"/>
        <v>0</v>
      </c>
      <c r="R2622" s="19">
        <f t="shared" si="320"/>
        <v>0</v>
      </c>
      <c r="T2622" s="19">
        <f t="shared" si="324"/>
        <v>12858.72</v>
      </c>
      <c r="U2622" s="19">
        <f t="shared" si="325"/>
        <v>11623.4</v>
      </c>
      <c r="V2622" s="21">
        <f t="shared" si="326"/>
        <v>-1235.3199999999997</v>
      </c>
      <c r="W2622" s="18">
        <f t="shared" si="327"/>
        <v>-9.6068660022148381E-2</v>
      </c>
    </row>
    <row r="2623" spans="1:23" x14ac:dyDescent="0.3">
      <c r="A2623" t="s">
        <v>70</v>
      </c>
      <c r="B2623" t="s">
        <v>1407</v>
      </c>
      <c r="C2623" t="s">
        <v>37</v>
      </c>
      <c r="D2623" t="s">
        <v>13</v>
      </c>
      <c r="E2623">
        <v>4325</v>
      </c>
      <c r="F2623">
        <v>27.57</v>
      </c>
      <c r="G2623">
        <v>30.04</v>
      </c>
      <c r="H2623">
        <v>27.57</v>
      </c>
      <c r="I2623">
        <v>2884</v>
      </c>
      <c r="J2623">
        <v>44</v>
      </c>
      <c r="K2623" s="17">
        <f t="shared" si="321"/>
        <v>4229.8666666666668</v>
      </c>
      <c r="L2623" t="str">
        <f t="shared" si="322"/>
        <v>Sufficuent Stock</v>
      </c>
      <c r="P2623" s="19">
        <f t="shared" si="323"/>
        <v>0</v>
      </c>
      <c r="R2623" s="19">
        <f t="shared" si="320"/>
        <v>0</v>
      </c>
      <c r="T2623" s="19">
        <f t="shared" si="324"/>
        <v>86635.36</v>
      </c>
      <c r="U2623" s="19">
        <f t="shared" si="325"/>
        <v>79511.88</v>
      </c>
      <c r="V2623" s="21">
        <f t="shared" si="326"/>
        <v>-7123.4799999999959</v>
      </c>
      <c r="W2623" s="18">
        <f t="shared" si="327"/>
        <v>-8.222370173102525E-2</v>
      </c>
    </row>
    <row r="2624" spans="1:23" x14ac:dyDescent="0.3">
      <c r="A2624" t="s">
        <v>659</v>
      </c>
      <c r="B2624" t="s">
        <v>2179</v>
      </c>
      <c r="C2624" t="s">
        <v>50</v>
      </c>
      <c r="D2624" t="s">
        <v>26</v>
      </c>
      <c r="E2624">
        <v>4327</v>
      </c>
      <c r="F2624">
        <v>245.86</v>
      </c>
      <c r="G2624">
        <v>242.16</v>
      </c>
      <c r="H2624">
        <v>245.86</v>
      </c>
      <c r="I2624">
        <v>130</v>
      </c>
      <c r="J2624">
        <v>50</v>
      </c>
      <c r="K2624" s="17">
        <f t="shared" si="321"/>
        <v>216.66666666666666</v>
      </c>
      <c r="L2624" t="str">
        <f t="shared" si="322"/>
        <v>Sufficuent Stock</v>
      </c>
      <c r="P2624" s="19">
        <f t="shared" si="323"/>
        <v>0</v>
      </c>
      <c r="R2624" s="19">
        <f t="shared" si="320"/>
        <v>0</v>
      </c>
      <c r="T2624" s="19">
        <f t="shared" si="324"/>
        <v>31480.799999999999</v>
      </c>
      <c r="U2624" s="19">
        <f t="shared" si="325"/>
        <v>31961.800000000003</v>
      </c>
      <c r="V2624" s="21">
        <f t="shared" si="326"/>
        <v>481.00000000000364</v>
      </c>
      <c r="W2624" s="18">
        <f t="shared" si="327"/>
        <v>1.5279154278163313E-2</v>
      </c>
    </row>
    <row r="2625" spans="1:23" x14ac:dyDescent="0.3">
      <c r="A2625" t="s">
        <v>376</v>
      </c>
      <c r="B2625" t="s">
        <v>2012</v>
      </c>
      <c r="C2625" t="s">
        <v>16</v>
      </c>
      <c r="D2625" t="s">
        <v>17</v>
      </c>
      <c r="E2625">
        <v>4328</v>
      </c>
      <c r="F2625">
        <v>132.78</v>
      </c>
      <c r="G2625">
        <v>138.41</v>
      </c>
      <c r="H2625">
        <v>132.78</v>
      </c>
      <c r="I2625">
        <v>3563</v>
      </c>
      <c r="J2625">
        <v>10</v>
      </c>
      <c r="K2625" s="17">
        <f t="shared" si="321"/>
        <v>1187.6666666666667</v>
      </c>
      <c r="L2625" t="str">
        <f t="shared" si="322"/>
        <v>Sufficuent Stock</v>
      </c>
      <c r="P2625" s="19">
        <f t="shared" si="323"/>
        <v>0</v>
      </c>
      <c r="R2625" s="19">
        <f t="shared" si="320"/>
        <v>0</v>
      </c>
      <c r="T2625" s="19">
        <f t="shared" si="324"/>
        <v>493154.83</v>
      </c>
      <c r="U2625" s="19">
        <f t="shared" si="325"/>
        <v>473095.14</v>
      </c>
      <c r="V2625" s="21">
        <f t="shared" si="326"/>
        <v>-20059.690000000002</v>
      </c>
      <c r="W2625" s="18">
        <f t="shared" si="327"/>
        <v>-4.0676251715916482E-2</v>
      </c>
    </row>
    <row r="2626" spans="1:23" x14ac:dyDescent="0.3">
      <c r="A2626" t="s">
        <v>246</v>
      </c>
      <c r="B2626" t="s">
        <v>3321</v>
      </c>
      <c r="C2626" t="s">
        <v>50</v>
      </c>
      <c r="D2626" t="s">
        <v>20</v>
      </c>
      <c r="E2626">
        <v>4328</v>
      </c>
      <c r="F2626">
        <v>476.84</v>
      </c>
      <c r="G2626">
        <v>418.85</v>
      </c>
      <c r="H2626">
        <v>476.84</v>
      </c>
      <c r="I2626">
        <v>181</v>
      </c>
      <c r="J2626">
        <v>50</v>
      </c>
      <c r="K2626" s="17">
        <f t="shared" si="321"/>
        <v>301.66666666666669</v>
      </c>
      <c r="L2626" t="str">
        <f t="shared" si="322"/>
        <v>Sufficuent Stock</v>
      </c>
      <c r="P2626" s="19">
        <f t="shared" si="323"/>
        <v>0</v>
      </c>
      <c r="R2626" s="19">
        <f t="shared" ref="R2626:R2689" si="328">P2626*H2626</f>
        <v>0</v>
      </c>
      <c r="T2626" s="19">
        <f t="shared" si="324"/>
        <v>75811.850000000006</v>
      </c>
      <c r="U2626" s="19">
        <f t="shared" si="325"/>
        <v>86308.04</v>
      </c>
      <c r="V2626" s="21">
        <f t="shared" si="326"/>
        <v>10496.189999999988</v>
      </c>
      <c r="W2626" s="18">
        <f t="shared" si="327"/>
        <v>0.13845051927897797</v>
      </c>
    </row>
    <row r="2627" spans="1:23" x14ac:dyDescent="0.3">
      <c r="A2627" t="s">
        <v>268</v>
      </c>
      <c r="B2627" t="s">
        <v>269</v>
      </c>
      <c r="C2627" t="s">
        <v>50</v>
      </c>
      <c r="D2627" t="s">
        <v>69</v>
      </c>
      <c r="E2627">
        <v>4330</v>
      </c>
      <c r="F2627">
        <v>361.1</v>
      </c>
      <c r="G2627">
        <v>389.61</v>
      </c>
      <c r="H2627">
        <v>361.1</v>
      </c>
      <c r="I2627">
        <v>1250</v>
      </c>
      <c r="J2627">
        <v>54</v>
      </c>
      <c r="K2627" s="17">
        <f t="shared" ref="K2627:K2690" si="329">(I2627/30)*J2627</f>
        <v>2250</v>
      </c>
      <c r="L2627" t="str">
        <f t="shared" ref="L2627:L2690" si="330">IF(E2627&lt;K2627,"High Risk","Sufficuent Stock")</f>
        <v>Sufficuent Stock</v>
      </c>
      <c r="P2627" s="19">
        <f t="shared" ref="P2627:P2690" si="331">ROUNDUP(MAX(0,K2627-E2627),0)</f>
        <v>0</v>
      </c>
      <c r="R2627" s="19">
        <f t="shared" si="328"/>
        <v>0</v>
      </c>
      <c r="T2627" s="19">
        <f t="shared" ref="T2627:T2690" si="332">I2627*G2627</f>
        <v>487012.5</v>
      </c>
      <c r="U2627" s="19">
        <f t="shared" ref="U2627:U2690" si="333">I2627*H2627</f>
        <v>451375</v>
      </c>
      <c r="V2627" s="21">
        <f t="shared" ref="V2627:V2690" si="334">U2627-T2627</f>
        <v>-35637.5</v>
      </c>
      <c r="W2627" s="18">
        <f t="shared" ref="W2627:W2690" si="335">IFERROR(V2627/T2627,0)</f>
        <v>-7.3175739842406509E-2</v>
      </c>
    </row>
    <row r="2628" spans="1:23" x14ac:dyDescent="0.3">
      <c r="A2628" t="s">
        <v>427</v>
      </c>
      <c r="B2628" t="s">
        <v>2066</v>
      </c>
      <c r="C2628" t="s">
        <v>16</v>
      </c>
      <c r="D2628" t="s">
        <v>26</v>
      </c>
      <c r="E2628">
        <v>4330</v>
      </c>
      <c r="F2628">
        <v>305.41000000000003</v>
      </c>
      <c r="G2628">
        <v>300.55</v>
      </c>
      <c r="H2628">
        <v>305.41000000000003</v>
      </c>
      <c r="I2628">
        <v>3008</v>
      </c>
      <c r="J2628">
        <v>8</v>
      </c>
      <c r="K2628" s="17">
        <f t="shared" si="329"/>
        <v>802.13333333333333</v>
      </c>
      <c r="L2628" t="str">
        <f t="shared" si="330"/>
        <v>Sufficuent Stock</v>
      </c>
      <c r="P2628" s="19">
        <f t="shared" si="331"/>
        <v>0</v>
      </c>
      <c r="R2628" s="19">
        <f t="shared" si="328"/>
        <v>0</v>
      </c>
      <c r="T2628" s="19">
        <f t="shared" si="332"/>
        <v>904054.4</v>
      </c>
      <c r="U2628" s="19">
        <f t="shared" si="333"/>
        <v>918673.28</v>
      </c>
      <c r="V2628" s="21">
        <f t="shared" si="334"/>
        <v>14618.880000000005</v>
      </c>
      <c r="W2628" s="18">
        <f t="shared" si="335"/>
        <v>1.6170354350357682E-2</v>
      </c>
    </row>
    <row r="2629" spans="1:23" x14ac:dyDescent="0.3">
      <c r="A2629" t="s">
        <v>211</v>
      </c>
      <c r="B2629" t="s">
        <v>2099</v>
      </c>
      <c r="C2629" t="s">
        <v>16</v>
      </c>
      <c r="D2629" t="s">
        <v>13</v>
      </c>
      <c r="E2629">
        <v>4330</v>
      </c>
      <c r="F2629">
        <v>474.51</v>
      </c>
      <c r="G2629">
        <v>460.94</v>
      </c>
      <c r="H2629">
        <v>474.51</v>
      </c>
      <c r="I2629">
        <v>283</v>
      </c>
      <c r="J2629">
        <v>34</v>
      </c>
      <c r="K2629" s="17">
        <f t="shared" si="329"/>
        <v>320.73333333333335</v>
      </c>
      <c r="L2629" t="str">
        <f t="shared" si="330"/>
        <v>Sufficuent Stock</v>
      </c>
      <c r="P2629" s="19">
        <f t="shared" si="331"/>
        <v>0</v>
      </c>
      <c r="R2629" s="19">
        <f t="shared" si="328"/>
        <v>0</v>
      </c>
      <c r="T2629" s="19">
        <f t="shared" si="332"/>
        <v>130446.02</v>
      </c>
      <c r="U2629" s="19">
        <f t="shared" si="333"/>
        <v>134286.32999999999</v>
      </c>
      <c r="V2629" s="21">
        <f t="shared" si="334"/>
        <v>3840.3099999999831</v>
      </c>
      <c r="W2629" s="18">
        <f t="shared" si="335"/>
        <v>2.9439840326289626E-2</v>
      </c>
    </row>
    <row r="2630" spans="1:23" x14ac:dyDescent="0.3">
      <c r="A2630" t="s">
        <v>432</v>
      </c>
      <c r="B2630" t="s">
        <v>813</v>
      </c>
      <c r="C2630" t="s">
        <v>37</v>
      </c>
      <c r="D2630" t="s">
        <v>20</v>
      </c>
      <c r="E2630">
        <v>4333</v>
      </c>
      <c r="F2630">
        <v>489.66</v>
      </c>
      <c r="G2630">
        <v>475.05</v>
      </c>
      <c r="H2630">
        <v>489.66</v>
      </c>
      <c r="I2630">
        <v>3201</v>
      </c>
      <c r="J2630">
        <v>24</v>
      </c>
      <c r="K2630" s="17">
        <f t="shared" si="329"/>
        <v>2560.8000000000002</v>
      </c>
      <c r="L2630" t="str">
        <f t="shared" si="330"/>
        <v>Sufficuent Stock</v>
      </c>
      <c r="P2630" s="19">
        <f t="shared" si="331"/>
        <v>0</v>
      </c>
      <c r="R2630" s="19">
        <f t="shared" si="328"/>
        <v>0</v>
      </c>
      <c r="T2630" s="19">
        <f t="shared" si="332"/>
        <v>1520635.05</v>
      </c>
      <c r="U2630" s="19">
        <f t="shared" si="333"/>
        <v>1567401.6600000001</v>
      </c>
      <c r="V2630" s="21">
        <f t="shared" si="334"/>
        <v>46766.610000000102</v>
      </c>
      <c r="W2630" s="18">
        <f t="shared" si="335"/>
        <v>3.0754657404483805E-2</v>
      </c>
    </row>
    <row r="2631" spans="1:23" x14ac:dyDescent="0.3">
      <c r="A2631" t="s">
        <v>123</v>
      </c>
      <c r="B2631" t="s">
        <v>742</v>
      </c>
      <c r="C2631" t="s">
        <v>16</v>
      </c>
      <c r="D2631" t="s">
        <v>17</v>
      </c>
      <c r="E2631">
        <v>4337</v>
      </c>
      <c r="F2631">
        <v>391.63</v>
      </c>
      <c r="G2631">
        <v>343.11</v>
      </c>
      <c r="H2631">
        <v>391.63</v>
      </c>
      <c r="I2631">
        <v>67</v>
      </c>
      <c r="J2631">
        <v>82</v>
      </c>
      <c r="K2631" s="17">
        <f t="shared" si="329"/>
        <v>183.13333333333333</v>
      </c>
      <c r="L2631" t="str">
        <f t="shared" si="330"/>
        <v>Sufficuent Stock</v>
      </c>
      <c r="P2631" s="19">
        <f t="shared" si="331"/>
        <v>0</v>
      </c>
      <c r="R2631" s="19">
        <f t="shared" si="328"/>
        <v>0</v>
      </c>
      <c r="T2631" s="19">
        <f t="shared" si="332"/>
        <v>22988.370000000003</v>
      </c>
      <c r="U2631" s="19">
        <f t="shared" si="333"/>
        <v>26239.21</v>
      </c>
      <c r="V2631" s="21">
        <f t="shared" si="334"/>
        <v>3250.8399999999965</v>
      </c>
      <c r="W2631" s="18">
        <f t="shared" si="335"/>
        <v>0.14141237504007445</v>
      </c>
    </row>
    <row r="2632" spans="1:23" x14ac:dyDescent="0.3">
      <c r="A2632" t="s">
        <v>226</v>
      </c>
      <c r="B2632" t="s">
        <v>2350</v>
      </c>
      <c r="C2632" t="s">
        <v>23</v>
      </c>
      <c r="D2632" t="s">
        <v>69</v>
      </c>
      <c r="E2632">
        <v>4339</v>
      </c>
      <c r="F2632">
        <v>182.31</v>
      </c>
      <c r="G2632">
        <v>177.88</v>
      </c>
      <c r="H2632">
        <v>182.31</v>
      </c>
      <c r="I2632">
        <v>3980</v>
      </c>
      <c r="J2632">
        <v>90</v>
      </c>
      <c r="K2632" s="17">
        <f t="shared" si="329"/>
        <v>11940</v>
      </c>
      <c r="L2632" t="str">
        <f t="shared" si="330"/>
        <v>High Risk</v>
      </c>
      <c r="P2632" s="19">
        <f t="shared" si="331"/>
        <v>7601</v>
      </c>
      <c r="R2632" s="19">
        <f t="shared" si="328"/>
        <v>1385738.31</v>
      </c>
      <c r="T2632" s="19">
        <f t="shared" si="332"/>
        <v>707962.4</v>
      </c>
      <c r="U2632" s="19">
        <f t="shared" si="333"/>
        <v>725593.8</v>
      </c>
      <c r="V2632" s="21">
        <f t="shared" si="334"/>
        <v>17631.400000000023</v>
      </c>
      <c r="W2632" s="18">
        <f t="shared" si="335"/>
        <v>2.4904429952777186E-2</v>
      </c>
    </row>
    <row r="2633" spans="1:23" x14ac:dyDescent="0.3">
      <c r="A2633" t="s">
        <v>1102</v>
      </c>
      <c r="B2633" t="s">
        <v>1103</v>
      </c>
      <c r="C2633" t="s">
        <v>50</v>
      </c>
      <c r="D2633" t="s">
        <v>20</v>
      </c>
      <c r="E2633">
        <v>4341</v>
      </c>
      <c r="F2633">
        <v>482.77</v>
      </c>
      <c r="G2633">
        <v>471.54</v>
      </c>
      <c r="H2633">
        <v>482.77</v>
      </c>
      <c r="I2633">
        <v>2585</v>
      </c>
      <c r="J2633">
        <v>84</v>
      </c>
      <c r="K2633" s="17">
        <f t="shared" si="329"/>
        <v>7238</v>
      </c>
      <c r="L2633" t="str">
        <f t="shared" si="330"/>
        <v>High Risk</v>
      </c>
      <c r="P2633" s="19">
        <f t="shared" si="331"/>
        <v>2897</v>
      </c>
      <c r="R2633" s="19">
        <f t="shared" si="328"/>
        <v>1398584.69</v>
      </c>
      <c r="T2633" s="19">
        <f t="shared" si="332"/>
        <v>1218930.9000000001</v>
      </c>
      <c r="U2633" s="19">
        <f t="shared" si="333"/>
        <v>1247960.45</v>
      </c>
      <c r="V2633" s="21">
        <f t="shared" si="334"/>
        <v>29029.549999999814</v>
      </c>
      <c r="W2633" s="18">
        <f t="shared" si="335"/>
        <v>2.3815582983415885E-2</v>
      </c>
    </row>
    <row r="2634" spans="1:23" x14ac:dyDescent="0.3">
      <c r="A2634" t="s">
        <v>90</v>
      </c>
      <c r="B2634" t="s">
        <v>2383</v>
      </c>
      <c r="C2634" t="s">
        <v>50</v>
      </c>
      <c r="D2634" t="s">
        <v>69</v>
      </c>
      <c r="E2634">
        <v>4342</v>
      </c>
      <c r="F2634">
        <v>138.81</v>
      </c>
      <c r="G2634">
        <v>140.84</v>
      </c>
      <c r="H2634">
        <v>138.81</v>
      </c>
      <c r="I2634">
        <v>3624</v>
      </c>
      <c r="J2634">
        <v>76</v>
      </c>
      <c r="K2634" s="17">
        <f t="shared" si="329"/>
        <v>9180.7999999999993</v>
      </c>
      <c r="L2634" t="str">
        <f t="shared" si="330"/>
        <v>High Risk</v>
      </c>
      <c r="P2634" s="19">
        <f t="shared" si="331"/>
        <v>4839</v>
      </c>
      <c r="R2634" s="19">
        <f t="shared" si="328"/>
        <v>671701.59</v>
      </c>
      <c r="T2634" s="19">
        <f t="shared" si="332"/>
        <v>510404.16000000003</v>
      </c>
      <c r="U2634" s="19">
        <f t="shared" si="333"/>
        <v>503047.44</v>
      </c>
      <c r="V2634" s="21">
        <f t="shared" si="334"/>
        <v>-7356.7200000000303</v>
      </c>
      <c r="W2634" s="18">
        <f t="shared" si="335"/>
        <v>-1.441351888667998E-2</v>
      </c>
    </row>
    <row r="2635" spans="1:23" x14ac:dyDescent="0.3">
      <c r="A2635" t="s">
        <v>171</v>
      </c>
      <c r="B2635" t="s">
        <v>2489</v>
      </c>
      <c r="C2635" t="s">
        <v>16</v>
      </c>
      <c r="D2635" t="s">
        <v>13</v>
      </c>
      <c r="E2635">
        <v>4343</v>
      </c>
      <c r="F2635">
        <v>48.6</v>
      </c>
      <c r="G2635">
        <v>51.18</v>
      </c>
      <c r="H2635">
        <v>48.6</v>
      </c>
      <c r="I2635">
        <v>1264</v>
      </c>
      <c r="J2635">
        <v>74</v>
      </c>
      <c r="K2635" s="17">
        <f t="shared" si="329"/>
        <v>3117.8666666666668</v>
      </c>
      <c r="L2635" t="str">
        <f t="shared" si="330"/>
        <v>Sufficuent Stock</v>
      </c>
      <c r="P2635" s="19">
        <f t="shared" si="331"/>
        <v>0</v>
      </c>
      <c r="R2635" s="19">
        <f t="shared" si="328"/>
        <v>0</v>
      </c>
      <c r="T2635" s="19">
        <f t="shared" si="332"/>
        <v>64691.519999999997</v>
      </c>
      <c r="U2635" s="19">
        <f t="shared" si="333"/>
        <v>61430.400000000001</v>
      </c>
      <c r="V2635" s="21">
        <f t="shared" si="334"/>
        <v>-3261.1199999999953</v>
      </c>
      <c r="W2635" s="18">
        <f t="shared" si="335"/>
        <v>-5.0410316529894424E-2</v>
      </c>
    </row>
    <row r="2636" spans="1:23" x14ac:dyDescent="0.3">
      <c r="A2636" t="s">
        <v>1751</v>
      </c>
      <c r="B2636" t="s">
        <v>1963</v>
      </c>
      <c r="C2636" t="s">
        <v>12</v>
      </c>
      <c r="D2636" t="s">
        <v>17</v>
      </c>
      <c r="E2636">
        <v>4344</v>
      </c>
      <c r="F2636">
        <v>67.069999999999993</v>
      </c>
      <c r="G2636">
        <v>60.1</v>
      </c>
      <c r="H2636">
        <v>67.069999999999993</v>
      </c>
      <c r="I2636">
        <v>3411</v>
      </c>
      <c r="J2636">
        <v>45</v>
      </c>
      <c r="K2636" s="17">
        <f t="shared" si="329"/>
        <v>5116.5</v>
      </c>
      <c r="L2636" t="str">
        <f t="shared" si="330"/>
        <v>High Risk</v>
      </c>
      <c r="P2636" s="19">
        <f t="shared" si="331"/>
        <v>773</v>
      </c>
      <c r="R2636" s="19">
        <f t="shared" si="328"/>
        <v>51845.109999999993</v>
      </c>
      <c r="T2636" s="19">
        <f t="shared" si="332"/>
        <v>205001.1</v>
      </c>
      <c r="U2636" s="19">
        <f t="shared" si="333"/>
        <v>228775.77</v>
      </c>
      <c r="V2636" s="21">
        <f t="shared" si="334"/>
        <v>23774.669999999984</v>
      </c>
      <c r="W2636" s="18">
        <f t="shared" si="335"/>
        <v>0.11597337770382687</v>
      </c>
    </row>
    <row r="2637" spans="1:23" x14ac:dyDescent="0.3">
      <c r="A2637" t="s">
        <v>1839</v>
      </c>
      <c r="B2637" t="s">
        <v>2297</v>
      </c>
      <c r="C2637" t="s">
        <v>23</v>
      </c>
      <c r="D2637" t="s">
        <v>69</v>
      </c>
      <c r="E2637">
        <v>4346</v>
      </c>
      <c r="F2637">
        <v>117.19</v>
      </c>
      <c r="G2637">
        <v>105.89</v>
      </c>
      <c r="H2637">
        <v>117.19</v>
      </c>
      <c r="I2637">
        <v>1009</v>
      </c>
      <c r="J2637">
        <v>70</v>
      </c>
      <c r="K2637" s="17">
        <f t="shared" si="329"/>
        <v>2354.3333333333335</v>
      </c>
      <c r="L2637" t="str">
        <f t="shared" si="330"/>
        <v>Sufficuent Stock</v>
      </c>
      <c r="P2637" s="19">
        <f t="shared" si="331"/>
        <v>0</v>
      </c>
      <c r="R2637" s="19">
        <f t="shared" si="328"/>
        <v>0</v>
      </c>
      <c r="T2637" s="19">
        <f t="shared" si="332"/>
        <v>106843.01</v>
      </c>
      <c r="U2637" s="19">
        <f t="shared" si="333"/>
        <v>118244.70999999999</v>
      </c>
      <c r="V2637" s="21">
        <f t="shared" si="334"/>
        <v>11401.699999999997</v>
      </c>
      <c r="W2637" s="18">
        <f t="shared" si="335"/>
        <v>0.106714515062801</v>
      </c>
    </row>
    <row r="2638" spans="1:23" x14ac:dyDescent="0.3">
      <c r="A2638" t="s">
        <v>459</v>
      </c>
      <c r="B2638" t="s">
        <v>3262</v>
      </c>
      <c r="C2638" t="s">
        <v>37</v>
      </c>
      <c r="D2638" t="s">
        <v>13</v>
      </c>
      <c r="E2638">
        <v>4348</v>
      </c>
      <c r="F2638">
        <v>117.44</v>
      </c>
      <c r="G2638">
        <v>99.18</v>
      </c>
      <c r="H2638">
        <v>117.44</v>
      </c>
      <c r="I2638">
        <v>3432</v>
      </c>
      <c r="J2638">
        <v>70</v>
      </c>
      <c r="K2638" s="17">
        <f t="shared" si="329"/>
        <v>8008</v>
      </c>
      <c r="L2638" t="str">
        <f t="shared" si="330"/>
        <v>High Risk</v>
      </c>
      <c r="P2638" s="19">
        <f t="shared" si="331"/>
        <v>3660</v>
      </c>
      <c r="R2638" s="19">
        <f t="shared" si="328"/>
        <v>429830.39999999997</v>
      </c>
      <c r="T2638" s="19">
        <f t="shared" si="332"/>
        <v>340385.76</v>
      </c>
      <c r="U2638" s="19">
        <f t="shared" si="333"/>
        <v>403054.08000000002</v>
      </c>
      <c r="V2638" s="21">
        <f t="shared" si="334"/>
        <v>62668.320000000007</v>
      </c>
      <c r="W2638" s="18">
        <f t="shared" si="335"/>
        <v>0.18410969953619682</v>
      </c>
    </row>
    <row r="2639" spans="1:23" x14ac:dyDescent="0.3">
      <c r="A2639" t="s">
        <v>48</v>
      </c>
      <c r="B2639" t="s">
        <v>2101</v>
      </c>
      <c r="C2639" t="s">
        <v>37</v>
      </c>
      <c r="D2639" t="s">
        <v>26</v>
      </c>
      <c r="E2639">
        <v>4350</v>
      </c>
      <c r="F2639">
        <v>234.57</v>
      </c>
      <c r="G2639">
        <v>244.54</v>
      </c>
      <c r="H2639">
        <v>234.57</v>
      </c>
      <c r="I2639">
        <v>949</v>
      </c>
      <c r="J2639">
        <v>15</v>
      </c>
      <c r="K2639" s="17">
        <f t="shared" si="329"/>
        <v>474.5</v>
      </c>
      <c r="L2639" t="str">
        <f t="shared" si="330"/>
        <v>Sufficuent Stock</v>
      </c>
      <c r="P2639" s="19">
        <f t="shared" si="331"/>
        <v>0</v>
      </c>
      <c r="R2639" s="19">
        <f t="shared" si="328"/>
        <v>0</v>
      </c>
      <c r="T2639" s="19">
        <f t="shared" si="332"/>
        <v>232068.46</v>
      </c>
      <c r="U2639" s="19">
        <f t="shared" si="333"/>
        <v>222606.93</v>
      </c>
      <c r="V2639" s="21">
        <f t="shared" si="334"/>
        <v>-9461.5299999999988</v>
      </c>
      <c r="W2639" s="18">
        <f t="shared" si="335"/>
        <v>-4.0770426106158497E-2</v>
      </c>
    </row>
    <row r="2640" spans="1:23" x14ac:dyDescent="0.3">
      <c r="A2640" t="s">
        <v>266</v>
      </c>
      <c r="B2640" t="s">
        <v>3178</v>
      </c>
      <c r="C2640" t="s">
        <v>12</v>
      </c>
      <c r="D2640" t="s">
        <v>13</v>
      </c>
      <c r="E2640">
        <v>4351</v>
      </c>
      <c r="F2640">
        <v>195.34</v>
      </c>
      <c r="G2640">
        <v>201.74</v>
      </c>
      <c r="H2640">
        <v>195.34</v>
      </c>
      <c r="I2640">
        <v>1441</v>
      </c>
      <c r="J2640">
        <v>52</v>
      </c>
      <c r="K2640" s="17">
        <f t="shared" si="329"/>
        <v>2497.7333333333331</v>
      </c>
      <c r="L2640" t="str">
        <f t="shared" si="330"/>
        <v>Sufficuent Stock</v>
      </c>
      <c r="P2640" s="19">
        <f t="shared" si="331"/>
        <v>0</v>
      </c>
      <c r="R2640" s="19">
        <f t="shared" si="328"/>
        <v>0</v>
      </c>
      <c r="T2640" s="19">
        <f t="shared" si="332"/>
        <v>290707.34000000003</v>
      </c>
      <c r="U2640" s="19">
        <f t="shared" si="333"/>
        <v>281484.94</v>
      </c>
      <c r="V2640" s="21">
        <f t="shared" si="334"/>
        <v>-9222.4000000000233</v>
      </c>
      <c r="W2640" s="18">
        <f t="shared" si="335"/>
        <v>-3.1724001189650124E-2</v>
      </c>
    </row>
    <row r="2641" spans="1:23" x14ac:dyDescent="0.3">
      <c r="A2641" t="s">
        <v>1010</v>
      </c>
      <c r="B2641" t="s">
        <v>1107</v>
      </c>
      <c r="C2641" t="s">
        <v>23</v>
      </c>
      <c r="D2641" t="s">
        <v>26</v>
      </c>
      <c r="E2641">
        <v>4352</v>
      </c>
      <c r="F2641">
        <v>393.02</v>
      </c>
      <c r="G2641">
        <v>371.91</v>
      </c>
      <c r="H2641">
        <v>393.02</v>
      </c>
      <c r="I2641">
        <v>2706</v>
      </c>
      <c r="J2641">
        <v>52</v>
      </c>
      <c r="K2641" s="17">
        <f t="shared" si="329"/>
        <v>4690.4000000000005</v>
      </c>
      <c r="L2641" t="str">
        <f t="shared" si="330"/>
        <v>High Risk</v>
      </c>
      <c r="P2641" s="19">
        <f t="shared" si="331"/>
        <v>339</v>
      </c>
      <c r="R2641" s="19">
        <f t="shared" si="328"/>
        <v>133233.78</v>
      </c>
      <c r="T2641" s="19">
        <f t="shared" si="332"/>
        <v>1006388.4600000001</v>
      </c>
      <c r="U2641" s="19">
        <f t="shared" si="333"/>
        <v>1063512.1199999999</v>
      </c>
      <c r="V2641" s="21">
        <f t="shared" si="334"/>
        <v>57123.6599999998</v>
      </c>
      <c r="W2641" s="18">
        <f t="shared" si="335"/>
        <v>5.676104433868389E-2</v>
      </c>
    </row>
    <row r="2642" spans="1:23" x14ac:dyDescent="0.3">
      <c r="A2642" t="s">
        <v>671</v>
      </c>
      <c r="B2642" t="s">
        <v>3325</v>
      </c>
      <c r="C2642" t="s">
        <v>16</v>
      </c>
      <c r="D2642" t="s">
        <v>13</v>
      </c>
      <c r="E2642">
        <v>4352</v>
      </c>
      <c r="F2642">
        <v>247.53</v>
      </c>
      <c r="G2642">
        <v>267.49</v>
      </c>
      <c r="H2642">
        <v>247.53</v>
      </c>
      <c r="I2642">
        <v>2700</v>
      </c>
      <c r="J2642">
        <v>43</v>
      </c>
      <c r="K2642" s="17">
        <f t="shared" si="329"/>
        <v>3870</v>
      </c>
      <c r="L2642" t="str">
        <f t="shared" si="330"/>
        <v>Sufficuent Stock</v>
      </c>
      <c r="P2642" s="19">
        <f t="shared" si="331"/>
        <v>0</v>
      </c>
      <c r="R2642" s="19">
        <f t="shared" si="328"/>
        <v>0</v>
      </c>
      <c r="T2642" s="19">
        <f t="shared" si="332"/>
        <v>722223</v>
      </c>
      <c r="U2642" s="19">
        <f t="shared" si="333"/>
        <v>668331</v>
      </c>
      <c r="V2642" s="21">
        <f t="shared" si="334"/>
        <v>-53892</v>
      </c>
      <c r="W2642" s="18">
        <f t="shared" si="335"/>
        <v>-7.4619611948110204E-2</v>
      </c>
    </row>
    <row r="2643" spans="1:23" x14ac:dyDescent="0.3">
      <c r="A2643" t="s">
        <v>98</v>
      </c>
      <c r="B2643" t="s">
        <v>2678</v>
      </c>
      <c r="C2643" t="s">
        <v>23</v>
      </c>
      <c r="D2643" t="s">
        <v>13</v>
      </c>
      <c r="E2643">
        <v>4353</v>
      </c>
      <c r="F2643">
        <v>264.52</v>
      </c>
      <c r="G2643">
        <v>228.37</v>
      </c>
      <c r="H2643">
        <v>264.52</v>
      </c>
      <c r="I2643">
        <v>861</v>
      </c>
      <c r="J2643">
        <v>22</v>
      </c>
      <c r="K2643" s="17">
        <f t="shared" si="329"/>
        <v>631.4</v>
      </c>
      <c r="L2643" t="str">
        <f t="shared" si="330"/>
        <v>Sufficuent Stock</v>
      </c>
      <c r="P2643" s="19">
        <f t="shared" si="331"/>
        <v>0</v>
      </c>
      <c r="R2643" s="19">
        <f t="shared" si="328"/>
        <v>0</v>
      </c>
      <c r="T2643" s="19">
        <f t="shared" si="332"/>
        <v>196626.57</v>
      </c>
      <c r="U2643" s="19">
        <f t="shared" si="333"/>
        <v>227751.71999999997</v>
      </c>
      <c r="V2643" s="21">
        <f t="shared" si="334"/>
        <v>31125.149999999965</v>
      </c>
      <c r="W2643" s="18">
        <f t="shared" si="335"/>
        <v>0.15829574812803765</v>
      </c>
    </row>
    <row r="2644" spans="1:23" x14ac:dyDescent="0.3">
      <c r="A2644" t="s">
        <v>1002</v>
      </c>
      <c r="B2644" t="s">
        <v>2220</v>
      </c>
      <c r="C2644" t="s">
        <v>37</v>
      </c>
      <c r="D2644" t="s">
        <v>17</v>
      </c>
      <c r="E2644">
        <v>4354</v>
      </c>
      <c r="F2644">
        <v>282.52</v>
      </c>
      <c r="G2644">
        <v>245.6</v>
      </c>
      <c r="H2644">
        <v>282.52</v>
      </c>
      <c r="I2644">
        <v>1112</v>
      </c>
      <c r="J2644">
        <v>56</v>
      </c>
      <c r="K2644" s="17">
        <f t="shared" si="329"/>
        <v>2075.7333333333336</v>
      </c>
      <c r="L2644" t="str">
        <f t="shared" si="330"/>
        <v>Sufficuent Stock</v>
      </c>
      <c r="P2644" s="19">
        <f t="shared" si="331"/>
        <v>0</v>
      </c>
      <c r="R2644" s="19">
        <f t="shared" si="328"/>
        <v>0</v>
      </c>
      <c r="T2644" s="19">
        <f t="shared" si="332"/>
        <v>273107.20000000001</v>
      </c>
      <c r="U2644" s="19">
        <f t="shared" si="333"/>
        <v>314162.24</v>
      </c>
      <c r="V2644" s="21">
        <f t="shared" si="334"/>
        <v>41055.039999999979</v>
      </c>
      <c r="W2644" s="18">
        <f t="shared" si="335"/>
        <v>0.15032573289902271</v>
      </c>
    </row>
    <row r="2645" spans="1:23" x14ac:dyDescent="0.3">
      <c r="A2645" t="s">
        <v>1102</v>
      </c>
      <c r="B2645" t="s">
        <v>3021</v>
      </c>
      <c r="C2645" t="s">
        <v>23</v>
      </c>
      <c r="D2645" t="s">
        <v>20</v>
      </c>
      <c r="E2645">
        <v>4356</v>
      </c>
      <c r="F2645">
        <v>205.31</v>
      </c>
      <c r="G2645">
        <v>199.89</v>
      </c>
      <c r="H2645">
        <v>205.31</v>
      </c>
      <c r="I2645">
        <v>1369</v>
      </c>
      <c r="J2645">
        <v>14</v>
      </c>
      <c r="K2645" s="17">
        <f t="shared" si="329"/>
        <v>638.86666666666667</v>
      </c>
      <c r="L2645" t="str">
        <f t="shared" si="330"/>
        <v>Sufficuent Stock</v>
      </c>
      <c r="P2645" s="19">
        <f t="shared" si="331"/>
        <v>0</v>
      </c>
      <c r="R2645" s="19">
        <f t="shared" si="328"/>
        <v>0</v>
      </c>
      <c r="T2645" s="19">
        <f t="shared" si="332"/>
        <v>273649.40999999997</v>
      </c>
      <c r="U2645" s="19">
        <f t="shared" si="333"/>
        <v>281069.39</v>
      </c>
      <c r="V2645" s="21">
        <f t="shared" si="334"/>
        <v>7419.9800000000396</v>
      </c>
      <c r="W2645" s="18">
        <f t="shared" si="335"/>
        <v>2.7114913202261393E-2</v>
      </c>
    </row>
    <row r="2646" spans="1:23" x14ac:dyDescent="0.3">
      <c r="A2646" t="s">
        <v>688</v>
      </c>
      <c r="B2646" t="s">
        <v>3287</v>
      </c>
      <c r="C2646" t="s">
        <v>23</v>
      </c>
      <c r="D2646" t="s">
        <v>69</v>
      </c>
      <c r="E2646">
        <v>4358</v>
      </c>
      <c r="F2646">
        <v>367.8</v>
      </c>
      <c r="G2646">
        <v>323.94</v>
      </c>
      <c r="H2646">
        <v>367.8</v>
      </c>
      <c r="I2646">
        <v>829</v>
      </c>
      <c r="J2646">
        <v>63</v>
      </c>
      <c r="K2646" s="17">
        <f t="shared" si="329"/>
        <v>1740.8999999999999</v>
      </c>
      <c r="L2646" t="str">
        <f t="shared" si="330"/>
        <v>Sufficuent Stock</v>
      </c>
      <c r="P2646" s="19">
        <f t="shared" si="331"/>
        <v>0</v>
      </c>
      <c r="R2646" s="19">
        <f t="shared" si="328"/>
        <v>0</v>
      </c>
      <c r="T2646" s="19">
        <f t="shared" si="332"/>
        <v>268546.26</v>
      </c>
      <c r="U2646" s="19">
        <f t="shared" si="333"/>
        <v>304906.2</v>
      </c>
      <c r="V2646" s="21">
        <f t="shared" si="334"/>
        <v>36359.94</v>
      </c>
      <c r="W2646" s="18">
        <f t="shared" si="335"/>
        <v>0.1353954436006668</v>
      </c>
    </row>
    <row r="2647" spans="1:23" x14ac:dyDescent="0.3">
      <c r="A2647" t="s">
        <v>549</v>
      </c>
      <c r="B2647" t="s">
        <v>1495</v>
      </c>
      <c r="C2647" t="s">
        <v>16</v>
      </c>
      <c r="D2647" t="s">
        <v>20</v>
      </c>
      <c r="E2647">
        <v>4364</v>
      </c>
      <c r="F2647">
        <v>307.99</v>
      </c>
      <c r="G2647">
        <v>275.33</v>
      </c>
      <c r="H2647">
        <v>307.99</v>
      </c>
      <c r="I2647">
        <v>210</v>
      </c>
      <c r="J2647">
        <v>12</v>
      </c>
      <c r="K2647" s="17">
        <f t="shared" si="329"/>
        <v>84</v>
      </c>
      <c r="L2647" t="str">
        <f t="shared" si="330"/>
        <v>Sufficuent Stock</v>
      </c>
      <c r="P2647" s="19">
        <f t="shared" si="331"/>
        <v>0</v>
      </c>
      <c r="R2647" s="19">
        <f t="shared" si="328"/>
        <v>0</v>
      </c>
      <c r="T2647" s="19">
        <f t="shared" si="332"/>
        <v>57819.299999999996</v>
      </c>
      <c r="U2647" s="19">
        <f t="shared" si="333"/>
        <v>64677.9</v>
      </c>
      <c r="V2647" s="21">
        <f t="shared" si="334"/>
        <v>6858.6000000000058</v>
      </c>
      <c r="W2647" s="18">
        <f t="shared" si="335"/>
        <v>0.11862129081465889</v>
      </c>
    </row>
    <row r="2648" spans="1:23" x14ac:dyDescent="0.3">
      <c r="A2648" t="s">
        <v>411</v>
      </c>
      <c r="B2648" t="s">
        <v>3003</v>
      </c>
      <c r="C2648" t="s">
        <v>16</v>
      </c>
      <c r="D2648" t="s">
        <v>20</v>
      </c>
      <c r="E2648">
        <v>4367</v>
      </c>
      <c r="F2648">
        <v>53.43</v>
      </c>
      <c r="G2648">
        <v>50.24</v>
      </c>
      <c r="H2648">
        <v>53.43</v>
      </c>
      <c r="I2648">
        <v>1351</v>
      </c>
      <c r="J2648">
        <v>89</v>
      </c>
      <c r="K2648" s="17">
        <f t="shared" si="329"/>
        <v>4007.9666666666667</v>
      </c>
      <c r="L2648" t="str">
        <f t="shared" si="330"/>
        <v>Sufficuent Stock</v>
      </c>
      <c r="P2648" s="19">
        <f t="shared" si="331"/>
        <v>0</v>
      </c>
      <c r="R2648" s="19">
        <f t="shared" si="328"/>
        <v>0</v>
      </c>
      <c r="T2648" s="19">
        <f t="shared" si="332"/>
        <v>67874.240000000005</v>
      </c>
      <c r="U2648" s="19">
        <f t="shared" si="333"/>
        <v>72183.929999999993</v>
      </c>
      <c r="V2648" s="21">
        <f t="shared" si="334"/>
        <v>4309.6899999999878</v>
      </c>
      <c r="W2648" s="18">
        <f t="shared" si="335"/>
        <v>6.3495222929936118E-2</v>
      </c>
    </row>
    <row r="2649" spans="1:23" x14ac:dyDescent="0.3">
      <c r="A2649" t="s">
        <v>129</v>
      </c>
      <c r="B2649" t="s">
        <v>853</v>
      </c>
      <c r="C2649" t="s">
        <v>16</v>
      </c>
      <c r="D2649" t="s">
        <v>26</v>
      </c>
      <c r="E2649">
        <v>4368</v>
      </c>
      <c r="F2649">
        <v>42.8</v>
      </c>
      <c r="G2649">
        <v>38.6</v>
      </c>
      <c r="H2649">
        <v>42.8</v>
      </c>
      <c r="I2649">
        <v>1246</v>
      </c>
      <c r="J2649">
        <v>41</v>
      </c>
      <c r="K2649" s="17">
        <f t="shared" si="329"/>
        <v>1702.8666666666666</v>
      </c>
      <c r="L2649" t="str">
        <f t="shared" si="330"/>
        <v>Sufficuent Stock</v>
      </c>
      <c r="P2649" s="19">
        <f t="shared" si="331"/>
        <v>0</v>
      </c>
      <c r="R2649" s="19">
        <f t="shared" si="328"/>
        <v>0</v>
      </c>
      <c r="T2649" s="19">
        <f t="shared" si="332"/>
        <v>48095.6</v>
      </c>
      <c r="U2649" s="19">
        <f t="shared" si="333"/>
        <v>53328.799999999996</v>
      </c>
      <c r="V2649" s="21">
        <f t="shared" si="334"/>
        <v>5233.1999999999971</v>
      </c>
      <c r="W2649" s="18">
        <f t="shared" si="335"/>
        <v>0.10880829015544036</v>
      </c>
    </row>
    <row r="2650" spans="1:23" x14ac:dyDescent="0.3">
      <c r="A2650" t="s">
        <v>940</v>
      </c>
      <c r="B2650" t="s">
        <v>1219</v>
      </c>
      <c r="C2650" t="s">
        <v>50</v>
      </c>
      <c r="D2650" t="s">
        <v>17</v>
      </c>
      <c r="E2650">
        <v>4372</v>
      </c>
      <c r="F2650">
        <v>460.61</v>
      </c>
      <c r="G2650">
        <v>471.77</v>
      </c>
      <c r="H2650">
        <v>460.61</v>
      </c>
      <c r="I2650">
        <v>898</v>
      </c>
      <c r="J2650">
        <v>51</v>
      </c>
      <c r="K2650" s="17">
        <f t="shared" si="329"/>
        <v>1526.6</v>
      </c>
      <c r="L2650" t="str">
        <f t="shared" si="330"/>
        <v>Sufficuent Stock</v>
      </c>
      <c r="P2650" s="19">
        <f t="shared" si="331"/>
        <v>0</v>
      </c>
      <c r="R2650" s="19">
        <f t="shared" si="328"/>
        <v>0</v>
      </c>
      <c r="T2650" s="19">
        <f t="shared" si="332"/>
        <v>423649.45999999996</v>
      </c>
      <c r="U2650" s="19">
        <f t="shared" si="333"/>
        <v>413627.78</v>
      </c>
      <c r="V2650" s="21">
        <f t="shared" si="334"/>
        <v>-10021.679999999935</v>
      </c>
      <c r="W2650" s="18">
        <f t="shared" si="335"/>
        <v>-2.3655594887339017E-2</v>
      </c>
    </row>
    <row r="2651" spans="1:23" x14ac:dyDescent="0.3">
      <c r="A2651" t="s">
        <v>145</v>
      </c>
      <c r="B2651" t="s">
        <v>372</v>
      </c>
      <c r="C2651" t="s">
        <v>50</v>
      </c>
      <c r="D2651" t="s">
        <v>20</v>
      </c>
      <c r="E2651">
        <v>4372</v>
      </c>
      <c r="F2651">
        <v>56.3</v>
      </c>
      <c r="G2651">
        <v>50.25</v>
      </c>
      <c r="H2651">
        <v>56.3</v>
      </c>
      <c r="I2651">
        <v>2839</v>
      </c>
      <c r="J2651">
        <v>44</v>
      </c>
      <c r="K2651" s="17">
        <f t="shared" si="329"/>
        <v>4163.8666666666668</v>
      </c>
      <c r="L2651" t="str">
        <f t="shared" si="330"/>
        <v>Sufficuent Stock</v>
      </c>
      <c r="P2651" s="19">
        <f t="shared" si="331"/>
        <v>0</v>
      </c>
      <c r="R2651" s="19">
        <f t="shared" si="328"/>
        <v>0</v>
      </c>
      <c r="T2651" s="19">
        <f t="shared" si="332"/>
        <v>142659.75</v>
      </c>
      <c r="U2651" s="19">
        <f t="shared" si="333"/>
        <v>159835.69999999998</v>
      </c>
      <c r="V2651" s="21">
        <f t="shared" si="334"/>
        <v>17175.949999999983</v>
      </c>
      <c r="W2651" s="18">
        <f t="shared" si="335"/>
        <v>0.12039800995024863</v>
      </c>
    </row>
    <row r="2652" spans="1:23" x14ac:dyDescent="0.3">
      <c r="A2652" t="s">
        <v>76</v>
      </c>
      <c r="B2652" t="s">
        <v>3263</v>
      </c>
      <c r="C2652" t="s">
        <v>12</v>
      </c>
      <c r="D2652" t="s">
        <v>20</v>
      </c>
      <c r="E2652">
        <v>4373</v>
      </c>
      <c r="F2652">
        <v>256.93</v>
      </c>
      <c r="G2652">
        <v>280.10000000000002</v>
      </c>
      <c r="H2652">
        <v>256.93</v>
      </c>
      <c r="I2652">
        <v>832</v>
      </c>
      <c r="J2652">
        <v>78</v>
      </c>
      <c r="K2652" s="17">
        <f t="shared" si="329"/>
        <v>2163.2000000000003</v>
      </c>
      <c r="L2652" t="str">
        <f t="shared" si="330"/>
        <v>Sufficuent Stock</v>
      </c>
      <c r="P2652" s="19">
        <f t="shared" si="331"/>
        <v>0</v>
      </c>
      <c r="R2652" s="19">
        <f t="shared" si="328"/>
        <v>0</v>
      </c>
      <c r="T2652" s="19">
        <f t="shared" si="332"/>
        <v>233043.20000000001</v>
      </c>
      <c r="U2652" s="19">
        <f t="shared" si="333"/>
        <v>213765.76000000001</v>
      </c>
      <c r="V2652" s="21">
        <f t="shared" si="334"/>
        <v>-19277.440000000002</v>
      </c>
      <c r="W2652" s="18">
        <f t="shared" si="335"/>
        <v>-8.2720456979650137E-2</v>
      </c>
    </row>
    <row r="2653" spans="1:23" x14ac:dyDescent="0.3">
      <c r="A2653" t="s">
        <v>134</v>
      </c>
      <c r="B2653" t="s">
        <v>2276</v>
      </c>
      <c r="C2653" t="s">
        <v>16</v>
      </c>
      <c r="D2653" t="s">
        <v>17</v>
      </c>
      <c r="E2653">
        <v>4374</v>
      </c>
      <c r="F2653">
        <v>443.94</v>
      </c>
      <c r="G2653">
        <v>444.23</v>
      </c>
      <c r="H2653">
        <v>443.94</v>
      </c>
      <c r="I2653">
        <v>148</v>
      </c>
      <c r="J2653">
        <v>55</v>
      </c>
      <c r="K2653" s="17">
        <f t="shared" si="329"/>
        <v>271.33333333333337</v>
      </c>
      <c r="L2653" t="str">
        <f t="shared" si="330"/>
        <v>Sufficuent Stock</v>
      </c>
      <c r="P2653" s="19">
        <f t="shared" si="331"/>
        <v>0</v>
      </c>
      <c r="R2653" s="19">
        <f t="shared" si="328"/>
        <v>0</v>
      </c>
      <c r="T2653" s="19">
        <f t="shared" si="332"/>
        <v>65746.040000000008</v>
      </c>
      <c r="U2653" s="19">
        <f t="shared" si="333"/>
        <v>65703.12</v>
      </c>
      <c r="V2653" s="21">
        <f t="shared" si="334"/>
        <v>-42.920000000012806</v>
      </c>
      <c r="W2653" s="18">
        <f t="shared" si="335"/>
        <v>-6.5281498322960292E-4</v>
      </c>
    </row>
    <row r="2654" spans="1:23" x14ac:dyDescent="0.3">
      <c r="A2654" t="s">
        <v>831</v>
      </c>
      <c r="B2654" t="s">
        <v>832</v>
      </c>
      <c r="C2654" t="s">
        <v>50</v>
      </c>
      <c r="D2654" t="s">
        <v>26</v>
      </c>
      <c r="E2654">
        <v>4374</v>
      </c>
      <c r="F2654">
        <v>310.82</v>
      </c>
      <c r="G2654">
        <v>279.33</v>
      </c>
      <c r="H2654">
        <v>310.82</v>
      </c>
      <c r="I2654">
        <v>2796</v>
      </c>
      <c r="J2654">
        <v>44</v>
      </c>
      <c r="K2654" s="17">
        <f t="shared" si="329"/>
        <v>4100.8</v>
      </c>
      <c r="L2654" t="str">
        <f t="shared" si="330"/>
        <v>Sufficuent Stock</v>
      </c>
      <c r="P2654" s="19">
        <f t="shared" si="331"/>
        <v>0</v>
      </c>
      <c r="R2654" s="19">
        <f t="shared" si="328"/>
        <v>0</v>
      </c>
      <c r="T2654" s="19">
        <f t="shared" si="332"/>
        <v>781006.67999999993</v>
      </c>
      <c r="U2654" s="19">
        <f t="shared" si="333"/>
        <v>869052.72</v>
      </c>
      <c r="V2654" s="21">
        <f t="shared" si="334"/>
        <v>88046.040000000037</v>
      </c>
      <c r="W2654" s="18">
        <f t="shared" si="335"/>
        <v>0.11273404217234101</v>
      </c>
    </row>
    <row r="2655" spans="1:23" x14ac:dyDescent="0.3">
      <c r="A2655" t="s">
        <v>310</v>
      </c>
      <c r="B2655" t="s">
        <v>497</v>
      </c>
      <c r="C2655" t="s">
        <v>23</v>
      </c>
      <c r="D2655" t="s">
        <v>17</v>
      </c>
      <c r="E2655">
        <v>4374</v>
      </c>
      <c r="F2655">
        <v>485.65</v>
      </c>
      <c r="G2655">
        <v>480.93</v>
      </c>
      <c r="H2655">
        <v>485.65</v>
      </c>
      <c r="I2655">
        <v>3047</v>
      </c>
      <c r="J2655">
        <v>45</v>
      </c>
      <c r="K2655" s="17">
        <f t="shared" si="329"/>
        <v>4570.5</v>
      </c>
      <c r="L2655" t="str">
        <f t="shared" si="330"/>
        <v>High Risk</v>
      </c>
      <c r="P2655" s="19">
        <f t="shared" si="331"/>
        <v>197</v>
      </c>
      <c r="R2655" s="19">
        <f t="shared" si="328"/>
        <v>95673.049999999988</v>
      </c>
      <c r="T2655" s="19">
        <f t="shared" si="332"/>
        <v>1465393.71</v>
      </c>
      <c r="U2655" s="19">
        <f t="shared" si="333"/>
        <v>1479775.55</v>
      </c>
      <c r="V2655" s="21">
        <f t="shared" si="334"/>
        <v>14381.840000000084</v>
      </c>
      <c r="W2655" s="18">
        <f t="shared" si="335"/>
        <v>9.8143180920300822E-3</v>
      </c>
    </row>
    <row r="2656" spans="1:23" x14ac:dyDescent="0.3">
      <c r="A2656" t="s">
        <v>472</v>
      </c>
      <c r="B2656" t="s">
        <v>2129</v>
      </c>
      <c r="C2656" t="s">
        <v>23</v>
      </c>
      <c r="D2656" t="s">
        <v>26</v>
      </c>
      <c r="E2656">
        <v>4379</v>
      </c>
      <c r="F2656">
        <v>21.67</v>
      </c>
      <c r="G2656">
        <v>23.14</v>
      </c>
      <c r="H2656">
        <v>21.67</v>
      </c>
      <c r="I2656">
        <v>3168</v>
      </c>
      <c r="J2656">
        <v>10</v>
      </c>
      <c r="K2656" s="17">
        <f t="shared" si="329"/>
        <v>1056</v>
      </c>
      <c r="L2656" t="str">
        <f t="shared" si="330"/>
        <v>Sufficuent Stock</v>
      </c>
      <c r="P2656" s="19">
        <f t="shared" si="331"/>
        <v>0</v>
      </c>
      <c r="R2656" s="19">
        <f t="shared" si="328"/>
        <v>0</v>
      </c>
      <c r="T2656" s="19">
        <f t="shared" si="332"/>
        <v>73307.520000000004</v>
      </c>
      <c r="U2656" s="19">
        <f t="shared" si="333"/>
        <v>68650.560000000012</v>
      </c>
      <c r="V2656" s="21">
        <f t="shared" si="334"/>
        <v>-4656.9599999999919</v>
      </c>
      <c r="W2656" s="18">
        <f t="shared" si="335"/>
        <v>-6.3526361279170149E-2</v>
      </c>
    </row>
    <row r="2657" spans="1:23" x14ac:dyDescent="0.3">
      <c r="A2657" t="s">
        <v>1146</v>
      </c>
      <c r="B2657" t="s">
        <v>3088</v>
      </c>
      <c r="C2657" t="s">
        <v>16</v>
      </c>
      <c r="D2657" t="s">
        <v>69</v>
      </c>
      <c r="E2657">
        <v>4380</v>
      </c>
      <c r="F2657">
        <v>31.31</v>
      </c>
      <c r="G2657">
        <v>31.25</v>
      </c>
      <c r="H2657">
        <v>31.31</v>
      </c>
      <c r="I2657">
        <v>644</v>
      </c>
      <c r="J2657">
        <v>16</v>
      </c>
      <c r="K2657" s="17">
        <f t="shared" si="329"/>
        <v>343.46666666666664</v>
      </c>
      <c r="L2657" t="str">
        <f t="shared" si="330"/>
        <v>Sufficuent Stock</v>
      </c>
      <c r="P2657" s="19">
        <f t="shared" si="331"/>
        <v>0</v>
      </c>
      <c r="R2657" s="19">
        <f t="shared" si="328"/>
        <v>0</v>
      </c>
      <c r="T2657" s="19">
        <f t="shared" si="332"/>
        <v>20125</v>
      </c>
      <c r="U2657" s="19">
        <f t="shared" si="333"/>
        <v>20163.64</v>
      </c>
      <c r="V2657" s="21">
        <f t="shared" si="334"/>
        <v>38.639999999999418</v>
      </c>
      <c r="W2657" s="18">
        <f t="shared" si="335"/>
        <v>1.919999999999971E-3</v>
      </c>
    </row>
    <row r="2658" spans="1:23" x14ac:dyDescent="0.3">
      <c r="A2658" t="s">
        <v>67</v>
      </c>
      <c r="B2658" t="s">
        <v>68</v>
      </c>
      <c r="C2658" t="s">
        <v>16</v>
      </c>
      <c r="D2658" t="s">
        <v>69</v>
      </c>
      <c r="E2658">
        <v>4382</v>
      </c>
      <c r="F2658">
        <v>429.17</v>
      </c>
      <c r="G2658">
        <v>404.2</v>
      </c>
      <c r="H2658">
        <v>429.17</v>
      </c>
      <c r="I2658">
        <v>1789</v>
      </c>
      <c r="J2658">
        <v>58</v>
      </c>
      <c r="K2658" s="17">
        <f t="shared" si="329"/>
        <v>3458.7333333333331</v>
      </c>
      <c r="L2658" t="str">
        <f t="shared" si="330"/>
        <v>Sufficuent Stock</v>
      </c>
      <c r="P2658" s="19">
        <f t="shared" si="331"/>
        <v>0</v>
      </c>
      <c r="R2658" s="19">
        <f t="shared" si="328"/>
        <v>0</v>
      </c>
      <c r="T2658" s="19">
        <f t="shared" si="332"/>
        <v>723113.79999999993</v>
      </c>
      <c r="U2658" s="19">
        <f t="shared" si="333"/>
        <v>767785.13</v>
      </c>
      <c r="V2658" s="21">
        <f t="shared" si="334"/>
        <v>44671.330000000075</v>
      </c>
      <c r="W2658" s="18">
        <f t="shared" si="335"/>
        <v>6.1776348342404856E-2</v>
      </c>
    </row>
    <row r="2659" spans="1:23" x14ac:dyDescent="0.3">
      <c r="A2659" t="s">
        <v>326</v>
      </c>
      <c r="B2659" t="s">
        <v>2581</v>
      </c>
      <c r="C2659" t="s">
        <v>23</v>
      </c>
      <c r="D2659" t="s">
        <v>13</v>
      </c>
      <c r="E2659">
        <v>4384</v>
      </c>
      <c r="F2659">
        <v>423.08</v>
      </c>
      <c r="G2659">
        <v>400.76</v>
      </c>
      <c r="H2659">
        <v>423.08</v>
      </c>
      <c r="I2659">
        <v>1688</v>
      </c>
      <c r="J2659">
        <v>21</v>
      </c>
      <c r="K2659" s="17">
        <f t="shared" si="329"/>
        <v>1181.5999999999999</v>
      </c>
      <c r="L2659" t="str">
        <f t="shared" si="330"/>
        <v>Sufficuent Stock</v>
      </c>
      <c r="P2659" s="19">
        <f t="shared" si="331"/>
        <v>0</v>
      </c>
      <c r="R2659" s="19">
        <f t="shared" si="328"/>
        <v>0</v>
      </c>
      <c r="T2659" s="19">
        <f t="shared" si="332"/>
        <v>676482.88</v>
      </c>
      <c r="U2659" s="19">
        <f t="shared" si="333"/>
        <v>714159.03999999992</v>
      </c>
      <c r="V2659" s="21">
        <f t="shared" si="334"/>
        <v>37676.159999999916</v>
      </c>
      <c r="W2659" s="18">
        <f t="shared" si="335"/>
        <v>5.569418105599349E-2</v>
      </c>
    </row>
    <row r="2660" spans="1:23" x14ac:dyDescent="0.3">
      <c r="A2660" t="s">
        <v>657</v>
      </c>
      <c r="B2660" t="s">
        <v>1596</v>
      </c>
      <c r="C2660" t="s">
        <v>23</v>
      </c>
      <c r="D2660" t="s">
        <v>69</v>
      </c>
      <c r="E2660">
        <v>4388</v>
      </c>
      <c r="F2660">
        <v>553.04999999999995</v>
      </c>
      <c r="G2660">
        <v>498.61</v>
      </c>
      <c r="H2660">
        <v>553.04999999999995</v>
      </c>
      <c r="I2660">
        <v>396</v>
      </c>
      <c r="J2660">
        <v>50</v>
      </c>
      <c r="K2660" s="17">
        <f t="shared" si="329"/>
        <v>660</v>
      </c>
      <c r="L2660" t="str">
        <f t="shared" si="330"/>
        <v>Sufficuent Stock</v>
      </c>
      <c r="P2660" s="19">
        <f t="shared" si="331"/>
        <v>0</v>
      </c>
      <c r="R2660" s="19">
        <f t="shared" si="328"/>
        <v>0</v>
      </c>
      <c r="T2660" s="19">
        <f t="shared" si="332"/>
        <v>197449.56</v>
      </c>
      <c r="U2660" s="19">
        <f t="shared" si="333"/>
        <v>219007.8</v>
      </c>
      <c r="V2660" s="21">
        <f t="shared" si="334"/>
        <v>21558.239999999991</v>
      </c>
      <c r="W2660" s="18">
        <f t="shared" si="335"/>
        <v>0.10918353021399486</v>
      </c>
    </row>
    <row r="2661" spans="1:23" x14ac:dyDescent="0.3">
      <c r="A2661" t="s">
        <v>314</v>
      </c>
      <c r="B2661" t="s">
        <v>2665</v>
      </c>
      <c r="C2661" t="s">
        <v>23</v>
      </c>
      <c r="D2661" t="s">
        <v>17</v>
      </c>
      <c r="E2661">
        <v>4390</v>
      </c>
      <c r="F2661">
        <v>427.15</v>
      </c>
      <c r="G2661">
        <v>398.12</v>
      </c>
      <c r="H2661">
        <v>427.15</v>
      </c>
      <c r="I2661">
        <v>1893</v>
      </c>
      <c r="J2661">
        <v>58</v>
      </c>
      <c r="K2661" s="17">
        <f t="shared" si="329"/>
        <v>3659.8</v>
      </c>
      <c r="L2661" t="str">
        <f t="shared" si="330"/>
        <v>Sufficuent Stock</v>
      </c>
      <c r="P2661" s="19">
        <f t="shared" si="331"/>
        <v>0</v>
      </c>
      <c r="R2661" s="19">
        <f t="shared" si="328"/>
        <v>0</v>
      </c>
      <c r="T2661" s="19">
        <f t="shared" si="332"/>
        <v>753641.16</v>
      </c>
      <c r="U2661" s="19">
        <f t="shared" si="333"/>
        <v>808594.95</v>
      </c>
      <c r="V2661" s="21">
        <f t="shared" si="334"/>
        <v>54953.789999999921</v>
      </c>
      <c r="W2661" s="18">
        <f t="shared" si="335"/>
        <v>7.2917713252285632E-2</v>
      </c>
    </row>
    <row r="2662" spans="1:23" x14ac:dyDescent="0.3">
      <c r="A2662" t="s">
        <v>290</v>
      </c>
      <c r="B2662" t="s">
        <v>2178</v>
      </c>
      <c r="C2662" t="s">
        <v>37</v>
      </c>
      <c r="D2662" t="s">
        <v>20</v>
      </c>
      <c r="E2662">
        <v>4395</v>
      </c>
      <c r="F2662">
        <v>114.73</v>
      </c>
      <c r="G2662">
        <v>113.82</v>
      </c>
      <c r="H2662">
        <v>114.73</v>
      </c>
      <c r="I2662">
        <v>1710</v>
      </c>
      <c r="J2662">
        <v>47</v>
      </c>
      <c r="K2662" s="17">
        <f t="shared" si="329"/>
        <v>2679</v>
      </c>
      <c r="L2662" t="str">
        <f t="shared" si="330"/>
        <v>Sufficuent Stock</v>
      </c>
      <c r="P2662" s="19">
        <f t="shared" si="331"/>
        <v>0</v>
      </c>
      <c r="R2662" s="19">
        <f t="shared" si="328"/>
        <v>0</v>
      </c>
      <c r="T2662" s="19">
        <f t="shared" si="332"/>
        <v>194632.19999999998</v>
      </c>
      <c r="U2662" s="19">
        <f t="shared" si="333"/>
        <v>196188.30000000002</v>
      </c>
      <c r="V2662" s="21">
        <f t="shared" si="334"/>
        <v>1556.1000000000349</v>
      </c>
      <c r="W2662" s="18">
        <f t="shared" si="335"/>
        <v>7.9950799507996877E-3</v>
      </c>
    </row>
    <row r="2663" spans="1:23" x14ac:dyDescent="0.3">
      <c r="A2663" t="s">
        <v>943</v>
      </c>
      <c r="B2663" t="s">
        <v>2864</v>
      </c>
      <c r="C2663" t="s">
        <v>16</v>
      </c>
      <c r="D2663" t="s">
        <v>69</v>
      </c>
      <c r="E2663">
        <v>4397</v>
      </c>
      <c r="F2663">
        <v>267.13</v>
      </c>
      <c r="G2663">
        <v>233.09</v>
      </c>
      <c r="H2663">
        <v>267.13</v>
      </c>
      <c r="I2663">
        <v>1735</v>
      </c>
      <c r="J2663">
        <v>69</v>
      </c>
      <c r="K2663" s="17">
        <f t="shared" si="329"/>
        <v>3990.5</v>
      </c>
      <c r="L2663" t="str">
        <f t="shared" si="330"/>
        <v>Sufficuent Stock</v>
      </c>
      <c r="P2663" s="19">
        <f t="shared" si="331"/>
        <v>0</v>
      </c>
      <c r="R2663" s="19">
        <f t="shared" si="328"/>
        <v>0</v>
      </c>
      <c r="T2663" s="19">
        <f t="shared" si="332"/>
        <v>404411.15</v>
      </c>
      <c r="U2663" s="19">
        <f t="shared" si="333"/>
        <v>463470.55</v>
      </c>
      <c r="V2663" s="21">
        <f t="shared" si="334"/>
        <v>59059.399999999965</v>
      </c>
      <c r="W2663" s="18">
        <f t="shared" si="335"/>
        <v>0.14603801106868583</v>
      </c>
    </row>
    <row r="2664" spans="1:23" x14ac:dyDescent="0.3">
      <c r="A2664" t="s">
        <v>615</v>
      </c>
      <c r="B2664" t="s">
        <v>3189</v>
      </c>
      <c r="C2664" t="s">
        <v>23</v>
      </c>
      <c r="D2664" t="s">
        <v>13</v>
      </c>
      <c r="E2664">
        <v>4399</v>
      </c>
      <c r="F2664">
        <v>156.51</v>
      </c>
      <c r="G2664">
        <v>156.69999999999999</v>
      </c>
      <c r="H2664">
        <v>156.51</v>
      </c>
      <c r="I2664">
        <v>3106</v>
      </c>
      <c r="J2664">
        <v>25</v>
      </c>
      <c r="K2664" s="17">
        <f t="shared" si="329"/>
        <v>2588.3333333333335</v>
      </c>
      <c r="L2664" t="str">
        <f t="shared" si="330"/>
        <v>Sufficuent Stock</v>
      </c>
      <c r="P2664" s="19">
        <f t="shared" si="331"/>
        <v>0</v>
      </c>
      <c r="R2664" s="19">
        <f t="shared" si="328"/>
        <v>0</v>
      </c>
      <c r="T2664" s="19">
        <f t="shared" si="332"/>
        <v>486710.19999999995</v>
      </c>
      <c r="U2664" s="19">
        <f t="shared" si="333"/>
        <v>486120.06</v>
      </c>
      <c r="V2664" s="21">
        <f t="shared" si="334"/>
        <v>-590.13999999995576</v>
      </c>
      <c r="W2664" s="18">
        <f t="shared" si="335"/>
        <v>-1.2125079770260738E-3</v>
      </c>
    </row>
    <row r="2665" spans="1:23" x14ac:dyDescent="0.3">
      <c r="A2665" t="s">
        <v>829</v>
      </c>
      <c r="B2665" t="s">
        <v>2372</v>
      </c>
      <c r="C2665" t="s">
        <v>23</v>
      </c>
      <c r="D2665" t="s">
        <v>13</v>
      </c>
      <c r="E2665">
        <v>4400</v>
      </c>
      <c r="F2665">
        <v>461.1</v>
      </c>
      <c r="G2665">
        <v>394.22</v>
      </c>
      <c r="H2665">
        <v>461.1</v>
      </c>
      <c r="I2665">
        <v>1916</v>
      </c>
      <c r="J2665">
        <v>10</v>
      </c>
      <c r="K2665" s="17">
        <f t="shared" si="329"/>
        <v>638.66666666666663</v>
      </c>
      <c r="L2665" t="str">
        <f t="shared" si="330"/>
        <v>Sufficuent Stock</v>
      </c>
      <c r="P2665" s="19">
        <f t="shared" si="331"/>
        <v>0</v>
      </c>
      <c r="R2665" s="19">
        <f t="shared" si="328"/>
        <v>0</v>
      </c>
      <c r="T2665" s="19">
        <f t="shared" si="332"/>
        <v>755325.52</v>
      </c>
      <c r="U2665" s="19">
        <f t="shared" si="333"/>
        <v>883467.60000000009</v>
      </c>
      <c r="V2665" s="21">
        <f t="shared" si="334"/>
        <v>128142.08000000007</v>
      </c>
      <c r="W2665" s="18">
        <f t="shared" si="335"/>
        <v>0.16965146364973882</v>
      </c>
    </row>
    <row r="2666" spans="1:23" x14ac:dyDescent="0.3">
      <c r="A2666" t="s">
        <v>374</v>
      </c>
      <c r="B2666" t="s">
        <v>3122</v>
      </c>
      <c r="C2666" t="s">
        <v>23</v>
      </c>
      <c r="D2666" t="s">
        <v>13</v>
      </c>
      <c r="E2666">
        <v>4403</v>
      </c>
      <c r="F2666">
        <v>65.239999999999995</v>
      </c>
      <c r="G2666">
        <v>56.28</v>
      </c>
      <c r="H2666">
        <v>65.239999999999995</v>
      </c>
      <c r="I2666">
        <v>2929</v>
      </c>
      <c r="J2666">
        <v>33</v>
      </c>
      <c r="K2666" s="17">
        <f t="shared" si="329"/>
        <v>3221.9</v>
      </c>
      <c r="L2666" t="str">
        <f t="shared" si="330"/>
        <v>Sufficuent Stock</v>
      </c>
      <c r="P2666" s="19">
        <f t="shared" si="331"/>
        <v>0</v>
      </c>
      <c r="R2666" s="19">
        <f t="shared" si="328"/>
        <v>0</v>
      </c>
      <c r="T2666" s="19">
        <f t="shared" si="332"/>
        <v>164844.12</v>
      </c>
      <c r="U2666" s="19">
        <f t="shared" si="333"/>
        <v>191087.96</v>
      </c>
      <c r="V2666" s="21">
        <f t="shared" si="334"/>
        <v>26243.839999999997</v>
      </c>
      <c r="W2666" s="18">
        <f t="shared" si="335"/>
        <v>0.15920398009950248</v>
      </c>
    </row>
    <row r="2667" spans="1:23" x14ac:dyDescent="0.3">
      <c r="A2667" t="s">
        <v>418</v>
      </c>
      <c r="B2667" t="s">
        <v>419</v>
      </c>
      <c r="C2667" t="s">
        <v>23</v>
      </c>
      <c r="D2667" t="s">
        <v>20</v>
      </c>
      <c r="E2667">
        <v>4405</v>
      </c>
      <c r="F2667">
        <v>238.06</v>
      </c>
      <c r="G2667">
        <v>254.08</v>
      </c>
      <c r="H2667">
        <v>238.06</v>
      </c>
      <c r="I2667">
        <v>3619</v>
      </c>
      <c r="J2667">
        <v>81</v>
      </c>
      <c r="K2667" s="17">
        <f t="shared" si="329"/>
        <v>9771.3000000000011</v>
      </c>
      <c r="L2667" t="str">
        <f t="shared" si="330"/>
        <v>High Risk</v>
      </c>
      <c r="P2667" s="19">
        <f t="shared" si="331"/>
        <v>5367</v>
      </c>
      <c r="R2667" s="19">
        <f t="shared" si="328"/>
        <v>1277668.02</v>
      </c>
      <c r="T2667" s="19">
        <f t="shared" si="332"/>
        <v>919515.52</v>
      </c>
      <c r="U2667" s="19">
        <f t="shared" si="333"/>
        <v>861539.14</v>
      </c>
      <c r="V2667" s="21">
        <f t="shared" si="334"/>
        <v>-57976.380000000005</v>
      </c>
      <c r="W2667" s="18">
        <f t="shared" si="335"/>
        <v>-6.3051007556675073E-2</v>
      </c>
    </row>
    <row r="2668" spans="1:23" x14ac:dyDescent="0.3">
      <c r="A2668" t="s">
        <v>165</v>
      </c>
      <c r="B2668" t="s">
        <v>690</v>
      </c>
      <c r="C2668" t="s">
        <v>16</v>
      </c>
      <c r="D2668" t="s">
        <v>13</v>
      </c>
      <c r="E2668">
        <v>4407</v>
      </c>
      <c r="F2668">
        <v>365.45</v>
      </c>
      <c r="G2668">
        <v>373.44</v>
      </c>
      <c r="H2668">
        <v>365.45</v>
      </c>
      <c r="I2668">
        <v>2186</v>
      </c>
      <c r="J2668">
        <v>6</v>
      </c>
      <c r="K2668" s="17">
        <f t="shared" si="329"/>
        <v>437.19999999999993</v>
      </c>
      <c r="L2668" t="str">
        <f t="shared" si="330"/>
        <v>Sufficuent Stock</v>
      </c>
      <c r="P2668" s="19">
        <f t="shared" si="331"/>
        <v>0</v>
      </c>
      <c r="R2668" s="19">
        <f t="shared" si="328"/>
        <v>0</v>
      </c>
      <c r="T2668" s="19">
        <f t="shared" si="332"/>
        <v>816339.84</v>
      </c>
      <c r="U2668" s="19">
        <f t="shared" si="333"/>
        <v>798873.7</v>
      </c>
      <c r="V2668" s="21">
        <f t="shared" si="334"/>
        <v>-17466.140000000014</v>
      </c>
      <c r="W2668" s="18">
        <f t="shared" si="335"/>
        <v>-2.1395672664952889E-2</v>
      </c>
    </row>
    <row r="2669" spans="1:23" x14ac:dyDescent="0.3">
      <c r="A2669" t="s">
        <v>923</v>
      </c>
      <c r="B2669" t="s">
        <v>1268</v>
      </c>
      <c r="C2669" t="s">
        <v>50</v>
      </c>
      <c r="D2669" t="s">
        <v>26</v>
      </c>
      <c r="E2669">
        <v>4408</v>
      </c>
      <c r="F2669">
        <v>341.24</v>
      </c>
      <c r="G2669">
        <v>328.59</v>
      </c>
      <c r="H2669">
        <v>341.24</v>
      </c>
      <c r="I2669">
        <v>3533</v>
      </c>
      <c r="J2669">
        <v>28</v>
      </c>
      <c r="K2669" s="17">
        <f t="shared" si="329"/>
        <v>3297.4666666666667</v>
      </c>
      <c r="L2669" t="str">
        <f t="shared" si="330"/>
        <v>Sufficuent Stock</v>
      </c>
      <c r="P2669" s="19">
        <f t="shared" si="331"/>
        <v>0</v>
      </c>
      <c r="R2669" s="19">
        <f t="shared" si="328"/>
        <v>0</v>
      </c>
      <c r="T2669" s="19">
        <f t="shared" si="332"/>
        <v>1160908.47</v>
      </c>
      <c r="U2669" s="19">
        <f t="shared" si="333"/>
        <v>1205600.92</v>
      </c>
      <c r="V2669" s="21">
        <f t="shared" si="334"/>
        <v>44692.449999999953</v>
      </c>
      <c r="W2669" s="18">
        <f t="shared" si="335"/>
        <v>3.8497824036032705E-2</v>
      </c>
    </row>
    <row r="2670" spans="1:23" x14ac:dyDescent="0.3">
      <c r="A2670" t="s">
        <v>494</v>
      </c>
      <c r="B2670" t="s">
        <v>1182</v>
      </c>
      <c r="C2670" t="s">
        <v>12</v>
      </c>
      <c r="D2670" t="s">
        <v>26</v>
      </c>
      <c r="E2670">
        <v>4409</v>
      </c>
      <c r="F2670">
        <v>133.75</v>
      </c>
      <c r="G2670">
        <v>140.97999999999999</v>
      </c>
      <c r="H2670">
        <v>133.75</v>
      </c>
      <c r="I2670">
        <v>3603</v>
      </c>
      <c r="J2670">
        <v>48</v>
      </c>
      <c r="K2670" s="17">
        <f t="shared" si="329"/>
        <v>5764.7999999999993</v>
      </c>
      <c r="L2670" t="str">
        <f t="shared" si="330"/>
        <v>High Risk</v>
      </c>
      <c r="P2670" s="19">
        <f t="shared" si="331"/>
        <v>1356</v>
      </c>
      <c r="R2670" s="19">
        <f t="shared" si="328"/>
        <v>181365</v>
      </c>
      <c r="T2670" s="19">
        <f t="shared" si="332"/>
        <v>507950.93999999994</v>
      </c>
      <c r="U2670" s="19">
        <f t="shared" si="333"/>
        <v>481901.25</v>
      </c>
      <c r="V2670" s="21">
        <f t="shared" si="334"/>
        <v>-26049.689999999944</v>
      </c>
      <c r="W2670" s="18">
        <f t="shared" si="335"/>
        <v>-5.1283870052489612E-2</v>
      </c>
    </row>
    <row r="2671" spans="1:23" x14ac:dyDescent="0.3">
      <c r="A2671" t="s">
        <v>626</v>
      </c>
      <c r="B2671" t="s">
        <v>1213</v>
      </c>
      <c r="C2671" t="s">
        <v>37</v>
      </c>
      <c r="D2671" t="s">
        <v>26</v>
      </c>
      <c r="E2671">
        <v>4410</v>
      </c>
      <c r="F2671">
        <v>170.64</v>
      </c>
      <c r="G2671">
        <v>184.52</v>
      </c>
      <c r="H2671">
        <v>170.64</v>
      </c>
      <c r="I2671">
        <v>3619</v>
      </c>
      <c r="J2671">
        <v>53</v>
      </c>
      <c r="K2671" s="17">
        <f t="shared" si="329"/>
        <v>6393.5666666666666</v>
      </c>
      <c r="L2671" t="str">
        <f t="shared" si="330"/>
        <v>High Risk</v>
      </c>
      <c r="P2671" s="19">
        <f t="shared" si="331"/>
        <v>1984</v>
      </c>
      <c r="R2671" s="19">
        <f t="shared" si="328"/>
        <v>338549.75999999995</v>
      </c>
      <c r="T2671" s="19">
        <f t="shared" si="332"/>
        <v>667777.88</v>
      </c>
      <c r="U2671" s="19">
        <f t="shared" si="333"/>
        <v>617546.15999999992</v>
      </c>
      <c r="V2671" s="21">
        <f t="shared" si="334"/>
        <v>-50231.720000000088</v>
      </c>
      <c r="W2671" s="18">
        <f t="shared" si="335"/>
        <v>-7.5222198135703577E-2</v>
      </c>
    </row>
    <row r="2672" spans="1:23" x14ac:dyDescent="0.3">
      <c r="A2672" t="s">
        <v>626</v>
      </c>
      <c r="B2672" t="s">
        <v>3299</v>
      </c>
      <c r="C2672" t="s">
        <v>12</v>
      </c>
      <c r="D2672" t="s">
        <v>26</v>
      </c>
      <c r="E2672">
        <v>4413</v>
      </c>
      <c r="F2672">
        <v>136.46</v>
      </c>
      <c r="G2672">
        <v>130.28</v>
      </c>
      <c r="H2672">
        <v>136.46</v>
      </c>
      <c r="I2672">
        <v>1451</v>
      </c>
      <c r="J2672">
        <v>68</v>
      </c>
      <c r="K2672" s="17">
        <f t="shared" si="329"/>
        <v>3288.9333333333334</v>
      </c>
      <c r="L2672" t="str">
        <f t="shared" si="330"/>
        <v>Sufficuent Stock</v>
      </c>
      <c r="P2672" s="19">
        <f t="shared" si="331"/>
        <v>0</v>
      </c>
      <c r="R2672" s="19">
        <f t="shared" si="328"/>
        <v>0</v>
      </c>
      <c r="T2672" s="19">
        <f t="shared" si="332"/>
        <v>189036.28</v>
      </c>
      <c r="U2672" s="19">
        <f t="shared" si="333"/>
        <v>198003.46000000002</v>
      </c>
      <c r="V2672" s="21">
        <f t="shared" si="334"/>
        <v>8967.1800000000221</v>
      </c>
      <c r="W2672" s="18">
        <f t="shared" si="335"/>
        <v>4.743629106539772E-2</v>
      </c>
    </row>
    <row r="2673" spans="1:23" x14ac:dyDescent="0.3">
      <c r="A2673" t="s">
        <v>199</v>
      </c>
      <c r="B2673" t="s">
        <v>2563</v>
      </c>
      <c r="C2673" t="s">
        <v>12</v>
      </c>
      <c r="D2673" t="s">
        <v>20</v>
      </c>
      <c r="E2673">
        <v>4416</v>
      </c>
      <c r="F2673">
        <v>50.17</v>
      </c>
      <c r="G2673">
        <v>44.26</v>
      </c>
      <c r="H2673">
        <v>50.17</v>
      </c>
      <c r="I2673">
        <v>1048</v>
      </c>
      <c r="J2673">
        <v>90</v>
      </c>
      <c r="K2673" s="17">
        <f t="shared" si="329"/>
        <v>3143.9999999999995</v>
      </c>
      <c r="L2673" t="str">
        <f t="shared" si="330"/>
        <v>Sufficuent Stock</v>
      </c>
      <c r="P2673" s="19">
        <f t="shared" si="331"/>
        <v>0</v>
      </c>
      <c r="R2673" s="19">
        <f t="shared" si="328"/>
        <v>0</v>
      </c>
      <c r="T2673" s="19">
        <f t="shared" si="332"/>
        <v>46384.479999999996</v>
      </c>
      <c r="U2673" s="19">
        <f t="shared" si="333"/>
        <v>52578.16</v>
      </c>
      <c r="V2673" s="21">
        <f t="shared" si="334"/>
        <v>6193.6800000000076</v>
      </c>
      <c r="W2673" s="18">
        <f t="shared" si="335"/>
        <v>0.13352914595571641</v>
      </c>
    </row>
    <row r="2674" spans="1:23" x14ac:dyDescent="0.3">
      <c r="A2674" t="s">
        <v>446</v>
      </c>
      <c r="B2674" t="s">
        <v>3023</v>
      </c>
      <c r="C2674" t="s">
        <v>16</v>
      </c>
      <c r="D2674" t="s">
        <v>17</v>
      </c>
      <c r="E2674">
        <v>4421</v>
      </c>
      <c r="F2674">
        <v>148.66999999999999</v>
      </c>
      <c r="G2674">
        <v>141.44999999999999</v>
      </c>
      <c r="H2674">
        <v>148.66999999999999</v>
      </c>
      <c r="I2674">
        <v>2532</v>
      </c>
      <c r="J2674">
        <v>10</v>
      </c>
      <c r="K2674" s="17">
        <f t="shared" si="329"/>
        <v>844</v>
      </c>
      <c r="L2674" t="str">
        <f t="shared" si="330"/>
        <v>Sufficuent Stock</v>
      </c>
      <c r="P2674" s="19">
        <f t="shared" si="331"/>
        <v>0</v>
      </c>
      <c r="R2674" s="19">
        <f t="shared" si="328"/>
        <v>0</v>
      </c>
      <c r="T2674" s="19">
        <f t="shared" si="332"/>
        <v>358151.39999999997</v>
      </c>
      <c r="U2674" s="19">
        <f t="shared" si="333"/>
        <v>376432.43999999994</v>
      </c>
      <c r="V2674" s="21">
        <f t="shared" si="334"/>
        <v>18281.039999999979</v>
      </c>
      <c r="W2674" s="18">
        <f t="shared" si="335"/>
        <v>5.1042771297278133E-2</v>
      </c>
    </row>
    <row r="2675" spans="1:23" x14ac:dyDescent="0.3">
      <c r="A2675" t="s">
        <v>184</v>
      </c>
      <c r="B2675" t="s">
        <v>185</v>
      </c>
      <c r="C2675" t="s">
        <v>50</v>
      </c>
      <c r="D2675" t="s">
        <v>20</v>
      </c>
      <c r="E2675">
        <v>4421</v>
      </c>
      <c r="F2675">
        <v>337.19</v>
      </c>
      <c r="G2675">
        <v>288.5</v>
      </c>
      <c r="H2675">
        <v>337.19</v>
      </c>
      <c r="I2675">
        <v>3965</v>
      </c>
      <c r="J2675">
        <v>5</v>
      </c>
      <c r="K2675" s="17">
        <f t="shared" si="329"/>
        <v>660.83333333333326</v>
      </c>
      <c r="L2675" t="str">
        <f t="shared" si="330"/>
        <v>Sufficuent Stock</v>
      </c>
      <c r="P2675" s="19">
        <f t="shared" si="331"/>
        <v>0</v>
      </c>
      <c r="R2675" s="19">
        <f t="shared" si="328"/>
        <v>0</v>
      </c>
      <c r="T2675" s="19">
        <f t="shared" si="332"/>
        <v>1143902.5</v>
      </c>
      <c r="U2675" s="19">
        <f t="shared" si="333"/>
        <v>1336958.3500000001</v>
      </c>
      <c r="V2675" s="21">
        <f t="shared" si="334"/>
        <v>193055.85000000009</v>
      </c>
      <c r="W2675" s="18">
        <f t="shared" si="335"/>
        <v>0.16876949740034669</v>
      </c>
    </row>
    <row r="2676" spans="1:23" x14ac:dyDescent="0.3">
      <c r="A2676" t="s">
        <v>157</v>
      </c>
      <c r="B2676" t="s">
        <v>3366</v>
      </c>
      <c r="C2676" t="s">
        <v>16</v>
      </c>
      <c r="D2676" t="s">
        <v>26</v>
      </c>
      <c r="E2676">
        <v>4422</v>
      </c>
      <c r="F2676">
        <v>241.08</v>
      </c>
      <c r="G2676">
        <v>207.8</v>
      </c>
      <c r="H2676">
        <v>241.08</v>
      </c>
      <c r="I2676">
        <v>1761</v>
      </c>
      <c r="J2676">
        <v>70</v>
      </c>
      <c r="K2676" s="17">
        <f t="shared" si="329"/>
        <v>4109</v>
      </c>
      <c r="L2676" t="str">
        <f t="shared" si="330"/>
        <v>Sufficuent Stock</v>
      </c>
      <c r="P2676" s="19">
        <f t="shared" si="331"/>
        <v>0</v>
      </c>
      <c r="R2676" s="19">
        <f t="shared" si="328"/>
        <v>0</v>
      </c>
      <c r="T2676" s="19">
        <f t="shared" si="332"/>
        <v>365935.80000000005</v>
      </c>
      <c r="U2676" s="19">
        <f t="shared" si="333"/>
        <v>424541.88</v>
      </c>
      <c r="V2676" s="21">
        <f t="shared" si="334"/>
        <v>58606.079999999958</v>
      </c>
      <c r="W2676" s="18">
        <f t="shared" si="335"/>
        <v>0.16015399422521642</v>
      </c>
    </row>
    <row r="2677" spans="1:23" x14ac:dyDescent="0.3">
      <c r="A2677" t="s">
        <v>472</v>
      </c>
      <c r="B2677" t="s">
        <v>1054</v>
      </c>
      <c r="C2677" t="s">
        <v>12</v>
      </c>
      <c r="D2677" t="s">
        <v>20</v>
      </c>
      <c r="E2677">
        <v>4423</v>
      </c>
      <c r="F2677">
        <v>259.94</v>
      </c>
      <c r="G2677">
        <v>237.98</v>
      </c>
      <c r="H2677">
        <v>259.94</v>
      </c>
      <c r="I2677">
        <v>2616</v>
      </c>
      <c r="J2677">
        <v>81</v>
      </c>
      <c r="K2677" s="17">
        <f t="shared" si="329"/>
        <v>7063.2</v>
      </c>
      <c r="L2677" t="str">
        <f t="shared" si="330"/>
        <v>High Risk</v>
      </c>
      <c r="P2677" s="19">
        <f t="shared" si="331"/>
        <v>2641</v>
      </c>
      <c r="R2677" s="19">
        <f t="shared" si="328"/>
        <v>686501.54</v>
      </c>
      <c r="T2677" s="19">
        <f t="shared" si="332"/>
        <v>622555.67999999993</v>
      </c>
      <c r="U2677" s="19">
        <f t="shared" si="333"/>
        <v>680003.04</v>
      </c>
      <c r="V2677" s="21">
        <f t="shared" si="334"/>
        <v>57447.360000000102</v>
      </c>
      <c r="W2677" s="18">
        <f t="shared" si="335"/>
        <v>9.2276661904361887E-2</v>
      </c>
    </row>
    <row r="2678" spans="1:23" x14ac:dyDescent="0.3">
      <c r="A2678" t="s">
        <v>360</v>
      </c>
      <c r="B2678" t="s">
        <v>2337</v>
      </c>
      <c r="C2678" t="s">
        <v>23</v>
      </c>
      <c r="D2678" t="s">
        <v>13</v>
      </c>
      <c r="E2678">
        <v>4423</v>
      </c>
      <c r="F2678">
        <v>261.73</v>
      </c>
      <c r="G2678">
        <v>236.64</v>
      </c>
      <c r="H2678">
        <v>261.73</v>
      </c>
      <c r="I2678">
        <v>1205</v>
      </c>
      <c r="J2678">
        <v>56</v>
      </c>
      <c r="K2678" s="17">
        <f t="shared" si="329"/>
        <v>2249.333333333333</v>
      </c>
      <c r="L2678" t="str">
        <f t="shared" si="330"/>
        <v>Sufficuent Stock</v>
      </c>
      <c r="P2678" s="19">
        <f t="shared" si="331"/>
        <v>0</v>
      </c>
      <c r="R2678" s="19">
        <f t="shared" si="328"/>
        <v>0</v>
      </c>
      <c r="T2678" s="19">
        <f t="shared" si="332"/>
        <v>285151.2</v>
      </c>
      <c r="U2678" s="19">
        <f t="shared" si="333"/>
        <v>315384.65000000002</v>
      </c>
      <c r="V2678" s="21">
        <f t="shared" si="334"/>
        <v>30233.450000000012</v>
      </c>
      <c r="W2678" s="18">
        <f t="shared" si="335"/>
        <v>0.10602603110209605</v>
      </c>
    </row>
    <row r="2679" spans="1:23" x14ac:dyDescent="0.3">
      <c r="A2679" t="s">
        <v>48</v>
      </c>
      <c r="B2679" t="s">
        <v>861</v>
      </c>
      <c r="C2679" t="s">
        <v>23</v>
      </c>
      <c r="D2679" t="s">
        <v>20</v>
      </c>
      <c r="E2679">
        <v>4424</v>
      </c>
      <c r="F2679">
        <v>165.01</v>
      </c>
      <c r="G2679">
        <v>156.31</v>
      </c>
      <c r="H2679">
        <v>165.01</v>
      </c>
      <c r="I2679">
        <v>482</v>
      </c>
      <c r="J2679">
        <v>62</v>
      </c>
      <c r="K2679" s="17">
        <f t="shared" si="329"/>
        <v>996.13333333333333</v>
      </c>
      <c r="L2679" t="str">
        <f t="shared" si="330"/>
        <v>Sufficuent Stock</v>
      </c>
      <c r="P2679" s="19">
        <f t="shared" si="331"/>
        <v>0</v>
      </c>
      <c r="R2679" s="19">
        <f t="shared" si="328"/>
        <v>0</v>
      </c>
      <c r="T2679" s="19">
        <f t="shared" si="332"/>
        <v>75341.42</v>
      </c>
      <c r="U2679" s="19">
        <f t="shared" si="333"/>
        <v>79534.819999999992</v>
      </c>
      <c r="V2679" s="21">
        <f t="shared" si="334"/>
        <v>4193.3999999999942</v>
      </c>
      <c r="W2679" s="18">
        <f t="shared" si="335"/>
        <v>5.5658627087198438E-2</v>
      </c>
    </row>
    <row r="2680" spans="1:23" x14ac:dyDescent="0.3">
      <c r="A2680" t="s">
        <v>1096</v>
      </c>
      <c r="B2680" t="s">
        <v>2980</v>
      </c>
      <c r="C2680" t="s">
        <v>12</v>
      </c>
      <c r="D2680" t="s">
        <v>13</v>
      </c>
      <c r="E2680">
        <v>4427</v>
      </c>
      <c r="F2680">
        <v>350.98</v>
      </c>
      <c r="G2680">
        <v>328.99</v>
      </c>
      <c r="H2680">
        <v>350.98</v>
      </c>
      <c r="I2680">
        <v>3095</v>
      </c>
      <c r="J2680">
        <v>53</v>
      </c>
      <c r="K2680" s="17">
        <f t="shared" si="329"/>
        <v>5467.8333333333339</v>
      </c>
      <c r="L2680" t="str">
        <f t="shared" si="330"/>
        <v>High Risk</v>
      </c>
      <c r="P2680" s="19">
        <f t="shared" si="331"/>
        <v>1041</v>
      </c>
      <c r="R2680" s="19">
        <f t="shared" si="328"/>
        <v>365370.18</v>
      </c>
      <c r="T2680" s="19">
        <f t="shared" si="332"/>
        <v>1018224.05</v>
      </c>
      <c r="U2680" s="19">
        <f t="shared" si="333"/>
        <v>1086283.1000000001</v>
      </c>
      <c r="V2680" s="21">
        <f t="shared" si="334"/>
        <v>68059.050000000047</v>
      </c>
      <c r="W2680" s="18">
        <f t="shared" si="335"/>
        <v>6.6840937414511123E-2</v>
      </c>
    </row>
    <row r="2681" spans="1:23" x14ac:dyDescent="0.3">
      <c r="A2681" t="s">
        <v>184</v>
      </c>
      <c r="B2681" t="s">
        <v>1968</v>
      </c>
      <c r="C2681" t="s">
        <v>16</v>
      </c>
      <c r="D2681" t="s">
        <v>26</v>
      </c>
      <c r="E2681">
        <v>4427</v>
      </c>
      <c r="F2681">
        <v>247.93</v>
      </c>
      <c r="G2681">
        <v>242.87</v>
      </c>
      <c r="H2681">
        <v>247.93</v>
      </c>
      <c r="I2681">
        <v>3788</v>
      </c>
      <c r="J2681">
        <v>56</v>
      </c>
      <c r="K2681" s="17">
        <f t="shared" si="329"/>
        <v>7070.9333333333334</v>
      </c>
      <c r="L2681" t="str">
        <f t="shared" si="330"/>
        <v>High Risk</v>
      </c>
      <c r="P2681" s="19">
        <f t="shared" si="331"/>
        <v>2644</v>
      </c>
      <c r="R2681" s="19">
        <f t="shared" si="328"/>
        <v>655526.92000000004</v>
      </c>
      <c r="T2681" s="19">
        <f t="shared" si="332"/>
        <v>919991.56</v>
      </c>
      <c r="U2681" s="19">
        <f t="shared" si="333"/>
        <v>939158.84000000008</v>
      </c>
      <c r="V2681" s="21">
        <f t="shared" si="334"/>
        <v>19167.280000000028</v>
      </c>
      <c r="W2681" s="18">
        <f t="shared" si="335"/>
        <v>2.0834191131057795E-2</v>
      </c>
    </row>
    <row r="2682" spans="1:23" x14ac:dyDescent="0.3">
      <c r="A2682" t="s">
        <v>253</v>
      </c>
      <c r="B2682" t="s">
        <v>2017</v>
      </c>
      <c r="C2682" t="s">
        <v>12</v>
      </c>
      <c r="D2682" t="s">
        <v>26</v>
      </c>
      <c r="E2682">
        <v>4427</v>
      </c>
      <c r="F2682">
        <v>368.89</v>
      </c>
      <c r="G2682">
        <v>390.53</v>
      </c>
      <c r="H2682">
        <v>368.89</v>
      </c>
      <c r="I2682">
        <v>373</v>
      </c>
      <c r="J2682">
        <v>15</v>
      </c>
      <c r="K2682" s="17">
        <f t="shared" si="329"/>
        <v>186.5</v>
      </c>
      <c r="L2682" t="str">
        <f t="shared" si="330"/>
        <v>Sufficuent Stock</v>
      </c>
      <c r="P2682" s="19">
        <f t="shared" si="331"/>
        <v>0</v>
      </c>
      <c r="R2682" s="19">
        <f t="shared" si="328"/>
        <v>0</v>
      </c>
      <c r="T2682" s="19">
        <f t="shared" si="332"/>
        <v>145667.69</v>
      </c>
      <c r="U2682" s="19">
        <f t="shared" si="333"/>
        <v>137595.97</v>
      </c>
      <c r="V2682" s="21">
        <f t="shared" si="334"/>
        <v>-8071.7200000000012</v>
      </c>
      <c r="W2682" s="18">
        <f t="shared" si="335"/>
        <v>-5.5411876168284135E-2</v>
      </c>
    </row>
    <row r="2683" spans="1:23" x14ac:dyDescent="0.3">
      <c r="A2683" t="s">
        <v>103</v>
      </c>
      <c r="B2683" t="s">
        <v>104</v>
      </c>
      <c r="C2683" t="s">
        <v>16</v>
      </c>
      <c r="D2683" t="s">
        <v>69</v>
      </c>
      <c r="E2683">
        <v>4432</v>
      </c>
      <c r="F2683">
        <v>450.54</v>
      </c>
      <c r="G2683">
        <v>404.01</v>
      </c>
      <c r="H2683">
        <v>450.54</v>
      </c>
      <c r="I2683">
        <v>1461</v>
      </c>
      <c r="J2683">
        <v>53</v>
      </c>
      <c r="K2683" s="17">
        <f t="shared" si="329"/>
        <v>2581.1000000000004</v>
      </c>
      <c r="L2683" t="str">
        <f t="shared" si="330"/>
        <v>Sufficuent Stock</v>
      </c>
      <c r="P2683" s="19">
        <f t="shared" si="331"/>
        <v>0</v>
      </c>
      <c r="R2683" s="19">
        <f t="shared" si="328"/>
        <v>0</v>
      </c>
      <c r="T2683" s="19">
        <f t="shared" si="332"/>
        <v>590258.61</v>
      </c>
      <c r="U2683" s="19">
        <f t="shared" si="333"/>
        <v>658238.94000000006</v>
      </c>
      <c r="V2683" s="21">
        <f t="shared" si="334"/>
        <v>67980.330000000075</v>
      </c>
      <c r="W2683" s="18">
        <f t="shared" si="335"/>
        <v>0.11517041657384731</v>
      </c>
    </row>
    <row r="2684" spans="1:23" x14ac:dyDescent="0.3">
      <c r="A2684" t="s">
        <v>251</v>
      </c>
      <c r="B2684" t="s">
        <v>683</v>
      </c>
      <c r="C2684" t="s">
        <v>16</v>
      </c>
      <c r="D2684" t="s">
        <v>17</v>
      </c>
      <c r="E2684">
        <v>4433</v>
      </c>
      <c r="F2684">
        <v>196.11</v>
      </c>
      <c r="G2684">
        <v>216.46</v>
      </c>
      <c r="H2684">
        <v>196.11</v>
      </c>
      <c r="I2684">
        <v>3799</v>
      </c>
      <c r="J2684">
        <v>42</v>
      </c>
      <c r="K2684" s="17">
        <f t="shared" si="329"/>
        <v>5318.6</v>
      </c>
      <c r="L2684" t="str">
        <f t="shared" si="330"/>
        <v>High Risk</v>
      </c>
      <c r="P2684" s="19">
        <f t="shared" si="331"/>
        <v>886</v>
      </c>
      <c r="R2684" s="19">
        <f t="shared" si="328"/>
        <v>173753.46000000002</v>
      </c>
      <c r="T2684" s="19">
        <f t="shared" si="332"/>
        <v>822331.54</v>
      </c>
      <c r="U2684" s="19">
        <f t="shared" si="333"/>
        <v>745021.89</v>
      </c>
      <c r="V2684" s="21">
        <f t="shared" si="334"/>
        <v>-77309.650000000023</v>
      </c>
      <c r="W2684" s="18">
        <f t="shared" si="335"/>
        <v>-9.4012750623671829E-2</v>
      </c>
    </row>
    <row r="2685" spans="1:23" x14ac:dyDescent="0.3">
      <c r="A2685" t="s">
        <v>546</v>
      </c>
      <c r="B2685" t="s">
        <v>547</v>
      </c>
      <c r="C2685" t="s">
        <v>50</v>
      </c>
      <c r="D2685" t="s">
        <v>20</v>
      </c>
      <c r="E2685">
        <v>4434</v>
      </c>
      <c r="F2685">
        <v>74.8</v>
      </c>
      <c r="G2685">
        <v>72.05</v>
      </c>
      <c r="H2685">
        <v>74.8</v>
      </c>
      <c r="I2685">
        <v>3979</v>
      </c>
      <c r="J2685">
        <v>48</v>
      </c>
      <c r="K2685" s="17">
        <f t="shared" si="329"/>
        <v>6366.4</v>
      </c>
      <c r="L2685" t="str">
        <f t="shared" si="330"/>
        <v>High Risk</v>
      </c>
      <c r="P2685" s="19">
        <f t="shared" si="331"/>
        <v>1933</v>
      </c>
      <c r="R2685" s="19">
        <f t="shared" si="328"/>
        <v>144588.4</v>
      </c>
      <c r="T2685" s="19">
        <f t="shared" si="332"/>
        <v>286686.95</v>
      </c>
      <c r="U2685" s="19">
        <f t="shared" si="333"/>
        <v>297629.2</v>
      </c>
      <c r="V2685" s="21">
        <f t="shared" si="334"/>
        <v>10942.25</v>
      </c>
      <c r="W2685" s="18">
        <f t="shared" si="335"/>
        <v>3.8167938931297711E-2</v>
      </c>
    </row>
    <row r="2686" spans="1:23" x14ac:dyDescent="0.3">
      <c r="A2686" t="s">
        <v>141</v>
      </c>
      <c r="B2686" t="s">
        <v>142</v>
      </c>
      <c r="C2686" t="s">
        <v>37</v>
      </c>
      <c r="D2686" t="s">
        <v>20</v>
      </c>
      <c r="E2686">
        <v>4435</v>
      </c>
      <c r="F2686">
        <v>464.6</v>
      </c>
      <c r="G2686">
        <v>393.21</v>
      </c>
      <c r="H2686">
        <v>464.6</v>
      </c>
      <c r="I2686">
        <v>1780</v>
      </c>
      <c r="J2686">
        <v>56</v>
      </c>
      <c r="K2686" s="17">
        <f t="shared" si="329"/>
        <v>3322.666666666667</v>
      </c>
      <c r="L2686" t="str">
        <f t="shared" si="330"/>
        <v>Sufficuent Stock</v>
      </c>
      <c r="P2686" s="19">
        <f t="shared" si="331"/>
        <v>0</v>
      </c>
      <c r="R2686" s="19">
        <f t="shared" si="328"/>
        <v>0</v>
      </c>
      <c r="T2686" s="19">
        <f t="shared" si="332"/>
        <v>699913.79999999993</v>
      </c>
      <c r="U2686" s="19">
        <f t="shared" si="333"/>
        <v>826988</v>
      </c>
      <c r="V2686" s="21">
        <f t="shared" si="334"/>
        <v>127074.20000000007</v>
      </c>
      <c r="W2686" s="18">
        <f t="shared" si="335"/>
        <v>0.18155692886752636</v>
      </c>
    </row>
    <row r="2687" spans="1:23" x14ac:dyDescent="0.3">
      <c r="A2687" t="s">
        <v>48</v>
      </c>
      <c r="B2687" t="s">
        <v>49</v>
      </c>
      <c r="C2687" t="s">
        <v>50</v>
      </c>
      <c r="D2687" t="s">
        <v>17</v>
      </c>
      <c r="E2687">
        <v>4435</v>
      </c>
      <c r="F2687">
        <v>201.93</v>
      </c>
      <c r="G2687">
        <v>206.13</v>
      </c>
      <c r="H2687">
        <v>201.93</v>
      </c>
      <c r="I2687">
        <v>3895</v>
      </c>
      <c r="J2687">
        <v>48</v>
      </c>
      <c r="K2687" s="17">
        <f t="shared" si="329"/>
        <v>6232</v>
      </c>
      <c r="L2687" t="str">
        <f t="shared" si="330"/>
        <v>High Risk</v>
      </c>
      <c r="P2687" s="19">
        <f t="shared" si="331"/>
        <v>1797</v>
      </c>
      <c r="R2687" s="19">
        <f t="shared" si="328"/>
        <v>362868.21</v>
      </c>
      <c r="T2687" s="19">
        <f t="shared" si="332"/>
        <v>802876.35</v>
      </c>
      <c r="U2687" s="19">
        <f t="shared" si="333"/>
        <v>786517.35</v>
      </c>
      <c r="V2687" s="21">
        <f t="shared" si="334"/>
        <v>-16359</v>
      </c>
      <c r="W2687" s="18">
        <f t="shared" si="335"/>
        <v>-2.037549119487702E-2</v>
      </c>
    </row>
    <row r="2688" spans="1:23" x14ac:dyDescent="0.3">
      <c r="A2688" t="s">
        <v>335</v>
      </c>
      <c r="B2688" t="s">
        <v>747</v>
      </c>
      <c r="C2688" t="s">
        <v>50</v>
      </c>
      <c r="D2688" t="s">
        <v>13</v>
      </c>
      <c r="E2688">
        <v>4438</v>
      </c>
      <c r="F2688">
        <v>29.31</v>
      </c>
      <c r="G2688">
        <v>28.2</v>
      </c>
      <c r="H2688">
        <v>29.31</v>
      </c>
      <c r="I2688">
        <v>2139</v>
      </c>
      <c r="J2688">
        <v>13</v>
      </c>
      <c r="K2688" s="17">
        <f t="shared" si="329"/>
        <v>926.9</v>
      </c>
      <c r="L2688" t="str">
        <f t="shared" si="330"/>
        <v>Sufficuent Stock</v>
      </c>
      <c r="P2688" s="19">
        <f t="shared" si="331"/>
        <v>0</v>
      </c>
      <c r="R2688" s="19">
        <f t="shared" si="328"/>
        <v>0</v>
      </c>
      <c r="T2688" s="19">
        <f t="shared" si="332"/>
        <v>60319.799999999996</v>
      </c>
      <c r="U2688" s="19">
        <f t="shared" si="333"/>
        <v>62694.09</v>
      </c>
      <c r="V2688" s="21">
        <f t="shared" si="334"/>
        <v>2374.2900000000009</v>
      </c>
      <c r="W2688" s="18">
        <f t="shared" si="335"/>
        <v>3.936170212765959E-2</v>
      </c>
    </row>
    <row r="2689" spans="1:23" x14ac:dyDescent="0.3">
      <c r="A2689" t="s">
        <v>487</v>
      </c>
      <c r="B2689" t="s">
        <v>1575</v>
      </c>
      <c r="C2689" t="s">
        <v>12</v>
      </c>
      <c r="D2689" t="s">
        <v>69</v>
      </c>
      <c r="E2689">
        <v>4438</v>
      </c>
      <c r="F2689">
        <v>41.45</v>
      </c>
      <c r="G2689">
        <v>36.520000000000003</v>
      </c>
      <c r="H2689">
        <v>41.45</v>
      </c>
      <c r="I2689">
        <v>3883</v>
      </c>
      <c r="J2689">
        <v>86</v>
      </c>
      <c r="K2689" s="17">
        <f t="shared" si="329"/>
        <v>11131.266666666666</v>
      </c>
      <c r="L2689" t="str">
        <f t="shared" si="330"/>
        <v>High Risk</v>
      </c>
      <c r="P2689" s="19">
        <f t="shared" si="331"/>
        <v>6694</v>
      </c>
      <c r="R2689" s="19">
        <f t="shared" si="328"/>
        <v>277466.30000000005</v>
      </c>
      <c r="T2689" s="19">
        <f t="shared" si="332"/>
        <v>141807.16</v>
      </c>
      <c r="U2689" s="19">
        <f t="shared" si="333"/>
        <v>160950.35</v>
      </c>
      <c r="V2689" s="21">
        <f t="shared" si="334"/>
        <v>19143.190000000002</v>
      </c>
      <c r="W2689" s="18">
        <f t="shared" si="335"/>
        <v>0.13499452354874042</v>
      </c>
    </row>
    <row r="2690" spans="1:23" x14ac:dyDescent="0.3">
      <c r="A2690" t="s">
        <v>94</v>
      </c>
      <c r="B2690" t="s">
        <v>95</v>
      </c>
      <c r="C2690" t="s">
        <v>12</v>
      </c>
      <c r="D2690" t="s">
        <v>17</v>
      </c>
      <c r="E2690">
        <v>4440</v>
      </c>
      <c r="F2690">
        <v>419.61</v>
      </c>
      <c r="G2690">
        <v>370.29</v>
      </c>
      <c r="H2690">
        <v>419.61</v>
      </c>
      <c r="I2690">
        <v>3197</v>
      </c>
      <c r="J2690">
        <v>26</v>
      </c>
      <c r="K2690" s="17">
        <f t="shared" si="329"/>
        <v>2770.7333333333331</v>
      </c>
      <c r="L2690" t="str">
        <f t="shared" si="330"/>
        <v>Sufficuent Stock</v>
      </c>
      <c r="P2690" s="19">
        <f t="shared" si="331"/>
        <v>0</v>
      </c>
      <c r="R2690" s="19">
        <f t="shared" ref="R2690:R2753" si="336">P2690*H2690</f>
        <v>0</v>
      </c>
      <c r="T2690" s="19">
        <f t="shared" si="332"/>
        <v>1183817.1300000001</v>
      </c>
      <c r="U2690" s="19">
        <f t="shared" si="333"/>
        <v>1341493.1700000002</v>
      </c>
      <c r="V2690" s="21">
        <f t="shared" si="334"/>
        <v>157676.04000000004</v>
      </c>
      <c r="W2690" s="18">
        <f t="shared" si="335"/>
        <v>0.13319290285992061</v>
      </c>
    </row>
    <row r="2691" spans="1:23" x14ac:dyDescent="0.3">
      <c r="A2691" t="s">
        <v>57</v>
      </c>
      <c r="B2691" t="s">
        <v>1256</v>
      </c>
      <c r="C2691" t="s">
        <v>37</v>
      </c>
      <c r="D2691" t="s">
        <v>13</v>
      </c>
      <c r="E2691">
        <v>4444</v>
      </c>
      <c r="F2691">
        <v>53.09</v>
      </c>
      <c r="G2691">
        <v>46.72</v>
      </c>
      <c r="H2691">
        <v>53.09</v>
      </c>
      <c r="I2691">
        <v>213</v>
      </c>
      <c r="J2691">
        <v>35</v>
      </c>
      <c r="K2691" s="17">
        <f t="shared" ref="K2691:K2754" si="337">(I2691/30)*J2691</f>
        <v>248.5</v>
      </c>
      <c r="L2691" t="str">
        <f t="shared" ref="L2691:L2754" si="338">IF(E2691&lt;K2691,"High Risk","Sufficuent Stock")</f>
        <v>Sufficuent Stock</v>
      </c>
      <c r="P2691" s="19">
        <f t="shared" ref="P2691:P2754" si="339">ROUNDUP(MAX(0,K2691-E2691),0)</f>
        <v>0</v>
      </c>
      <c r="R2691" s="19">
        <f t="shared" si="336"/>
        <v>0</v>
      </c>
      <c r="T2691" s="19">
        <f t="shared" ref="T2691:T2754" si="340">I2691*G2691</f>
        <v>9951.36</v>
      </c>
      <c r="U2691" s="19">
        <f t="shared" ref="U2691:U2754" si="341">I2691*H2691</f>
        <v>11308.17</v>
      </c>
      <c r="V2691" s="21">
        <f t="shared" ref="V2691:V2754" si="342">U2691-T2691</f>
        <v>1356.8099999999995</v>
      </c>
      <c r="W2691" s="18">
        <f t="shared" ref="W2691:W2754" si="343">IFERROR(V2691/T2691,0)</f>
        <v>0.13634417808219171</v>
      </c>
    </row>
    <row r="2692" spans="1:23" x14ac:dyDescent="0.3">
      <c r="A2692" t="s">
        <v>500</v>
      </c>
      <c r="B2692" t="s">
        <v>1365</v>
      </c>
      <c r="C2692" t="s">
        <v>37</v>
      </c>
      <c r="D2692" t="s">
        <v>13</v>
      </c>
      <c r="E2692">
        <v>4447</v>
      </c>
      <c r="F2692">
        <v>173.11</v>
      </c>
      <c r="G2692">
        <v>171.1</v>
      </c>
      <c r="H2692">
        <v>173.11</v>
      </c>
      <c r="I2692">
        <v>2069</v>
      </c>
      <c r="J2692">
        <v>66</v>
      </c>
      <c r="K2692" s="17">
        <f t="shared" si="337"/>
        <v>4551.8</v>
      </c>
      <c r="L2692" t="str">
        <f t="shared" si="338"/>
        <v>High Risk</v>
      </c>
      <c r="P2692" s="19">
        <f t="shared" si="339"/>
        <v>105</v>
      </c>
      <c r="R2692" s="19">
        <f t="shared" si="336"/>
        <v>18176.550000000003</v>
      </c>
      <c r="T2692" s="19">
        <f t="shared" si="340"/>
        <v>354005.89999999997</v>
      </c>
      <c r="U2692" s="19">
        <f t="shared" si="341"/>
        <v>358164.59</v>
      </c>
      <c r="V2692" s="21">
        <f t="shared" si="342"/>
        <v>4158.6900000000605</v>
      </c>
      <c r="W2692" s="18">
        <f t="shared" si="343"/>
        <v>1.1747516072472411E-2</v>
      </c>
    </row>
    <row r="2693" spans="1:23" x14ac:dyDescent="0.3">
      <c r="A2693" t="s">
        <v>782</v>
      </c>
      <c r="B2693" t="s">
        <v>841</v>
      </c>
      <c r="C2693" t="s">
        <v>16</v>
      </c>
      <c r="D2693" t="s">
        <v>69</v>
      </c>
      <c r="E2693">
        <v>4451</v>
      </c>
      <c r="F2693">
        <v>383.22</v>
      </c>
      <c r="G2693">
        <v>345.72</v>
      </c>
      <c r="H2693">
        <v>383.22</v>
      </c>
      <c r="I2693">
        <v>2466</v>
      </c>
      <c r="J2693">
        <v>18</v>
      </c>
      <c r="K2693" s="17">
        <f t="shared" si="337"/>
        <v>1479.6000000000001</v>
      </c>
      <c r="L2693" t="str">
        <f t="shared" si="338"/>
        <v>Sufficuent Stock</v>
      </c>
      <c r="P2693" s="19">
        <f t="shared" si="339"/>
        <v>0</v>
      </c>
      <c r="R2693" s="19">
        <f t="shared" si="336"/>
        <v>0</v>
      </c>
      <c r="T2693" s="19">
        <f t="shared" si="340"/>
        <v>852545.52</v>
      </c>
      <c r="U2693" s="19">
        <f t="shared" si="341"/>
        <v>945020.52</v>
      </c>
      <c r="V2693" s="21">
        <f t="shared" si="342"/>
        <v>92475</v>
      </c>
      <c r="W2693" s="18">
        <f t="shared" si="343"/>
        <v>0.10846928149947935</v>
      </c>
    </row>
    <row r="2694" spans="1:23" x14ac:dyDescent="0.3">
      <c r="A2694" t="s">
        <v>59</v>
      </c>
      <c r="B2694" t="s">
        <v>493</v>
      </c>
      <c r="C2694" t="s">
        <v>16</v>
      </c>
      <c r="D2694" t="s">
        <v>20</v>
      </c>
      <c r="E2694">
        <v>4455</v>
      </c>
      <c r="F2694">
        <v>293.68</v>
      </c>
      <c r="G2694">
        <v>272.55</v>
      </c>
      <c r="H2694">
        <v>293.68</v>
      </c>
      <c r="I2694">
        <v>684</v>
      </c>
      <c r="J2694">
        <v>11</v>
      </c>
      <c r="K2694" s="17">
        <f t="shared" si="337"/>
        <v>250.8</v>
      </c>
      <c r="L2694" t="str">
        <f t="shared" si="338"/>
        <v>Sufficuent Stock</v>
      </c>
      <c r="P2694" s="19">
        <f t="shared" si="339"/>
        <v>0</v>
      </c>
      <c r="R2694" s="19">
        <f t="shared" si="336"/>
        <v>0</v>
      </c>
      <c r="T2694" s="19">
        <f t="shared" si="340"/>
        <v>186424.2</v>
      </c>
      <c r="U2694" s="19">
        <f t="shared" si="341"/>
        <v>200877.12</v>
      </c>
      <c r="V2694" s="21">
        <f t="shared" si="342"/>
        <v>14452.919999999984</v>
      </c>
      <c r="W2694" s="18">
        <f t="shared" si="343"/>
        <v>7.752705925518244E-2</v>
      </c>
    </row>
    <row r="2695" spans="1:23" x14ac:dyDescent="0.3">
      <c r="A2695" t="s">
        <v>129</v>
      </c>
      <c r="B2695" t="s">
        <v>237</v>
      </c>
      <c r="C2695" t="s">
        <v>23</v>
      </c>
      <c r="D2695" t="s">
        <v>17</v>
      </c>
      <c r="E2695">
        <v>4455</v>
      </c>
      <c r="F2695">
        <v>56.25</v>
      </c>
      <c r="G2695">
        <v>57.68</v>
      </c>
      <c r="H2695">
        <v>56.25</v>
      </c>
      <c r="I2695">
        <v>2133</v>
      </c>
      <c r="J2695">
        <v>55</v>
      </c>
      <c r="K2695" s="17">
        <f t="shared" si="337"/>
        <v>3910.4999999999995</v>
      </c>
      <c r="L2695" t="str">
        <f t="shared" si="338"/>
        <v>Sufficuent Stock</v>
      </c>
      <c r="P2695" s="19">
        <f t="shared" si="339"/>
        <v>0</v>
      </c>
      <c r="R2695" s="19">
        <f t="shared" si="336"/>
        <v>0</v>
      </c>
      <c r="T2695" s="19">
        <f t="shared" si="340"/>
        <v>123031.44</v>
      </c>
      <c r="U2695" s="19">
        <f t="shared" si="341"/>
        <v>119981.25</v>
      </c>
      <c r="V2695" s="21">
        <f t="shared" si="342"/>
        <v>-3050.1900000000023</v>
      </c>
      <c r="W2695" s="18">
        <f t="shared" si="343"/>
        <v>-2.4791955617198352E-2</v>
      </c>
    </row>
    <row r="2696" spans="1:23" x14ac:dyDescent="0.3">
      <c r="A2696" t="s">
        <v>278</v>
      </c>
      <c r="B2696" t="s">
        <v>1521</v>
      </c>
      <c r="C2696" t="s">
        <v>23</v>
      </c>
      <c r="D2696" t="s">
        <v>17</v>
      </c>
      <c r="E2696">
        <v>4457</v>
      </c>
      <c r="F2696">
        <v>402.45</v>
      </c>
      <c r="G2696">
        <v>374.69</v>
      </c>
      <c r="H2696">
        <v>402.45</v>
      </c>
      <c r="I2696">
        <v>911</v>
      </c>
      <c r="J2696">
        <v>24</v>
      </c>
      <c r="K2696" s="17">
        <f t="shared" si="337"/>
        <v>728.8</v>
      </c>
      <c r="L2696" t="str">
        <f t="shared" si="338"/>
        <v>Sufficuent Stock</v>
      </c>
      <c r="P2696" s="19">
        <f t="shared" si="339"/>
        <v>0</v>
      </c>
      <c r="R2696" s="19">
        <f t="shared" si="336"/>
        <v>0</v>
      </c>
      <c r="T2696" s="19">
        <f t="shared" si="340"/>
        <v>341342.59</v>
      </c>
      <c r="U2696" s="19">
        <f t="shared" si="341"/>
        <v>366631.95</v>
      </c>
      <c r="V2696" s="21">
        <f t="shared" si="342"/>
        <v>25289.359999999986</v>
      </c>
      <c r="W2696" s="18">
        <f t="shared" si="343"/>
        <v>7.4087912674477521E-2</v>
      </c>
    </row>
    <row r="2697" spans="1:23" x14ac:dyDescent="0.3">
      <c r="A2697" t="s">
        <v>949</v>
      </c>
      <c r="B2697" t="s">
        <v>1337</v>
      </c>
      <c r="C2697" t="s">
        <v>50</v>
      </c>
      <c r="D2697" t="s">
        <v>26</v>
      </c>
      <c r="E2697">
        <v>4460</v>
      </c>
      <c r="F2697">
        <v>323.91000000000003</v>
      </c>
      <c r="G2697">
        <v>294.8</v>
      </c>
      <c r="H2697">
        <v>323.91000000000003</v>
      </c>
      <c r="I2697">
        <v>1213</v>
      </c>
      <c r="J2697">
        <v>43</v>
      </c>
      <c r="K2697" s="17">
        <f t="shared" si="337"/>
        <v>1738.6333333333332</v>
      </c>
      <c r="L2697" t="str">
        <f t="shared" si="338"/>
        <v>Sufficuent Stock</v>
      </c>
      <c r="P2697" s="19">
        <f t="shared" si="339"/>
        <v>0</v>
      </c>
      <c r="R2697" s="19">
        <f t="shared" si="336"/>
        <v>0</v>
      </c>
      <c r="T2697" s="19">
        <f t="shared" si="340"/>
        <v>357592.4</v>
      </c>
      <c r="U2697" s="19">
        <f t="shared" si="341"/>
        <v>392902.83</v>
      </c>
      <c r="V2697" s="21">
        <f t="shared" si="342"/>
        <v>35310.429999999993</v>
      </c>
      <c r="W2697" s="18">
        <f t="shared" si="343"/>
        <v>9.874491180461327E-2</v>
      </c>
    </row>
    <row r="2698" spans="1:23" x14ac:dyDescent="0.3">
      <c r="A2698" t="s">
        <v>303</v>
      </c>
      <c r="B2698" t="s">
        <v>1437</v>
      </c>
      <c r="C2698" t="s">
        <v>12</v>
      </c>
      <c r="D2698" t="s">
        <v>69</v>
      </c>
      <c r="E2698">
        <v>4461</v>
      </c>
      <c r="F2698">
        <v>436.74</v>
      </c>
      <c r="G2698">
        <v>410.33</v>
      </c>
      <c r="H2698">
        <v>436.74</v>
      </c>
      <c r="I2698">
        <v>2197</v>
      </c>
      <c r="J2698">
        <v>66</v>
      </c>
      <c r="K2698" s="17">
        <f t="shared" si="337"/>
        <v>4833.3999999999996</v>
      </c>
      <c r="L2698" t="str">
        <f t="shared" si="338"/>
        <v>High Risk</v>
      </c>
      <c r="P2698" s="19">
        <f t="shared" si="339"/>
        <v>373</v>
      </c>
      <c r="R2698" s="19">
        <f t="shared" si="336"/>
        <v>162904.01999999999</v>
      </c>
      <c r="T2698" s="19">
        <f t="shared" si="340"/>
        <v>901495.01</v>
      </c>
      <c r="U2698" s="19">
        <f t="shared" si="341"/>
        <v>959517.78</v>
      </c>
      <c r="V2698" s="21">
        <f t="shared" si="342"/>
        <v>58022.770000000019</v>
      </c>
      <c r="W2698" s="18">
        <f t="shared" si="343"/>
        <v>6.4362829917383596E-2</v>
      </c>
    </row>
    <row r="2699" spans="1:23" x14ac:dyDescent="0.3">
      <c r="A2699" t="s">
        <v>33</v>
      </c>
      <c r="B2699" t="s">
        <v>883</v>
      </c>
      <c r="C2699" t="s">
        <v>12</v>
      </c>
      <c r="D2699" t="s">
        <v>26</v>
      </c>
      <c r="E2699">
        <v>4463</v>
      </c>
      <c r="F2699">
        <v>127.48</v>
      </c>
      <c r="G2699">
        <v>129.01</v>
      </c>
      <c r="H2699">
        <v>127.48</v>
      </c>
      <c r="I2699">
        <v>3110</v>
      </c>
      <c r="J2699">
        <v>16</v>
      </c>
      <c r="K2699" s="17">
        <f t="shared" si="337"/>
        <v>1658.6666666666667</v>
      </c>
      <c r="L2699" t="str">
        <f t="shared" si="338"/>
        <v>Sufficuent Stock</v>
      </c>
      <c r="P2699" s="19">
        <f t="shared" si="339"/>
        <v>0</v>
      </c>
      <c r="R2699" s="19">
        <f t="shared" si="336"/>
        <v>0</v>
      </c>
      <c r="T2699" s="19">
        <f t="shared" si="340"/>
        <v>401221.1</v>
      </c>
      <c r="U2699" s="19">
        <f t="shared" si="341"/>
        <v>396462.8</v>
      </c>
      <c r="V2699" s="21">
        <f t="shared" si="342"/>
        <v>-4758.2999999999884</v>
      </c>
      <c r="W2699" s="18">
        <f t="shared" si="343"/>
        <v>-1.185954577164558E-2</v>
      </c>
    </row>
    <row r="2700" spans="1:23" x14ac:dyDescent="0.3">
      <c r="A2700" t="s">
        <v>626</v>
      </c>
      <c r="B2700" t="s">
        <v>2605</v>
      </c>
      <c r="C2700" t="s">
        <v>37</v>
      </c>
      <c r="D2700" t="s">
        <v>13</v>
      </c>
      <c r="E2700">
        <v>4464</v>
      </c>
      <c r="F2700">
        <v>298.63</v>
      </c>
      <c r="G2700">
        <v>284.91000000000003</v>
      </c>
      <c r="H2700">
        <v>298.63</v>
      </c>
      <c r="I2700">
        <v>1398</v>
      </c>
      <c r="J2700">
        <v>35</v>
      </c>
      <c r="K2700" s="17">
        <f t="shared" si="337"/>
        <v>1631</v>
      </c>
      <c r="L2700" t="str">
        <f t="shared" si="338"/>
        <v>Sufficuent Stock</v>
      </c>
      <c r="P2700" s="19">
        <f t="shared" si="339"/>
        <v>0</v>
      </c>
      <c r="R2700" s="19">
        <f t="shared" si="336"/>
        <v>0</v>
      </c>
      <c r="T2700" s="19">
        <f t="shared" si="340"/>
        <v>398304.18000000005</v>
      </c>
      <c r="U2700" s="19">
        <f t="shared" si="341"/>
        <v>417484.74</v>
      </c>
      <c r="V2700" s="21">
        <f t="shared" si="342"/>
        <v>19180.559999999939</v>
      </c>
      <c r="W2700" s="18">
        <f t="shared" si="343"/>
        <v>4.8155557895475605E-2</v>
      </c>
    </row>
    <row r="2701" spans="1:23" x14ac:dyDescent="0.3">
      <c r="A2701" t="s">
        <v>727</v>
      </c>
      <c r="B2701" t="s">
        <v>728</v>
      </c>
      <c r="C2701" t="s">
        <v>37</v>
      </c>
      <c r="D2701" t="s">
        <v>69</v>
      </c>
      <c r="E2701">
        <v>4465</v>
      </c>
      <c r="F2701">
        <v>458.7</v>
      </c>
      <c r="G2701">
        <v>490.6</v>
      </c>
      <c r="H2701">
        <v>458.7</v>
      </c>
      <c r="I2701">
        <v>2858</v>
      </c>
      <c r="J2701">
        <v>80</v>
      </c>
      <c r="K2701" s="17">
        <f t="shared" si="337"/>
        <v>7621.333333333333</v>
      </c>
      <c r="L2701" t="str">
        <f t="shared" si="338"/>
        <v>High Risk</v>
      </c>
      <c r="P2701" s="19">
        <f t="shared" si="339"/>
        <v>3157</v>
      </c>
      <c r="R2701" s="19">
        <f t="shared" si="336"/>
        <v>1448115.9</v>
      </c>
      <c r="T2701" s="19">
        <f t="shared" si="340"/>
        <v>1402134.8</v>
      </c>
      <c r="U2701" s="19">
        <f t="shared" si="341"/>
        <v>1310964.5999999999</v>
      </c>
      <c r="V2701" s="21">
        <f t="shared" si="342"/>
        <v>-91170.200000000186</v>
      </c>
      <c r="W2701" s="18">
        <f t="shared" si="343"/>
        <v>-6.5022421524663809E-2</v>
      </c>
    </row>
    <row r="2702" spans="1:23" x14ac:dyDescent="0.3">
      <c r="A2702" t="s">
        <v>253</v>
      </c>
      <c r="B2702" t="s">
        <v>1031</v>
      </c>
      <c r="C2702" t="s">
        <v>16</v>
      </c>
      <c r="D2702" t="s">
        <v>17</v>
      </c>
      <c r="E2702">
        <v>4465</v>
      </c>
      <c r="F2702">
        <v>282.76</v>
      </c>
      <c r="G2702">
        <v>267.41000000000003</v>
      </c>
      <c r="H2702">
        <v>282.76</v>
      </c>
      <c r="I2702">
        <v>3150</v>
      </c>
      <c r="J2702">
        <v>5</v>
      </c>
      <c r="K2702" s="17">
        <f t="shared" si="337"/>
        <v>525</v>
      </c>
      <c r="L2702" t="str">
        <f t="shared" si="338"/>
        <v>Sufficuent Stock</v>
      </c>
      <c r="P2702" s="19">
        <f t="shared" si="339"/>
        <v>0</v>
      </c>
      <c r="R2702" s="19">
        <f t="shared" si="336"/>
        <v>0</v>
      </c>
      <c r="T2702" s="19">
        <f t="shared" si="340"/>
        <v>842341.50000000012</v>
      </c>
      <c r="U2702" s="19">
        <f t="shared" si="341"/>
        <v>890694</v>
      </c>
      <c r="V2702" s="21">
        <f t="shared" si="342"/>
        <v>48352.499999999884</v>
      </c>
      <c r="W2702" s="18">
        <f t="shared" si="343"/>
        <v>5.7402490557570622E-2</v>
      </c>
    </row>
    <row r="2703" spans="1:23" x14ac:dyDescent="0.3">
      <c r="A2703" t="s">
        <v>123</v>
      </c>
      <c r="B2703" t="s">
        <v>1406</v>
      </c>
      <c r="C2703" t="s">
        <v>23</v>
      </c>
      <c r="D2703" t="s">
        <v>13</v>
      </c>
      <c r="E2703">
        <v>4469</v>
      </c>
      <c r="F2703">
        <v>423.41</v>
      </c>
      <c r="G2703">
        <v>470.36</v>
      </c>
      <c r="H2703">
        <v>423.41</v>
      </c>
      <c r="I2703">
        <v>761</v>
      </c>
      <c r="J2703">
        <v>57</v>
      </c>
      <c r="K2703" s="17">
        <f t="shared" si="337"/>
        <v>1445.9</v>
      </c>
      <c r="L2703" t="str">
        <f t="shared" si="338"/>
        <v>Sufficuent Stock</v>
      </c>
      <c r="P2703" s="19">
        <f t="shared" si="339"/>
        <v>0</v>
      </c>
      <c r="R2703" s="19">
        <f t="shared" si="336"/>
        <v>0</v>
      </c>
      <c r="T2703" s="19">
        <f t="shared" si="340"/>
        <v>357943.96</v>
      </c>
      <c r="U2703" s="19">
        <f t="shared" si="341"/>
        <v>322215.01</v>
      </c>
      <c r="V2703" s="21">
        <f t="shared" si="342"/>
        <v>-35728.950000000012</v>
      </c>
      <c r="W2703" s="18">
        <f t="shared" si="343"/>
        <v>-9.9817161323241796E-2</v>
      </c>
    </row>
    <row r="2704" spans="1:23" x14ac:dyDescent="0.3">
      <c r="A2704" t="s">
        <v>193</v>
      </c>
      <c r="B2704" t="s">
        <v>1885</v>
      </c>
      <c r="C2704" t="s">
        <v>23</v>
      </c>
      <c r="D2704" t="s">
        <v>26</v>
      </c>
      <c r="E2704">
        <v>4469</v>
      </c>
      <c r="F2704">
        <v>167.8</v>
      </c>
      <c r="G2704">
        <v>166.97</v>
      </c>
      <c r="H2704">
        <v>167.8</v>
      </c>
      <c r="I2704">
        <v>228</v>
      </c>
      <c r="J2704">
        <v>89</v>
      </c>
      <c r="K2704" s="17">
        <f t="shared" si="337"/>
        <v>676.4</v>
      </c>
      <c r="L2704" t="str">
        <f t="shared" si="338"/>
        <v>Sufficuent Stock</v>
      </c>
      <c r="P2704" s="19">
        <f t="shared" si="339"/>
        <v>0</v>
      </c>
      <c r="R2704" s="19">
        <f t="shared" si="336"/>
        <v>0</v>
      </c>
      <c r="T2704" s="19">
        <f t="shared" si="340"/>
        <v>38069.159999999996</v>
      </c>
      <c r="U2704" s="19">
        <f t="shared" si="341"/>
        <v>38258.400000000001</v>
      </c>
      <c r="V2704" s="21">
        <f t="shared" si="342"/>
        <v>189.24000000000524</v>
      </c>
      <c r="W2704" s="18">
        <f t="shared" si="343"/>
        <v>4.970952865784411E-3</v>
      </c>
    </row>
    <row r="2705" spans="1:23" x14ac:dyDescent="0.3">
      <c r="A2705" t="s">
        <v>193</v>
      </c>
      <c r="B2705" t="s">
        <v>429</v>
      </c>
      <c r="C2705" t="s">
        <v>16</v>
      </c>
      <c r="D2705" t="s">
        <v>17</v>
      </c>
      <c r="E2705">
        <v>4470</v>
      </c>
      <c r="F2705">
        <v>196.14</v>
      </c>
      <c r="G2705">
        <v>213.85</v>
      </c>
      <c r="H2705">
        <v>196.14</v>
      </c>
      <c r="I2705">
        <v>1278</v>
      </c>
      <c r="J2705">
        <v>66</v>
      </c>
      <c r="K2705" s="17">
        <f t="shared" si="337"/>
        <v>2811.6</v>
      </c>
      <c r="L2705" t="str">
        <f t="shared" si="338"/>
        <v>Sufficuent Stock</v>
      </c>
      <c r="P2705" s="19">
        <f t="shared" si="339"/>
        <v>0</v>
      </c>
      <c r="R2705" s="19">
        <f t="shared" si="336"/>
        <v>0</v>
      </c>
      <c r="T2705" s="19">
        <f t="shared" si="340"/>
        <v>273300.3</v>
      </c>
      <c r="U2705" s="19">
        <f t="shared" si="341"/>
        <v>250666.91999999998</v>
      </c>
      <c r="V2705" s="21">
        <f t="shared" si="342"/>
        <v>-22633.380000000005</v>
      </c>
      <c r="W2705" s="18">
        <f t="shared" si="343"/>
        <v>-8.281505728314241E-2</v>
      </c>
    </row>
    <row r="2706" spans="1:23" x14ac:dyDescent="0.3">
      <c r="A2706" t="s">
        <v>88</v>
      </c>
      <c r="B2706" t="s">
        <v>1977</v>
      </c>
      <c r="C2706" t="s">
        <v>12</v>
      </c>
      <c r="D2706" t="s">
        <v>69</v>
      </c>
      <c r="E2706">
        <v>4470</v>
      </c>
      <c r="F2706">
        <v>243.74</v>
      </c>
      <c r="G2706">
        <v>214.68</v>
      </c>
      <c r="H2706">
        <v>243.74</v>
      </c>
      <c r="I2706">
        <v>583</v>
      </c>
      <c r="J2706">
        <v>54</v>
      </c>
      <c r="K2706" s="17">
        <f t="shared" si="337"/>
        <v>1049.4000000000001</v>
      </c>
      <c r="L2706" t="str">
        <f t="shared" si="338"/>
        <v>Sufficuent Stock</v>
      </c>
      <c r="P2706" s="19">
        <f t="shared" si="339"/>
        <v>0</v>
      </c>
      <c r="R2706" s="19">
        <f t="shared" si="336"/>
        <v>0</v>
      </c>
      <c r="T2706" s="19">
        <f t="shared" si="340"/>
        <v>125158.44</v>
      </c>
      <c r="U2706" s="19">
        <f t="shared" si="341"/>
        <v>142100.42000000001</v>
      </c>
      <c r="V2706" s="21">
        <f t="shared" si="342"/>
        <v>16941.98000000001</v>
      </c>
      <c r="W2706" s="18">
        <f t="shared" si="343"/>
        <v>0.1353642630892492</v>
      </c>
    </row>
    <row r="2707" spans="1:23" x14ac:dyDescent="0.3">
      <c r="A2707" t="s">
        <v>363</v>
      </c>
      <c r="B2707" t="s">
        <v>1708</v>
      </c>
      <c r="C2707" t="s">
        <v>37</v>
      </c>
      <c r="D2707" t="s">
        <v>20</v>
      </c>
      <c r="E2707">
        <v>4471</v>
      </c>
      <c r="F2707">
        <v>401.2</v>
      </c>
      <c r="G2707">
        <v>338.79</v>
      </c>
      <c r="H2707">
        <v>401.2</v>
      </c>
      <c r="I2707">
        <v>3086</v>
      </c>
      <c r="J2707">
        <v>9</v>
      </c>
      <c r="K2707" s="17">
        <f t="shared" si="337"/>
        <v>925.8</v>
      </c>
      <c r="L2707" t="str">
        <f t="shared" si="338"/>
        <v>Sufficuent Stock</v>
      </c>
      <c r="P2707" s="19">
        <f t="shared" si="339"/>
        <v>0</v>
      </c>
      <c r="R2707" s="19">
        <f t="shared" si="336"/>
        <v>0</v>
      </c>
      <c r="T2707" s="19">
        <f t="shared" si="340"/>
        <v>1045505.9400000001</v>
      </c>
      <c r="U2707" s="19">
        <f t="shared" si="341"/>
        <v>1238103.2</v>
      </c>
      <c r="V2707" s="21">
        <f t="shared" si="342"/>
        <v>192597.25999999989</v>
      </c>
      <c r="W2707" s="18">
        <f t="shared" si="343"/>
        <v>0.18421441010655557</v>
      </c>
    </row>
    <row r="2708" spans="1:23" x14ac:dyDescent="0.3">
      <c r="A2708" t="s">
        <v>436</v>
      </c>
      <c r="B2708" t="s">
        <v>537</v>
      </c>
      <c r="C2708" t="s">
        <v>23</v>
      </c>
      <c r="D2708" t="s">
        <v>26</v>
      </c>
      <c r="E2708">
        <v>4473</v>
      </c>
      <c r="F2708">
        <v>359.61</v>
      </c>
      <c r="G2708">
        <v>394.85</v>
      </c>
      <c r="H2708">
        <v>359.61</v>
      </c>
      <c r="I2708">
        <v>2273</v>
      </c>
      <c r="J2708">
        <v>7</v>
      </c>
      <c r="K2708" s="17">
        <f t="shared" si="337"/>
        <v>530.36666666666667</v>
      </c>
      <c r="L2708" t="str">
        <f t="shared" si="338"/>
        <v>Sufficuent Stock</v>
      </c>
      <c r="P2708" s="19">
        <f t="shared" si="339"/>
        <v>0</v>
      </c>
      <c r="R2708" s="19">
        <f t="shared" si="336"/>
        <v>0</v>
      </c>
      <c r="T2708" s="19">
        <f t="shared" si="340"/>
        <v>897494.05</v>
      </c>
      <c r="U2708" s="19">
        <f t="shared" si="341"/>
        <v>817393.53</v>
      </c>
      <c r="V2708" s="21">
        <f t="shared" si="342"/>
        <v>-80100.520000000019</v>
      </c>
      <c r="W2708" s="18">
        <f t="shared" si="343"/>
        <v>-8.9249081929846791E-2</v>
      </c>
    </row>
    <row r="2709" spans="1:23" x14ac:dyDescent="0.3">
      <c r="A2709" t="s">
        <v>727</v>
      </c>
      <c r="B2709" t="s">
        <v>1012</v>
      </c>
      <c r="C2709" t="s">
        <v>23</v>
      </c>
      <c r="D2709" t="s">
        <v>20</v>
      </c>
      <c r="E2709">
        <v>4476</v>
      </c>
      <c r="F2709">
        <v>469.83</v>
      </c>
      <c r="G2709">
        <v>476.02</v>
      </c>
      <c r="H2709">
        <v>469.83</v>
      </c>
      <c r="I2709">
        <v>1021</v>
      </c>
      <c r="J2709">
        <v>17</v>
      </c>
      <c r="K2709" s="17">
        <f t="shared" si="337"/>
        <v>578.56666666666661</v>
      </c>
      <c r="L2709" t="str">
        <f t="shared" si="338"/>
        <v>Sufficuent Stock</v>
      </c>
      <c r="P2709" s="19">
        <f t="shared" si="339"/>
        <v>0</v>
      </c>
      <c r="R2709" s="19">
        <f t="shared" si="336"/>
        <v>0</v>
      </c>
      <c r="T2709" s="19">
        <f t="shared" si="340"/>
        <v>486016.42</v>
      </c>
      <c r="U2709" s="19">
        <f t="shared" si="341"/>
        <v>479696.43</v>
      </c>
      <c r="V2709" s="21">
        <f t="shared" si="342"/>
        <v>-6319.9899999999907</v>
      </c>
      <c r="W2709" s="18">
        <f t="shared" si="343"/>
        <v>-1.3003655308600461E-2</v>
      </c>
    </row>
    <row r="2710" spans="1:23" x14ac:dyDescent="0.3">
      <c r="A2710" t="s">
        <v>205</v>
      </c>
      <c r="B2710" t="s">
        <v>358</v>
      </c>
      <c r="C2710" t="s">
        <v>12</v>
      </c>
      <c r="D2710" t="s">
        <v>20</v>
      </c>
      <c r="E2710">
        <v>4478</v>
      </c>
      <c r="F2710">
        <v>491.36</v>
      </c>
      <c r="G2710">
        <v>424.33</v>
      </c>
      <c r="H2710">
        <v>491.36</v>
      </c>
      <c r="I2710">
        <v>3946</v>
      </c>
      <c r="J2710">
        <v>80</v>
      </c>
      <c r="K2710" s="17">
        <f t="shared" si="337"/>
        <v>10522.666666666666</v>
      </c>
      <c r="L2710" t="str">
        <f t="shared" si="338"/>
        <v>High Risk</v>
      </c>
      <c r="P2710" s="19">
        <f t="shared" si="339"/>
        <v>6045</v>
      </c>
      <c r="R2710" s="19">
        <f t="shared" si="336"/>
        <v>2970271.2</v>
      </c>
      <c r="T2710" s="19">
        <f t="shared" si="340"/>
        <v>1674406.18</v>
      </c>
      <c r="U2710" s="19">
        <f t="shared" si="341"/>
        <v>1938906.56</v>
      </c>
      <c r="V2710" s="21">
        <f t="shared" si="342"/>
        <v>264500.38000000012</v>
      </c>
      <c r="W2710" s="18">
        <f t="shared" si="343"/>
        <v>0.15796667687884439</v>
      </c>
    </row>
    <row r="2711" spans="1:23" x14ac:dyDescent="0.3">
      <c r="A2711" t="s">
        <v>70</v>
      </c>
      <c r="B2711" t="s">
        <v>2806</v>
      </c>
      <c r="C2711" t="s">
        <v>16</v>
      </c>
      <c r="D2711" t="s">
        <v>20</v>
      </c>
      <c r="E2711">
        <v>4478</v>
      </c>
      <c r="F2711">
        <v>455.85</v>
      </c>
      <c r="G2711">
        <v>411.69</v>
      </c>
      <c r="H2711">
        <v>455.85</v>
      </c>
      <c r="I2711">
        <v>1765</v>
      </c>
      <c r="J2711">
        <v>13</v>
      </c>
      <c r="K2711" s="17">
        <f t="shared" si="337"/>
        <v>764.83333333333337</v>
      </c>
      <c r="L2711" t="str">
        <f t="shared" si="338"/>
        <v>Sufficuent Stock</v>
      </c>
      <c r="P2711" s="19">
        <f t="shared" si="339"/>
        <v>0</v>
      </c>
      <c r="R2711" s="19">
        <f t="shared" si="336"/>
        <v>0</v>
      </c>
      <c r="T2711" s="19">
        <f t="shared" si="340"/>
        <v>726632.85</v>
      </c>
      <c r="U2711" s="19">
        <f t="shared" si="341"/>
        <v>804575.25</v>
      </c>
      <c r="V2711" s="21">
        <f t="shared" si="342"/>
        <v>77942.400000000023</v>
      </c>
      <c r="W2711" s="18">
        <f t="shared" si="343"/>
        <v>0.10726517525322454</v>
      </c>
    </row>
    <row r="2712" spans="1:23" x14ac:dyDescent="0.3">
      <c r="A2712" t="s">
        <v>149</v>
      </c>
      <c r="B2712" t="s">
        <v>1749</v>
      </c>
      <c r="C2712" t="s">
        <v>50</v>
      </c>
      <c r="D2712" t="s">
        <v>17</v>
      </c>
      <c r="E2712">
        <v>4478</v>
      </c>
      <c r="F2712">
        <v>497.9</v>
      </c>
      <c r="G2712">
        <v>423.98</v>
      </c>
      <c r="H2712">
        <v>497.9</v>
      </c>
      <c r="I2712">
        <v>543</v>
      </c>
      <c r="J2712">
        <v>55</v>
      </c>
      <c r="K2712" s="17">
        <f t="shared" si="337"/>
        <v>995.50000000000011</v>
      </c>
      <c r="L2712" t="str">
        <f t="shared" si="338"/>
        <v>Sufficuent Stock</v>
      </c>
      <c r="P2712" s="19">
        <f t="shared" si="339"/>
        <v>0</v>
      </c>
      <c r="R2712" s="19">
        <f t="shared" si="336"/>
        <v>0</v>
      </c>
      <c r="T2712" s="19">
        <f t="shared" si="340"/>
        <v>230221.14</v>
      </c>
      <c r="U2712" s="19">
        <f t="shared" si="341"/>
        <v>270359.7</v>
      </c>
      <c r="V2712" s="21">
        <f t="shared" si="342"/>
        <v>40138.559999999998</v>
      </c>
      <c r="W2712" s="18">
        <f t="shared" si="343"/>
        <v>0.17434784659653754</v>
      </c>
    </row>
    <row r="2713" spans="1:23" x14ac:dyDescent="0.3">
      <c r="A2713" t="s">
        <v>290</v>
      </c>
      <c r="B2713" t="s">
        <v>291</v>
      </c>
      <c r="C2713" t="s">
        <v>23</v>
      </c>
      <c r="D2713" t="s">
        <v>17</v>
      </c>
      <c r="E2713">
        <v>4480</v>
      </c>
      <c r="F2713">
        <v>142.71</v>
      </c>
      <c r="G2713">
        <v>143.74</v>
      </c>
      <c r="H2713">
        <v>142.71</v>
      </c>
      <c r="I2713">
        <v>912</v>
      </c>
      <c r="J2713">
        <v>24</v>
      </c>
      <c r="K2713" s="17">
        <f t="shared" si="337"/>
        <v>729.59999999999991</v>
      </c>
      <c r="L2713" t="str">
        <f t="shared" si="338"/>
        <v>Sufficuent Stock</v>
      </c>
      <c r="P2713" s="19">
        <f t="shared" si="339"/>
        <v>0</v>
      </c>
      <c r="R2713" s="19">
        <f t="shared" si="336"/>
        <v>0</v>
      </c>
      <c r="T2713" s="19">
        <f t="shared" si="340"/>
        <v>131090.88</v>
      </c>
      <c r="U2713" s="19">
        <f t="shared" si="341"/>
        <v>130151.52</v>
      </c>
      <c r="V2713" s="21">
        <f t="shared" si="342"/>
        <v>-939.36000000000058</v>
      </c>
      <c r="W2713" s="18">
        <f t="shared" si="343"/>
        <v>-7.1657158758870222E-3</v>
      </c>
    </row>
    <row r="2714" spans="1:23" x14ac:dyDescent="0.3">
      <c r="A2714" t="s">
        <v>686</v>
      </c>
      <c r="B2714" t="s">
        <v>2486</v>
      </c>
      <c r="C2714" t="s">
        <v>50</v>
      </c>
      <c r="D2714" t="s">
        <v>20</v>
      </c>
      <c r="E2714">
        <v>4483</v>
      </c>
      <c r="F2714">
        <v>191.89</v>
      </c>
      <c r="G2714">
        <v>203.8</v>
      </c>
      <c r="H2714">
        <v>191.89</v>
      </c>
      <c r="I2714">
        <v>719</v>
      </c>
      <c r="J2714">
        <v>24</v>
      </c>
      <c r="K2714" s="17">
        <f t="shared" si="337"/>
        <v>575.19999999999993</v>
      </c>
      <c r="L2714" t="str">
        <f t="shared" si="338"/>
        <v>Sufficuent Stock</v>
      </c>
      <c r="P2714" s="19">
        <f t="shared" si="339"/>
        <v>0</v>
      </c>
      <c r="R2714" s="19">
        <f t="shared" si="336"/>
        <v>0</v>
      </c>
      <c r="T2714" s="19">
        <f t="shared" si="340"/>
        <v>146532.20000000001</v>
      </c>
      <c r="U2714" s="19">
        <f t="shared" si="341"/>
        <v>137968.91</v>
      </c>
      <c r="V2714" s="21">
        <f t="shared" si="342"/>
        <v>-8563.2900000000081</v>
      </c>
      <c r="W2714" s="18">
        <f t="shared" si="343"/>
        <v>-5.8439646712463253E-2</v>
      </c>
    </row>
    <row r="2715" spans="1:23" x14ac:dyDescent="0.3">
      <c r="A2715" t="s">
        <v>523</v>
      </c>
      <c r="B2715" t="s">
        <v>2583</v>
      </c>
      <c r="C2715" t="s">
        <v>37</v>
      </c>
      <c r="D2715" t="s">
        <v>17</v>
      </c>
      <c r="E2715">
        <v>4487</v>
      </c>
      <c r="F2715">
        <v>161.28</v>
      </c>
      <c r="G2715">
        <v>176.69</v>
      </c>
      <c r="H2715">
        <v>161.28</v>
      </c>
      <c r="I2715">
        <v>1374</v>
      </c>
      <c r="J2715">
        <v>22</v>
      </c>
      <c r="K2715" s="17">
        <f t="shared" si="337"/>
        <v>1007.5999999999999</v>
      </c>
      <c r="L2715" t="str">
        <f t="shared" si="338"/>
        <v>Sufficuent Stock</v>
      </c>
      <c r="P2715" s="19">
        <f t="shared" si="339"/>
        <v>0</v>
      </c>
      <c r="R2715" s="19">
        <f t="shared" si="336"/>
        <v>0</v>
      </c>
      <c r="T2715" s="19">
        <f t="shared" si="340"/>
        <v>242772.06</v>
      </c>
      <c r="U2715" s="19">
        <f t="shared" si="341"/>
        <v>221598.72</v>
      </c>
      <c r="V2715" s="21">
        <f t="shared" si="342"/>
        <v>-21173.339999999997</v>
      </c>
      <c r="W2715" s="18">
        <f t="shared" si="343"/>
        <v>-8.7214896145792045E-2</v>
      </c>
    </row>
    <row r="2716" spans="1:23" x14ac:dyDescent="0.3">
      <c r="A2716" t="s">
        <v>270</v>
      </c>
      <c r="B2716" t="s">
        <v>2513</v>
      </c>
      <c r="C2716" t="s">
        <v>16</v>
      </c>
      <c r="D2716" t="s">
        <v>17</v>
      </c>
      <c r="E2716">
        <v>4488</v>
      </c>
      <c r="F2716">
        <v>449.62</v>
      </c>
      <c r="G2716">
        <v>447.66</v>
      </c>
      <c r="H2716">
        <v>449.62</v>
      </c>
      <c r="I2716">
        <v>558</v>
      </c>
      <c r="J2716">
        <v>23</v>
      </c>
      <c r="K2716" s="17">
        <f t="shared" si="337"/>
        <v>427.8</v>
      </c>
      <c r="L2716" t="str">
        <f t="shared" si="338"/>
        <v>Sufficuent Stock</v>
      </c>
      <c r="P2716" s="19">
        <f t="shared" si="339"/>
        <v>0</v>
      </c>
      <c r="R2716" s="19">
        <f t="shared" si="336"/>
        <v>0</v>
      </c>
      <c r="T2716" s="19">
        <f t="shared" si="340"/>
        <v>249794.28000000003</v>
      </c>
      <c r="U2716" s="19">
        <f t="shared" si="341"/>
        <v>250887.96</v>
      </c>
      <c r="V2716" s="21">
        <f t="shared" si="342"/>
        <v>1093.6799999999639</v>
      </c>
      <c r="W2716" s="18">
        <f t="shared" si="343"/>
        <v>4.3783228342937387E-3</v>
      </c>
    </row>
    <row r="2717" spans="1:23" x14ac:dyDescent="0.3">
      <c r="A2717" t="s">
        <v>1019</v>
      </c>
      <c r="B2717" t="s">
        <v>1175</v>
      </c>
      <c r="C2717" t="s">
        <v>23</v>
      </c>
      <c r="D2717" t="s">
        <v>26</v>
      </c>
      <c r="E2717">
        <v>4490</v>
      </c>
      <c r="F2717">
        <v>455.5</v>
      </c>
      <c r="G2717">
        <v>382.79</v>
      </c>
      <c r="H2717">
        <v>455.5</v>
      </c>
      <c r="I2717">
        <v>3911</v>
      </c>
      <c r="J2717">
        <v>47</v>
      </c>
      <c r="K2717" s="17">
        <f t="shared" si="337"/>
        <v>6127.2333333333336</v>
      </c>
      <c r="L2717" t="str">
        <f t="shared" si="338"/>
        <v>High Risk</v>
      </c>
      <c r="P2717" s="19">
        <f t="shared" si="339"/>
        <v>1638</v>
      </c>
      <c r="R2717" s="19">
        <f t="shared" si="336"/>
        <v>746109</v>
      </c>
      <c r="T2717" s="19">
        <f t="shared" si="340"/>
        <v>1497091.6900000002</v>
      </c>
      <c r="U2717" s="19">
        <f t="shared" si="341"/>
        <v>1781460.5</v>
      </c>
      <c r="V2717" s="21">
        <f t="shared" si="342"/>
        <v>284368.80999999982</v>
      </c>
      <c r="W2717" s="18">
        <f t="shared" si="343"/>
        <v>0.18994749079129536</v>
      </c>
    </row>
    <row r="2718" spans="1:23" x14ac:dyDescent="0.3">
      <c r="A2718" t="s">
        <v>365</v>
      </c>
      <c r="B2718" t="s">
        <v>516</v>
      </c>
      <c r="C2718" t="s">
        <v>23</v>
      </c>
      <c r="D2718" t="s">
        <v>26</v>
      </c>
      <c r="E2718">
        <v>4491</v>
      </c>
      <c r="F2718">
        <v>455.31</v>
      </c>
      <c r="G2718">
        <v>386.45</v>
      </c>
      <c r="H2718">
        <v>455.31</v>
      </c>
      <c r="I2718">
        <v>1225</v>
      </c>
      <c r="J2718">
        <v>35</v>
      </c>
      <c r="K2718" s="17">
        <f t="shared" si="337"/>
        <v>1429.1666666666667</v>
      </c>
      <c r="L2718" t="str">
        <f t="shared" si="338"/>
        <v>Sufficuent Stock</v>
      </c>
      <c r="P2718" s="19">
        <f t="shared" si="339"/>
        <v>0</v>
      </c>
      <c r="R2718" s="19">
        <f t="shared" si="336"/>
        <v>0</v>
      </c>
      <c r="T2718" s="19">
        <f t="shared" si="340"/>
        <v>473401.25</v>
      </c>
      <c r="U2718" s="19">
        <f t="shared" si="341"/>
        <v>557754.75</v>
      </c>
      <c r="V2718" s="21">
        <f t="shared" si="342"/>
        <v>84353.5</v>
      </c>
      <c r="W2718" s="18">
        <f t="shared" si="343"/>
        <v>0.17818605252943459</v>
      </c>
    </row>
    <row r="2719" spans="1:23" x14ac:dyDescent="0.3">
      <c r="A2719" t="s">
        <v>132</v>
      </c>
      <c r="B2719" t="s">
        <v>3378</v>
      </c>
      <c r="C2719" t="s">
        <v>23</v>
      </c>
      <c r="D2719" t="s">
        <v>13</v>
      </c>
      <c r="E2719">
        <v>4491</v>
      </c>
      <c r="F2719">
        <v>340.42</v>
      </c>
      <c r="G2719">
        <v>360.54</v>
      </c>
      <c r="H2719">
        <v>340.42</v>
      </c>
      <c r="I2719">
        <v>2810</v>
      </c>
      <c r="J2719">
        <v>85</v>
      </c>
      <c r="K2719" s="17">
        <f t="shared" si="337"/>
        <v>7961.666666666667</v>
      </c>
      <c r="L2719" t="str">
        <f t="shared" si="338"/>
        <v>High Risk</v>
      </c>
      <c r="P2719" s="19">
        <f t="shared" si="339"/>
        <v>3471</v>
      </c>
      <c r="R2719" s="19">
        <f t="shared" si="336"/>
        <v>1181597.82</v>
      </c>
      <c r="T2719" s="19">
        <f t="shared" si="340"/>
        <v>1013117.4</v>
      </c>
      <c r="U2719" s="19">
        <f t="shared" si="341"/>
        <v>956580.20000000007</v>
      </c>
      <c r="V2719" s="21">
        <f t="shared" si="342"/>
        <v>-56537.199999999953</v>
      </c>
      <c r="W2719" s="18">
        <f t="shared" si="343"/>
        <v>-5.5805181117213019E-2</v>
      </c>
    </row>
    <row r="2720" spans="1:23" x14ac:dyDescent="0.3">
      <c r="A2720" t="s">
        <v>688</v>
      </c>
      <c r="B2720" t="s">
        <v>2008</v>
      </c>
      <c r="C2720" t="s">
        <v>16</v>
      </c>
      <c r="D2720" t="s">
        <v>26</v>
      </c>
      <c r="E2720">
        <v>4493</v>
      </c>
      <c r="F2720">
        <v>43.38</v>
      </c>
      <c r="G2720">
        <v>41.31</v>
      </c>
      <c r="H2720">
        <v>43.38</v>
      </c>
      <c r="I2720">
        <v>3058</v>
      </c>
      <c r="J2720">
        <v>70</v>
      </c>
      <c r="K2720" s="17">
        <f t="shared" si="337"/>
        <v>7135.3333333333339</v>
      </c>
      <c r="L2720" t="str">
        <f t="shared" si="338"/>
        <v>High Risk</v>
      </c>
      <c r="P2720" s="19">
        <f t="shared" si="339"/>
        <v>2643</v>
      </c>
      <c r="R2720" s="19">
        <f t="shared" si="336"/>
        <v>114653.34000000001</v>
      </c>
      <c r="T2720" s="19">
        <f t="shared" si="340"/>
        <v>126325.98000000001</v>
      </c>
      <c r="U2720" s="19">
        <f t="shared" si="341"/>
        <v>132656.04</v>
      </c>
      <c r="V2720" s="21">
        <f t="shared" si="342"/>
        <v>6330.0599999999977</v>
      </c>
      <c r="W2720" s="18">
        <f t="shared" si="343"/>
        <v>5.0108932461873618E-2</v>
      </c>
    </row>
    <row r="2721" spans="1:23" x14ac:dyDescent="0.3">
      <c r="A2721" t="s">
        <v>629</v>
      </c>
      <c r="B2721" t="s">
        <v>3228</v>
      </c>
      <c r="C2721" t="s">
        <v>16</v>
      </c>
      <c r="D2721" t="s">
        <v>69</v>
      </c>
      <c r="E2721">
        <v>4494</v>
      </c>
      <c r="F2721">
        <v>319.2</v>
      </c>
      <c r="G2721">
        <v>283.64999999999998</v>
      </c>
      <c r="H2721">
        <v>319.2</v>
      </c>
      <c r="I2721">
        <v>360</v>
      </c>
      <c r="J2721">
        <v>68</v>
      </c>
      <c r="K2721" s="17">
        <f t="shared" si="337"/>
        <v>816</v>
      </c>
      <c r="L2721" t="str">
        <f t="shared" si="338"/>
        <v>Sufficuent Stock</v>
      </c>
      <c r="P2721" s="19">
        <f t="shared" si="339"/>
        <v>0</v>
      </c>
      <c r="R2721" s="19">
        <f t="shared" si="336"/>
        <v>0</v>
      </c>
      <c r="T2721" s="19">
        <f t="shared" si="340"/>
        <v>102113.99999999999</v>
      </c>
      <c r="U2721" s="19">
        <f t="shared" si="341"/>
        <v>114912</v>
      </c>
      <c r="V2721" s="21">
        <f t="shared" si="342"/>
        <v>12798.000000000015</v>
      </c>
      <c r="W2721" s="18">
        <f t="shared" si="343"/>
        <v>0.12533051295610803</v>
      </c>
    </row>
    <row r="2722" spans="1:23" x14ac:dyDescent="0.3">
      <c r="A2722" t="s">
        <v>387</v>
      </c>
      <c r="B2722" t="s">
        <v>889</v>
      </c>
      <c r="C2722" t="s">
        <v>23</v>
      </c>
      <c r="D2722" t="s">
        <v>13</v>
      </c>
      <c r="E2722">
        <v>4494</v>
      </c>
      <c r="F2722">
        <v>45.96</v>
      </c>
      <c r="G2722">
        <v>44.76</v>
      </c>
      <c r="H2722">
        <v>45.96</v>
      </c>
      <c r="I2722">
        <v>1542</v>
      </c>
      <c r="J2722">
        <v>87</v>
      </c>
      <c r="K2722" s="17">
        <f t="shared" si="337"/>
        <v>4471.8</v>
      </c>
      <c r="L2722" t="str">
        <f t="shared" si="338"/>
        <v>Sufficuent Stock</v>
      </c>
      <c r="P2722" s="19">
        <f t="shared" si="339"/>
        <v>0</v>
      </c>
      <c r="R2722" s="19">
        <f t="shared" si="336"/>
        <v>0</v>
      </c>
      <c r="T2722" s="19">
        <f t="shared" si="340"/>
        <v>69019.92</v>
      </c>
      <c r="U2722" s="19">
        <f t="shared" si="341"/>
        <v>70870.320000000007</v>
      </c>
      <c r="V2722" s="21">
        <f t="shared" si="342"/>
        <v>1850.4000000000087</v>
      </c>
      <c r="W2722" s="18">
        <f t="shared" si="343"/>
        <v>2.680965147453096E-2</v>
      </c>
    </row>
    <row r="2723" spans="1:23" x14ac:dyDescent="0.3">
      <c r="A2723" t="s">
        <v>666</v>
      </c>
      <c r="B2723" t="s">
        <v>1795</v>
      </c>
      <c r="C2723" t="s">
        <v>23</v>
      </c>
      <c r="D2723" t="s">
        <v>17</v>
      </c>
      <c r="E2723">
        <v>4495</v>
      </c>
      <c r="F2723">
        <v>362.09</v>
      </c>
      <c r="G2723">
        <v>311.74</v>
      </c>
      <c r="H2723">
        <v>362.09</v>
      </c>
      <c r="I2723">
        <v>2783</v>
      </c>
      <c r="J2723">
        <v>47</v>
      </c>
      <c r="K2723" s="17">
        <f t="shared" si="337"/>
        <v>4360.0333333333328</v>
      </c>
      <c r="L2723" t="str">
        <f t="shared" si="338"/>
        <v>Sufficuent Stock</v>
      </c>
      <c r="P2723" s="19">
        <f t="shared" si="339"/>
        <v>0</v>
      </c>
      <c r="R2723" s="19">
        <f t="shared" si="336"/>
        <v>0</v>
      </c>
      <c r="T2723" s="19">
        <f t="shared" si="340"/>
        <v>867572.42</v>
      </c>
      <c r="U2723" s="19">
        <f t="shared" si="341"/>
        <v>1007696.47</v>
      </c>
      <c r="V2723" s="21">
        <f t="shared" si="342"/>
        <v>140124.04999999993</v>
      </c>
      <c r="W2723" s="18">
        <f t="shared" si="343"/>
        <v>0.16151279912747793</v>
      </c>
    </row>
    <row r="2724" spans="1:23" x14ac:dyDescent="0.3">
      <c r="A2724" t="s">
        <v>240</v>
      </c>
      <c r="B2724" t="s">
        <v>241</v>
      </c>
      <c r="C2724" t="s">
        <v>12</v>
      </c>
      <c r="D2724" t="s">
        <v>17</v>
      </c>
      <c r="E2724">
        <v>4500</v>
      </c>
      <c r="F2724">
        <v>104.85</v>
      </c>
      <c r="G2724">
        <v>97.76</v>
      </c>
      <c r="H2724">
        <v>104.85</v>
      </c>
      <c r="I2724">
        <v>835</v>
      </c>
      <c r="J2724">
        <v>90</v>
      </c>
      <c r="K2724" s="17">
        <f t="shared" si="337"/>
        <v>2505</v>
      </c>
      <c r="L2724" t="str">
        <f t="shared" si="338"/>
        <v>Sufficuent Stock</v>
      </c>
      <c r="P2724" s="19">
        <f t="shared" si="339"/>
        <v>0</v>
      </c>
      <c r="R2724" s="19">
        <f t="shared" si="336"/>
        <v>0</v>
      </c>
      <c r="T2724" s="19">
        <f t="shared" si="340"/>
        <v>81629.600000000006</v>
      </c>
      <c r="U2724" s="19">
        <f t="shared" si="341"/>
        <v>87549.75</v>
      </c>
      <c r="V2724" s="21">
        <f t="shared" si="342"/>
        <v>5920.1499999999942</v>
      </c>
      <c r="W2724" s="18">
        <f t="shared" si="343"/>
        <v>7.252454991816687E-2</v>
      </c>
    </row>
    <row r="2725" spans="1:23" x14ac:dyDescent="0.3">
      <c r="A2725" t="s">
        <v>171</v>
      </c>
      <c r="B2725" t="s">
        <v>264</v>
      </c>
      <c r="C2725" t="s">
        <v>23</v>
      </c>
      <c r="D2725" t="s">
        <v>17</v>
      </c>
      <c r="E2725">
        <v>4502</v>
      </c>
      <c r="F2725">
        <v>478.02</v>
      </c>
      <c r="G2725">
        <v>482.04</v>
      </c>
      <c r="H2725">
        <v>478.02</v>
      </c>
      <c r="I2725">
        <v>1576</v>
      </c>
      <c r="J2725">
        <v>82</v>
      </c>
      <c r="K2725" s="17">
        <f t="shared" si="337"/>
        <v>4307.7333333333336</v>
      </c>
      <c r="L2725" t="str">
        <f t="shared" si="338"/>
        <v>Sufficuent Stock</v>
      </c>
      <c r="P2725" s="19">
        <f t="shared" si="339"/>
        <v>0</v>
      </c>
      <c r="R2725" s="19">
        <f t="shared" si="336"/>
        <v>0</v>
      </c>
      <c r="T2725" s="19">
        <f t="shared" si="340"/>
        <v>759695.04</v>
      </c>
      <c r="U2725" s="19">
        <f t="shared" si="341"/>
        <v>753359.52</v>
      </c>
      <c r="V2725" s="21">
        <f t="shared" si="342"/>
        <v>-6335.5200000000186</v>
      </c>
      <c r="W2725" s="18">
        <f t="shared" si="343"/>
        <v>-8.3395568832462276E-3</v>
      </c>
    </row>
    <row r="2726" spans="1:23" x14ac:dyDescent="0.3">
      <c r="A2726" t="s">
        <v>1835</v>
      </c>
      <c r="B2726" t="s">
        <v>2016</v>
      </c>
      <c r="C2726" t="s">
        <v>23</v>
      </c>
      <c r="D2726" t="s">
        <v>26</v>
      </c>
      <c r="E2726">
        <v>4502</v>
      </c>
      <c r="F2726">
        <v>199.55</v>
      </c>
      <c r="G2726">
        <v>191.39</v>
      </c>
      <c r="H2726">
        <v>199.55</v>
      </c>
      <c r="I2726">
        <v>3809</v>
      </c>
      <c r="J2726">
        <v>20</v>
      </c>
      <c r="K2726" s="17">
        <f t="shared" si="337"/>
        <v>2539.3333333333335</v>
      </c>
      <c r="L2726" t="str">
        <f t="shared" si="338"/>
        <v>Sufficuent Stock</v>
      </c>
      <c r="P2726" s="19">
        <f t="shared" si="339"/>
        <v>0</v>
      </c>
      <c r="R2726" s="19">
        <f t="shared" si="336"/>
        <v>0</v>
      </c>
      <c r="T2726" s="19">
        <f t="shared" si="340"/>
        <v>729004.50999999989</v>
      </c>
      <c r="U2726" s="19">
        <f t="shared" si="341"/>
        <v>760085.95000000007</v>
      </c>
      <c r="V2726" s="21">
        <f t="shared" si="342"/>
        <v>31081.440000000177</v>
      </c>
      <c r="W2726" s="18">
        <f t="shared" si="343"/>
        <v>4.2635456397931176E-2</v>
      </c>
    </row>
    <row r="2727" spans="1:23" x14ac:dyDescent="0.3">
      <c r="A2727" t="s">
        <v>159</v>
      </c>
      <c r="B2727" t="s">
        <v>1022</v>
      </c>
      <c r="C2727" t="s">
        <v>50</v>
      </c>
      <c r="D2727" t="s">
        <v>20</v>
      </c>
      <c r="E2727">
        <v>4502</v>
      </c>
      <c r="F2727">
        <v>31.02</v>
      </c>
      <c r="G2727">
        <v>32.39</v>
      </c>
      <c r="H2727">
        <v>31.02</v>
      </c>
      <c r="I2727">
        <v>792</v>
      </c>
      <c r="J2727">
        <v>83</v>
      </c>
      <c r="K2727" s="17">
        <f t="shared" si="337"/>
        <v>2191.1999999999998</v>
      </c>
      <c r="L2727" t="str">
        <f t="shared" si="338"/>
        <v>Sufficuent Stock</v>
      </c>
      <c r="P2727" s="19">
        <f t="shared" si="339"/>
        <v>0</v>
      </c>
      <c r="R2727" s="19">
        <f t="shared" si="336"/>
        <v>0</v>
      </c>
      <c r="T2727" s="19">
        <f t="shared" si="340"/>
        <v>25652.880000000001</v>
      </c>
      <c r="U2727" s="19">
        <f t="shared" si="341"/>
        <v>24567.84</v>
      </c>
      <c r="V2727" s="21">
        <f t="shared" si="342"/>
        <v>-1085.0400000000009</v>
      </c>
      <c r="W2727" s="18">
        <f t="shared" si="343"/>
        <v>-4.2297005248533533E-2</v>
      </c>
    </row>
    <row r="2728" spans="1:23" x14ac:dyDescent="0.3">
      <c r="A2728" t="s">
        <v>82</v>
      </c>
      <c r="B2728" t="s">
        <v>1693</v>
      </c>
      <c r="C2728" t="s">
        <v>16</v>
      </c>
      <c r="D2728" t="s">
        <v>69</v>
      </c>
      <c r="E2728">
        <v>4502</v>
      </c>
      <c r="F2728">
        <v>526</v>
      </c>
      <c r="G2728">
        <v>476.66</v>
      </c>
      <c r="H2728">
        <v>526</v>
      </c>
      <c r="I2728">
        <v>838</v>
      </c>
      <c r="J2728">
        <v>62</v>
      </c>
      <c r="K2728" s="17">
        <f t="shared" si="337"/>
        <v>1731.8666666666668</v>
      </c>
      <c r="L2728" t="str">
        <f t="shared" si="338"/>
        <v>Sufficuent Stock</v>
      </c>
      <c r="P2728" s="19">
        <f t="shared" si="339"/>
        <v>0</v>
      </c>
      <c r="R2728" s="19">
        <f t="shared" si="336"/>
        <v>0</v>
      </c>
      <c r="T2728" s="19">
        <f t="shared" si="340"/>
        <v>399441.08</v>
      </c>
      <c r="U2728" s="19">
        <f t="shared" si="341"/>
        <v>440788</v>
      </c>
      <c r="V2728" s="21">
        <f t="shared" si="342"/>
        <v>41346.919999999984</v>
      </c>
      <c r="W2728" s="18">
        <f t="shared" si="343"/>
        <v>0.10351193722989128</v>
      </c>
    </row>
    <row r="2729" spans="1:23" x14ac:dyDescent="0.3">
      <c r="A2729" t="s">
        <v>368</v>
      </c>
      <c r="B2729" t="s">
        <v>369</v>
      </c>
      <c r="C2729" t="s">
        <v>37</v>
      </c>
      <c r="D2729" t="s">
        <v>20</v>
      </c>
      <c r="E2729">
        <v>4506</v>
      </c>
      <c r="F2729">
        <v>198.21</v>
      </c>
      <c r="G2729">
        <v>213.99</v>
      </c>
      <c r="H2729">
        <v>198.21</v>
      </c>
      <c r="I2729">
        <v>1254</v>
      </c>
      <c r="J2729">
        <v>74</v>
      </c>
      <c r="K2729" s="17">
        <f t="shared" si="337"/>
        <v>3093.2</v>
      </c>
      <c r="L2729" t="str">
        <f t="shared" si="338"/>
        <v>Sufficuent Stock</v>
      </c>
      <c r="P2729" s="19">
        <f t="shared" si="339"/>
        <v>0</v>
      </c>
      <c r="R2729" s="19">
        <f t="shared" si="336"/>
        <v>0</v>
      </c>
      <c r="T2729" s="19">
        <f t="shared" si="340"/>
        <v>268343.46000000002</v>
      </c>
      <c r="U2729" s="19">
        <f t="shared" si="341"/>
        <v>248555.34</v>
      </c>
      <c r="V2729" s="21">
        <f t="shared" si="342"/>
        <v>-19788.120000000024</v>
      </c>
      <c r="W2729" s="18">
        <f t="shared" si="343"/>
        <v>-7.3741763633814753E-2</v>
      </c>
    </row>
    <row r="2730" spans="1:23" x14ac:dyDescent="0.3">
      <c r="A2730" t="s">
        <v>605</v>
      </c>
      <c r="B2730" t="s">
        <v>1404</v>
      </c>
      <c r="C2730" t="s">
        <v>12</v>
      </c>
      <c r="D2730" t="s">
        <v>17</v>
      </c>
      <c r="E2730">
        <v>4507</v>
      </c>
      <c r="F2730">
        <v>549.83000000000004</v>
      </c>
      <c r="G2730">
        <v>460.92</v>
      </c>
      <c r="H2730">
        <v>549.83000000000004</v>
      </c>
      <c r="I2730">
        <v>1046</v>
      </c>
      <c r="J2730">
        <v>89</v>
      </c>
      <c r="K2730" s="17">
        <f t="shared" si="337"/>
        <v>3103.1333333333332</v>
      </c>
      <c r="L2730" t="str">
        <f t="shared" si="338"/>
        <v>Sufficuent Stock</v>
      </c>
      <c r="P2730" s="19">
        <f t="shared" si="339"/>
        <v>0</v>
      </c>
      <c r="R2730" s="19">
        <f t="shared" si="336"/>
        <v>0</v>
      </c>
      <c r="T2730" s="19">
        <f t="shared" si="340"/>
        <v>482122.32</v>
      </c>
      <c r="U2730" s="19">
        <f t="shared" si="341"/>
        <v>575122.18000000005</v>
      </c>
      <c r="V2730" s="21">
        <f t="shared" si="342"/>
        <v>92999.860000000044</v>
      </c>
      <c r="W2730" s="18">
        <f t="shared" si="343"/>
        <v>0.19289681506552123</v>
      </c>
    </row>
    <row r="2731" spans="1:23" x14ac:dyDescent="0.3">
      <c r="A2731" t="s">
        <v>256</v>
      </c>
      <c r="B2731" t="s">
        <v>1593</v>
      </c>
      <c r="C2731" t="s">
        <v>23</v>
      </c>
      <c r="D2731" t="s">
        <v>69</v>
      </c>
      <c r="E2731">
        <v>4509</v>
      </c>
      <c r="F2731">
        <v>169.1</v>
      </c>
      <c r="G2731">
        <v>172.5</v>
      </c>
      <c r="H2731">
        <v>169.1</v>
      </c>
      <c r="I2731">
        <v>2552</v>
      </c>
      <c r="J2731">
        <v>43</v>
      </c>
      <c r="K2731" s="17">
        <f t="shared" si="337"/>
        <v>3657.8666666666663</v>
      </c>
      <c r="L2731" t="str">
        <f t="shared" si="338"/>
        <v>Sufficuent Stock</v>
      </c>
      <c r="P2731" s="19">
        <f t="shared" si="339"/>
        <v>0</v>
      </c>
      <c r="R2731" s="19">
        <f t="shared" si="336"/>
        <v>0</v>
      </c>
      <c r="T2731" s="19">
        <f t="shared" si="340"/>
        <v>440220</v>
      </c>
      <c r="U2731" s="19">
        <f t="shared" si="341"/>
        <v>431543.2</v>
      </c>
      <c r="V2731" s="21">
        <f t="shared" si="342"/>
        <v>-8676.7999999999884</v>
      </c>
      <c r="W2731" s="18">
        <f t="shared" si="343"/>
        <v>-1.9710144927536206E-2</v>
      </c>
    </row>
    <row r="2732" spans="1:23" x14ac:dyDescent="0.3">
      <c r="A2732" t="s">
        <v>626</v>
      </c>
      <c r="B2732" t="s">
        <v>978</v>
      </c>
      <c r="C2732" t="s">
        <v>50</v>
      </c>
      <c r="D2732" t="s">
        <v>17</v>
      </c>
      <c r="E2732">
        <v>4510</v>
      </c>
      <c r="F2732">
        <v>311.51</v>
      </c>
      <c r="G2732">
        <v>265.55</v>
      </c>
      <c r="H2732">
        <v>311.51</v>
      </c>
      <c r="I2732">
        <v>76</v>
      </c>
      <c r="J2732">
        <v>23</v>
      </c>
      <c r="K2732" s="17">
        <f t="shared" si="337"/>
        <v>58.266666666666666</v>
      </c>
      <c r="L2732" t="str">
        <f t="shared" si="338"/>
        <v>Sufficuent Stock</v>
      </c>
      <c r="P2732" s="19">
        <f t="shared" si="339"/>
        <v>0</v>
      </c>
      <c r="R2732" s="19">
        <f t="shared" si="336"/>
        <v>0</v>
      </c>
      <c r="T2732" s="19">
        <f t="shared" si="340"/>
        <v>20181.8</v>
      </c>
      <c r="U2732" s="19">
        <f t="shared" si="341"/>
        <v>23674.76</v>
      </c>
      <c r="V2732" s="21">
        <f t="shared" si="342"/>
        <v>3492.9599999999991</v>
      </c>
      <c r="W2732" s="18">
        <f t="shared" si="343"/>
        <v>0.17307475051779322</v>
      </c>
    </row>
    <row r="2733" spans="1:23" x14ac:dyDescent="0.3">
      <c r="A2733" t="s">
        <v>40</v>
      </c>
      <c r="B2733" t="s">
        <v>1016</v>
      </c>
      <c r="C2733" t="s">
        <v>12</v>
      </c>
      <c r="D2733" t="s">
        <v>69</v>
      </c>
      <c r="E2733">
        <v>4512</v>
      </c>
      <c r="F2733">
        <v>258.06</v>
      </c>
      <c r="G2733">
        <v>274.3</v>
      </c>
      <c r="H2733">
        <v>258.06</v>
      </c>
      <c r="I2733">
        <v>3087</v>
      </c>
      <c r="J2733">
        <v>53</v>
      </c>
      <c r="K2733" s="17">
        <f t="shared" si="337"/>
        <v>5453.7000000000007</v>
      </c>
      <c r="L2733" t="str">
        <f t="shared" si="338"/>
        <v>High Risk</v>
      </c>
      <c r="P2733" s="19">
        <f t="shared" si="339"/>
        <v>942</v>
      </c>
      <c r="R2733" s="19">
        <f t="shared" si="336"/>
        <v>243092.52</v>
      </c>
      <c r="T2733" s="19">
        <f t="shared" si="340"/>
        <v>846764.10000000009</v>
      </c>
      <c r="U2733" s="19">
        <f t="shared" si="341"/>
        <v>796631.22</v>
      </c>
      <c r="V2733" s="21">
        <f t="shared" si="342"/>
        <v>-50132.880000000121</v>
      </c>
      <c r="W2733" s="18">
        <f t="shared" si="343"/>
        <v>-5.9205249726576877E-2</v>
      </c>
    </row>
    <row r="2734" spans="1:23" x14ac:dyDescent="0.3">
      <c r="A2734" t="s">
        <v>869</v>
      </c>
      <c r="B2734" t="s">
        <v>2594</v>
      </c>
      <c r="C2734" t="s">
        <v>16</v>
      </c>
      <c r="D2734" t="s">
        <v>20</v>
      </c>
      <c r="E2734">
        <v>4514</v>
      </c>
      <c r="F2734">
        <v>454.21</v>
      </c>
      <c r="G2734">
        <v>437.66</v>
      </c>
      <c r="H2734">
        <v>454.21</v>
      </c>
      <c r="I2734">
        <v>979</v>
      </c>
      <c r="J2734">
        <v>17</v>
      </c>
      <c r="K2734" s="17">
        <f t="shared" si="337"/>
        <v>554.76666666666665</v>
      </c>
      <c r="L2734" t="str">
        <f t="shared" si="338"/>
        <v>Sufficuent Stock</v>
      </c>
      <c r="P2734" s="19">
        <f t="shared" si="339"/>
        <v>0</v>
      </c>
      <c r="R2734" s="19">
        <f t="shared" si="336"/>
        <v>0</v>
      </c>
      <c r="T2734" s="19">
        <f t="shared" si="340"/>
        <v>428469.14</v>
      </c>
      <c r="U2734" s="19">
        <f t="shared" si="341"/>
        <v>444671.58999999997</v>
      </c>
      <c r="V2734" s="21">
        <f t="shared" si="342"/>
        <v>16202.449999999953</v>
      </c>
      <c r="W2734" s="18">
        <f t="shared" si="343"/>
        <v>3.7814742037197716E-2</v>
      </c>
    </row>
    <row r="2735" spans="1:23" x14ac:dyDescent="0.3">
      <c r="A2735" t="s">
        <v>788</v>
      </c>
      <c r="B2735" t="s">
        <v>2126</v>
      </c>
      <c r="C2735" t="s">
        <v>23</v>
      </c>
      <c r="D2735" t="s">
        <v>17</v>
      </c>
      <c r="E2735">
        <v>4517</v>
      </c>
      <c r="F2735">
        <v>526.20000000000005</v>
      </c>
      <c r="G2735">
        <v>459.27</v>
      </c>
      <c r="H2735">
        <v>526.20000000000005</v>
      </c>
      <c r="I2735">
        <v>2676</v>
      </c>
      <c r="J2735">
        <v>51</v>
      </c>
      <c r="K2735" s="17">
        <f t="shared" si="337"/>
        <v>4549.2</v>
      </c>
      <c r="L2735" t="str">
        <f t="shared" si="338"/>
        <v>High Risk</v>
      </c>
      <c r="P2735" s="19">
        <f t="shared" si="339"/>
        <v>33</v>
      </c>
      <c r="R2735" s="19">
        <f t="shared" si="336"/>
        <v>17364.600000000002</v>
      </c>
      <c r="T2735" s="19">
        <f t="shared" si="340"/>
        <v>1229006.52</v>
      </c>
      <c r="U2735" s="19">
        <f t="shared" si="341"/>
        <v>1408111.2000000002</v>
      </c>
      <c r="V2735" s="21">
        <f t="shared" si="342"/>
        <v>179104.68000000017</v>
      </c>
      <c r="W2735" s="18">
        <f t="shared" si="343"/>
        <v>0.14573126918805945</v>
      </c>
    </row>
    <row r="2736" spans="1:23" x14ac:dyDescent="0.3">
      <c r="A2736" t="s">
        <v>533</v>
      </c>
      <c r="B2736" t="s">
        <v>561</v>
      </c>
      <c r="C2736" t="s">
        <v>16</v>
      </c>
      <c r="D2736" t="s">
        <v>20</v>
      </c>
      <c r="E2736">
        <v>4519</v>
      </c>
      <c r="F2736">
        <v>278.19</v>
      </c>
      <c r="G2736">
        <v>240.68</v>
      </c>
      <c r="H2736">
        <v>278.19</v>
      </c>
      <c r="I2736">
        <v>915</v>
      </c>
      <c r="J2736">
        <v>89</v>
      </c>
      <c r="K2736" s="17">
        <f t="shared" si="337"/>
        <v>2714.5</v>
      </c>
      <c r="L2736" t="str">
        <f t="shared" si="338"/>
        <v>Sufficuent Stock</v>
      </c>
      <c r="P2736" s="19">
        <f t="shared" si="339"/>
        <v>0</v>
      </c>
      <c r="R2736" s="19">
        <f t="shared" si="336"/>
        <v>0</v>
      </c>
      <c r="T2736" s="19">
        <f t="shared" si="340"/>
        <v>220222.2</v>
      </c>
      <c r="U2736" s="19">
        <f t="shared" si="341"/>
        <v>254543.85</v>
      </c>
      <c r="V2736" s="21">
        <f t="shared" si="342"/>
        <v>34321.649999999994</v>
      </c>
      <c r="W2736" s="18">
        <f t="shared" si="343"/>
        <v>0.15585009140767822</v>
      </c>
    </row>
    <row r="2737" spans="1:23" x14ac:dyDescent="0.3">
      <c r="A2737" t="s">
        <v>389</v>
      </c>
      <c r="B2737" t="s">
        <v>1138</v>
      </c>
      <c r="C2737" t="s">
        <v>16</v>
      </c>
      <c r="D2737" t="s">
        <v>13</v>
      </c>
      <c r="E2737">
        <v>4520</v>
      </c>
      <c r="F2737">
        <v>334.9</v>
      </c>
      <c r="G2737">
        <v>350.55</v>
      </c>
      <c r="H2737">
        <v>334.9</v>
      </c>
      <c r="I2737">
        <v>1551</v>
      </c>
      <c r="J2737">
        <v>85</v>
      </c>
      <c r="K2737" s="17">
        <f t="shared" si="337"/>
        <v>4394.5</v>
      </c>
      <c r="L2737" t="str">
        <f t="shared" si="338"/>
        <v>Sufficuent Stock</v>
      </c>
      <c r="P2737" s="19">
        <f t="shared" si="339"/>
        <v>0</v>
      </c>
      <c r="R2737" s="19">
        <f t="shared" si="336"/>
        <v>0</v>
      </c>
      <c r="T2737" s="19">
        <f t="shared" si="340"/>
        <v>543703.05000000005</v>
      </c>
      <c r="U2737" s="19">
        <f t="shared" si="341"/>
        <v>519429.89999999997</v>
      </c>
      <c r="V2737" s="21">
        <f t="shared" si="342"/>
        <v>-24273.150000000081</v>
      </c>
      <c r="W2737" s="18">
        <f t="shared" si="343"/>
        <v>-4.4644130651832981E-2</v>
      </c>
    </row>
    <row r="2738" spans="1:23" x14ac:dyDescent="0.3">
      <c r="A2738" t="s">
        <v>216</v>
      </c>
      <c r="B2738" t="s">
        <v>217</v>
      </c>
      <c r="C2738" t="s">
        <v>12</v>
      </c>
      <c r="D2738" t="s">
        <v>26</v>
      </c>
      <c r="E2738">
        <v>4525</v>
      </c>
      <c r="F2738">
        <v>39.47</v>
      </c>
      <c r="G2738">
        <v>35.049999999999997</v>
      </c>
      <c r="H2738">
        <v>39.47</v>
      </c>
      <c r="I2738">
        <v>3464</v>
      </c>
      <c r="J2738">
        <v>62</v>
      </c>
      <c r="K2738" s="17">
        <f t="shared" si="337"/>
        <v>7158.9333333333334</v>
      </c>
      <c r="L2738" t="str">
        <f t="shared" si="338"/>
        <v>High Risk</v>
      </c>
      <c r="P2738" s="19">
        <f t="shared" si="339"/>
        <v>2634</v>
      </c>
      <c r="R2738" s="19">
        <f t="shared" si="336"/>
        <v>103963.98</v>
      </c>
      <c r="T2738" s="19">
        <f t="shared" si="340"/>
        <v>121413.2</v>
      </c>
      <c r="U2738" s="19">
        <f t="shared" si="341"/>
        <v>136724.07999999999</v>
      </c>
      <c r="V2738" s="21">
        <f t="shared" si="342"/>
        <v>15310.87999999999</v>
      </c>
      <c r="W2738" s="18">
        <f t="shared" si="343"/>
        <v>0.12610556348074173</v>
      </c>
    </row>
    <row r="2739" spans="1:23" x14ac:dyDescent="0.3">
      <c r="A2739" t="s">
        <v>21</v>
      </c>
      <c r="B2739" t="s">
        <v>1970</v>
      </c>
      <c r="C2739" t="s">
        <v>23</v>
      </c>
      <c r="D2739" t="s">
        <v>13</v>
      </c>
      <c r="E2739">
        <v>4526</v>
      </c>
      <c r="F2739">
        <v>76.209999999999994</v>
      </c>
      <c r="G2739">
        <v>83.57</v>
      </c>
      <c r="H2739">
        <v>76.209999999999994</v>
      </c>
      <c r="I2739">
        <v>3796</v>
      </c>
      <c r="J2739">
        <v>19</v>
      </c>
      <c r="K2739" s="17">
        <f t="shared" si="337"/>
        <v>2404.1333333333332</v>
      </c>
      <c r="L2739" t="str">
        <f t="shared" si="338"/>
        <v>Sufficuent Stock</v>
      </c>
      <c r="P2739" s="19">
        <f t="shared" si="339"/>
        <v>0</v>
      </c>
      <c r="R2739" s="19">
        <f t="shared" si="336"/>
        <v>0</v>
      </c>
      <c r="T2739" s="19">
        <f t="shared" si="340"/>
        <v>317231.71999999997</v>
      </c>
      <c r="U2739" s="19">
        <f t="shared" si="341"/>
        <v>289293.15999999997</v>
      </c>
      <c r="V2739" s="21">
        <f t="shared" si="342"/>
        <v>-27938.559999999998</v>
      </c>
      <c r="W2739" s="18">
        <f t="shared" si="343"/>
        <v>-8.8069881536436523E-2</v>
      </c>
    </row>
    <row r="2740" spans="1:23" x14ac:dyDescent="0.3">
      <c r="A2740" t="s">
        <v>1497</v>
      </c>
      <c r="B2740" t="s">
        <v>2385</v>
      </c>
      <c r="C2740" t="s">
        <v>16</v>
      </c>
      <c r="D2740" t="s">
        <v>17</v>
      </c>
      <c r="E2740">
        <v>4526</v>
      </c>
      <c r="F2740">
        <v>17.84</v>
      </c>
      <c r="G2740">
        <v>17.739999999999998</v>
      </c>
      <c r="H2740">
        <v>17.84</v>
      </c>
      <c r="I2740">
        <v>813</v>
      </c>
      <c r="J2740">
        <v>24</v>
      </c>
      <c r="K2740" s="17">
        <f t="shared" si="337"/>
        <v>650.40000000000009</v>
      </c>
      <c r="L2740" t="str">
        <f t="shared" si="338"/>
        <v>Sufficuent Stock</v>
      </c>
      <c r="P2740" s="19">
        <f t="shared" si="339"/>
        <v>0</v>
      </c>
      <c r="R2740" s="19">
        <f t="shared" si="336"/>
        <v>0</v>
      </c>
      <c r="T2740" s="19">
        <f t="shared" si="340"/>
        <v>14422.619999999999</v>
      </c>
      <c r="U2740" s="19">
        <f t="shared" si="341"/>
        <v>14503.92</v>
      </c>
      <c r="V2740" s="21">
        <f t="shared" si="342"/>
        <v>81.300000000001091</v>
      </c>
      <c r="W2740" s="18">
        <f t="shared" si="343"/>
        <v>5.636978579481474E-3</v>
      </c>
    </row>
    <row r="2741" spans="1:23" x14ac:dyDescent="0.3">
      <c r="A2741" t="s">
        <v>235</v>
      </c>
      <c r="B2741" t="s">
        <v>2722</v>
      </c>
      <c r="C2741" t="s">
        <v>16</v>
      </c>
      <c r="D2741" t="s">
        <v>69</v>
      </c>
      <c r="E2741">
        <v>4529</v>
      </c>
      <c r="F2741">
        <v>27.42</v>
      </c>
      <c r="G2741">
        <v>28.26</v>
      </c>
      <c r="H2741">
        <v>27.42</v>
      </c>
      <c r="I2741">
        <v>1853</v>
      </c>
      <c r="J2741">
        <v>71</v>
      </c>
      <c r="K2741" s="17">
        <f t="shared" si="337"/>
        <v>4385.4333333333334</v>
      </c>
      <c r="L2741" t="str">
        <f t="shared" si="338"/>
        <v>Sufficuent Stock</v>
      </c>
      <c r="P2741" s="19">
        <f t="shared" si="339"/>
        <v>0</v>
      </c>
      <c r="R2741" s="19">
        <f t="shared" si="336"/>
        <v>0</v>
      </c>
      <c r="T2741" s="19">
        <f t="shared" si="340"/>
        <v>52365.780000000006</v>
      </c>
      <c r="U2741" s="19">
        <f t="shared" si="341"/>
        <v>50809.26</v>
      </c>
      <c r="V2741" s="21">
        <f t="shared" si="342"/>
        <v>-1556.5200000000041</v>
      </c>
      <c r="W2741" s="18">
        <f t="shared" si="343"/>
        <v>-2.9723991507431071E-2</v>
      </c>
    </row>
    <row r="2742" spans="1:23" x14ac:dyDescent="0.3">
      <c r="A2742" t="s">
        <v>1497</v>
      </c>
      <c r="B2742" t="s">
        <v>2746</v>
      </c>
      <c r="C2742" t="s">
        <v>16</v>
      </c>
      <c r="D2742" t="s">
        <v>26</v>
      </c>
      <c r="E2742">
        <v>4529</v>
      </c>
      <c r="F2742">
        <v>190.66</v>
      </c>
      <c r="G2742">
        <v>211.02</v>
      </c>
      <c r="H2742">
        <v>190.66</v>
      </c>
      <c r="I2742">
        <v>2829</v>
      </c>
      <c r="J2742">
        <v>25</v>
      </c>
      <c r="K2742" s="17">
        <f t="shared" si="337"/>
        <v>2357.5</v>
      </c>
      <c r="L2742" t="str">
        <f t="shared" si="338"/>
        <v>Sufficuent Stock</v>
      </c>
      <c r="P2742" s="19">
        <f t="shared" si="339"/>
        <v>0</v>
      </c>
      <c r="R2742" s="19">
        <f t="shared" si="336"/>
        <v>0</v>
      </c>
      <c r="T2742" s="19">
        <f t="shared" si="340"/>
        <v>596975.58000000007</v>
      </c>
      <c r="U2742" s="19">
        <f t="shared" si="341"/>
        <v>539377.14</v>
      </c>
      <c r="V2742" s="21">
        <f t="shared" si="342"/>
        <v>-57598.440000000061</v>
      </c>
      <c r="W2742" s="18">
        <f t="shared" si="343"/>
        <v>-9.6483745616529323E-2</v>
      </c>
    </row>
    <row r="2743" spans="1:23" x14ac:dyDescent="0.3">
      <c r="A2743" t="s">
        <v>407</v>
      </c>
      <c r="B2743" t="s">
        <v>2900</v>
      </c>
      <c r="C2743" t="s">
        <v>37</v>
      </c>
      <c r="D2743" t="s">
        <v>13</v>
      </c>
      <c r="E2743">
        <v>4532</v>
      </c>
      <c r="F2743">
        <v>76.17</v>
      </c>
      <c r="G2743">
        <v>75.86</v>
      </c>
      <c r="H2743">
        <v>76.17</v>
      </c>
      <c r="I2743">
        <v>3841</v>
      </c>
      <c r="J2743">
        <v>28</v>
      </c>
      <c r="K2743" s="17">
        <f t="shared" si="337"/>
        <v>3584.9333333333334</v>
      </c>
      <c r="L2743" t="str">
        <f t="shared" si="338"/>
        <v>Sufficuent Stock</v>
      </c>
      <c r="P2743" s="19">
        <f t="shared" si="339"/>
        <v>0</v>
      </c>
      <c r="R2743" s="19">
        <f t="shared" si="336"/>
        <v>0</v>
      </c>
      <c r="T2743" s="19">
        <f t="shared" si="340"/>
        <v>291378.26</v>
      </c>
      <c r="U2743" s="19">
        <f t="shared" si="341"/>
        <v>292568.97000000003</v>
      </c>
      <c r="V2743" s="21">
        <f t="shared" si="342"/>
        <v>1190.710000000021</v>
      </c>
      <c r="W2743" s="18">
        <f t="shared" si="343"/>
        <v>4.0864750856842271E-3</v>
      </c>
    </row>
    <row r="2744" spans="1:23" x14ac:dyDescent="0.3">
      <c r="A2744" t="s">
        <v>796</v>
      </c>
      <c r="B2744" t="s">
        <v>797</v>
      </c>
      <c r="C2744" t="s">
        <v>50</v>
      </c>
      <c r="D2744" t="s">
        <v>69</v>
      </c>
      <c r="E2744">
        <v>4533</v>
      </c>
      <c r="F2744">
        <v>181.14</v>
      </c>
      <c r="G2744">
        <v>162.32</v>
      </c>
      <c r="H2744">
        <v>181.14</v>
      </c>
      <c r="I2744">
        <v>1603</v>
      </c>
      <c r="J2744">
        <v>20</v>
      </c>
      <c r="K2744" s="17">
        <f t="shared" si="337"/>
        <v>1068.6666666666665</v>
      </c>
      <c r="L2744" t="str">
        <f t="shared" si="338"/>
        <v>Sufficuent Stock</v>
      </c>
      <c r="P2744" s="19">
        <f t="shared" si="339"/>
        <v>0</v>
      </c>
      <c r="R2744" s="19">
        <f t="shared" si="336"/>
        <v>0</v>
      </c>
      <c r="T2744" s="19">
        <f t="shared" si="340"/>
        <v>260198.96</v>
      </c>
      <c r="U2744" s="19">
        <f t="shared" si="341"/>
        <v>290367.42</v>
      </c>
      <c r="V2744" s="21">
        <f t="shared" si="342"/>
        <v>30168.459999999992</v>
      </c>
      <c r="W2744" s="18">
        <f t="shared" si="343"/>
        <v>0.11594381468703792</v>
      </c>
    </row>
    <row r="2745" spans="1:23" x14ac:dyDescent="0.3">
      <c r="A2745" t="s">
        <v>286</v>
      </c>
      <c r="B2745" t="s">
        <v>662</v>
      </c>
      <c r="C2745" t="s">
        <v>50</v>
      </c>
      <c r="D2745" t="s">
        <v>13</v>
      </c>
      <c r="E2745">
        <v>4533</v>
      </c>
      <c r="F2745">
        <v>205.13</v>
      </c>
      <c r="G2745">
        <v>193.21</v>
      </c>
      <c r="H2745">
        <v>205.13</v>
      </c>
      <c r="I2745">
        <v>593</v>
      </c>
      <c r="J2745">
        <v>82</v>
      </c>
      <c r="K2745" s="17">
        <f t="shared" si="337"/>
        <v>1620.8666666666666</v>
      </c>
      <c r="L2745" t="str">
        <f t="shared" si="338"/>
        <v>Sufficuent Stock</v>
      </c>
      <c r="P2745" s="19">
        <f t="shared" si="339"/>
        <v>0</v>
      </c>
      <c r="R2745" s="19">
        <f t="shared" si="336"/>
        <v>0</v>
      </c>
      <c r="T2745" s="19">
        <f t="shared" si="340"/>
        <v>114573.53</v>
      </c>
      <c r="U2745" s="19">
        <f t="shared" si="341"/>
        <v>121642.09</v>
      </c>
      <c r="V2745" s="21">
        <f t="shared" si="342"/>
        <v>7068.5599999999977</v>
      </c>
      <c r="W2745" s="18">
        <f t="shared" si="343"/>
        <v>6.1694529268671375E-2</v>
      </c>
    </row>
    <row r="2746" spans="1:23" x14ac:dyDescent="0.3">
      <c r="A2746" t="s">
        <v>173</v>
      </c>
      <c r="B2746" t="s">
        <v>174</v>
      </c>
      <c r="C2746" t="s">
        <v>37</v>
      </c>
      <c r="D2746" t="s">
        <v>17</v>
      </c>
      <c r="E2746">
        <v>4533</v>
      </c>
      <c r="F2746">
        <v>114.95</v>
      </c>
      <c r="G2746">
        <v>102.53</v>
      </c>
      <c r="H2746">
        <v>114.95</v>
      </c>
      <c r="I2746">
        <v>2260</v>
      </c>
      <c r="J2746">
        <v>14</v>
      </c>
      <c r="K2746" s="17">
        <f t="shared" si="337"/>
        <v>1054.6666666666665</v>
      </c>
      <c r="L2746" t="str">
        <f t="shared" si="338"/>
        <v>Sufficuent Stock</v>
      </c>
      <c r="P2746" s="19">
        <f t="shared" si="339"/>
        <v>0</v>
      </c>
      <c r="R2746" s="19">
        <f t="shared" si="336"/>
        <v>0</v>
      </c>
      <c r="T2746" s="19">
        <f t="shared" si="340"/>
        <v>231717.8</v>
      </c>
      <c r="U2746" s="19">
        <f t="shared" si="341"/>
        <v>259787</v>
      </c>
      <c r="V2746" s="21">
        <f t="shared" si="342"/>
        <v>28069.200000000012</v>
      </c>
      <c r="W2746" s="18">
        <f t="shared" si="343"/>
        <v>0.12113527747976208</v>
      </c>
    </row>
    <row r="2747" spans="1:23" x14ac:dyDescent="0.3">
      <c r="A2747" t="s">
        <v>363</v>
      </c>
      <c r="B2747" t="s">
        <v>846</v>
      </c>
      <c r="C2747" t="s">
        <v>12</v>
      </c>
      <c r="D2747" t="s">
        <v>17</v>
      </c>
      <c r="E2747">
        <v>4535</v>
      </c>
      <c r="F2747">
        <v>404.58</v>
      </c>
      <c r="G2747">
        <v>449.1</v>
      </c>
      <c r="H2747">
        <v>404.58</v>
      </c>
      <c r="I2747">
        <v>713</v>
      </c>
      <c r="J2747">
        <v>63</v>
      </c>
      <c r="K2747" s="17">
        <f t="shared" si="337"/>
        <v>1497.3</v>
      </c>
      <c r="L2747" t="str">
        <f t="shared" si="338"/>
        <v>Sufficuent Stock</v>
      </c>
      <c r="P2747" s="19">
        <f t="shared" si="339"/>
        <v>0</v>
      </c>
      <c r="R2747" s="19">
        <f t="shared" si="336"/>
        <v>0</v>
      </c>
      <c r="T2747" s="19">
        <f t="shared" si="340"/>
        <v>320208.3</v>
      </c>
      <c r="U2747" s="19">
        <f t="shared" si="341"/>
        <v>288465.53999999998</v>
      </c>
      <c r="V2747" s="21">
        <f t="shared" si="342"/>
        <v>-31742.760000000009</v>
      </c>
      <c r="W2747" s="18">
        <f t="shared" si="343"/>
        <v>-9.9131596526386132E-2</v>
      </c>
    </row>
    <row r="2748" spans="1:23" x14ac:dyDescent="0.3">
      <c r="A2748" t="s">
        <v>143</v>
      </c>
      <c r="B2748" t="s">
        <v>3308</v>
      </c>
      <c r="C2748" t="s">
        <v>50</v>
      </c>
      <c r="D2748" t="s">
        <v>26</v>
      </c>
      <c r="E2748">
        <v>4536</v>
      </c>
      <c r="F2748">
        <v>483.11</v>
      </c>
      <c r="G2748">
        <v>496.43</v>
      </c>
      <c r="H2748">
        <v>483.11</v>
      </c>
      <c r="I2748">
        <v>3429</v>
      </c>
      <c r="J2748">
        <v>67</v>
      </c>
      <c r="K2748" s="17">
        <f t="shared" si="337"/>
        <v>7658.0999999999995</v>
      </c>
      <c r="L2748" t="str">
        <f t="shared" si="338"/>
        <v>High Risk</v>
      </c>
      <c r="P2748" s="19">
        <f t="shared" si="339"/>
        <v>3123</v>
      </c>
      <c r="R2748" s="19">
        <f t="shared" si="336"/>
        <v>1508752.53</v>
      </c>
      <c r="T2748" s="19">
        <f t="shared" si="340"/>
        <v>1702258.47</v>
      </c>
      <c r="U2748" s="19">
        <f t="shared" si="341"/>
        <v>1656584.19</v>
      </c>
      <c r="V2748" s="21">
        <f t="shared" si="342"/>
        <v>-45674.280000000028</v>
      </c>
      <c r="W2748" s="18">
        <f t="shared" si="343"/>
        <v>-2.6831577463086453E-2</v>
      </c>
    </row>
    <row r="2749" spans="1:23" x14ac:dyDescent="0.3">
      <c r="A2749" t="s">
        <v>205</v>
      </c>
      <c r="B2749" t="s">
        <v>2102</v>
      </c>
      <c r="C2749" t="s">
        <v>12</v>
      </c>
      <c r="D2749" t="s">
        <v>26</v>
      </c>
      <c r="E2749">
        <v>4537</v>
      </c>
      <c r="F2749">
        <v>289.06</v>
      </c>
      <c r="G2749">
        <v>309.33</v>
      </c>
      <c r="H2749">
        <v>289.06</v>
      </c>
      <c r="I2749">
        <v>1602</v>
      </c>
      <c r="J2749">
        <v>24</v>
      </c>
      <c r="K2749" s="17">
        <f t="shared" si="337"/>
        <v>1281.5999999999999</v>
      </c>
      <c r="L2749" t="str">
        <f t="shared" si="338"/>
        <v>Sufficuent Stock</v>
      </c>
      <c r="P2749" s="19">
        <f t="shared" si="339"/>
        <v>0</v>
      </c>
      <c r="R2749" s="19">
        <f t="shared" si="336"/>
        <v>0</v>
      </c>
      <c r="T2749" s="19">
        <f t="shared" si="340"/>
        <v>495546.66</v>
      </c>
      <c r="U2749" s="19">
        <f t="shared" si="341"/>
        <v>463074.12</v>
      </c>
      <c r="V2749" s="21">
        <f t="shared" si="342"/>
        <v>-32472.539999999979</v>
      </c>
      <c r="W2749" s="18">
        <f t="shared" si="343"/>
        <v>-6.5528723369863859E-2</v>
      </c>
    </row>
    <row r="2750" spans="1:23" x14ac:dyDescent="0.3">
      <c r="A2750" t="s">
        <v>642</v>
      </c>
      <c r="B2750" t="s">
        <v>1124</v>
      </c>
      <c r="C2750" t="s">
        <v>12</v>
      </c>
      <c r="D2750" t="s">
        <v>17</v>
      </c>
      <c r="E2750">
        <v>4538</v>
      </c>
      <c r="F2750">
        <v>117.76</v>
      </c>
      <c r="G2750">
        <v>101.22</v>
      </c>
      <c r="H2750">
        <v>117.76</v>
      </c>
      <c r="I2750">
        <v>1013</v>
      </c>
      <c r="J2750">
        <v>41</v>
      </c>
      <c r="K2750" s="17">
        <f t="shared" si="337"/>
        <v>1384.4333333333334</v>
      </c>
      <c r="L2750" t="str">
        <f t="shared" si="338"/>
        <v>Sufficuent Stock</v>
      </c>
      <c r="P2750" s="19">
        <f t="shared" si="339"/>
        <v>0</v>
      </c>
      <c r="R2750" s="19">
        <f t="shared" si="336"/>
        <v>0</v>
      </c>
      <c r="T2750" s="19">
        <f t="shared" si="340"/>
        <v>102535.86</v>
      </c>
      <c r="U2750" s="19">
        <f t="shared" si="341"/>
        <v>119290.88</v>
      </c>
      <c r="V2750" s="21">
        <f t="shared" si="342"/>
        <v>16755.020000000004</v>
      </c>
      <c r="W2750" s="18">
        <f t="shared" si="343"/>
        <v>0.1634064414147402</v>
      </c>
    </row>
    <row r="2751" spans="1:23" x14ac:dyDescent="0.3">
      <c r="A2751" t="s">
        <v>1481</v>
      </c>
      <c r="B2751" t="s">
        <v>1689</v>
      </c>
      <c r="C2751" t="s">
        <v>37</v>
      </c>
      <c r="D2751" t="s">
        <v>69</v>
      </c>
      <c r="E2751">
        <v>4544</v>
      </c>
      <c r="F2751">
        <v>471.89</v>
      </c>
      <c r="G2751">
        <v>455.55</v>
      </c>
      <c r="H2751">
        <v>471.89</v>
      </c>
      <c r="I2751">
        <v>1307</v>
      </c>
      <c r="J2751">
        <v>48</v>
      </c>
      <c r="K2751" s="17">
        <f t="shared" si="337"/>
        <v>2091.2000000000003</v>
      </c>
      <c r="L2751" t="str">
        <f t="shared" si="338"/>
        <v>Sufficuent Stock</v>
      </c>
      <c r="P2751" s="19">
        <f t="shared" si="339"/>
        <v>0</v>
      </c>
      <c r="R2751" s="19">
        <f t="shared" si="336"/>
        <v>0</v>
      </c>
      <c r="T2751" s="19">
        <f t="shared" si="340"/>
        <v>595403.85</v>
      </c>
      <c r="U2751" s="19">
        <f t="shared" si="341"/>
        <v>616760.23</v>
      </c>
      <c r="V2751" s="21">
        <f t="shared" si="342"/>
        <v>21356.380000000005</v>
      </c>
      <c r="W2751" s="18">
        <f t="shared" si="343"/>
        <v>3.586873010646472E-2</v>
      </c>
    </row>
    <row r="2752" spans="1:23" x14ac:dyDescent="0.3">
      <c r="A2752" t="s">
        <v>525</v>
      </c>
      <c r="B2752" t="s">
        <v>614</v>
      </c>
      <c r="C2752" t="s">
        <v>37</v>
      </c>
      <c r="D2752" t="s">
        <v>20</v>
      </c>
      <c r="E2752">
        <v>4545</v>
      </c>
      <c r="F2752">
        <v>287.58</v>
      </c>
      <c r="G2752">
        <v>258.27999999999997</v>
      </c>
      <c r="H2752">
        <v>287.58</v>
      </c>
      <c r="I2752">
        <v>1375</v>
      </c>
      <c r="J2752">
        <v>17</v>
      </c>
      <c r="K2752" s="17">
        <f t="shared" si="337"/>
        <v>779.16666666666674</v>
      </c>
      <c r="L2752" t="str">
        <f t="shared" si="338"/>
        <v>Sufficuent Stock</v>
      </c>
      <c r="P2752" s="19">
        <f t="shared" si="339"/>
        <v>0</v>
      </c>
      <c r="R2752" s="19">
        <f t="shared" si="336"/>
        <v>0</v>
      </c>
      <c r="T2752" s="19">
        <f t="shared" si="340"/>
        <v>355134.99999999994</v>
      </c>
      <c r="U2752" s="19">
        <f t="shared" si="341"/>
        <v>395422.5</v>
      </c>
      <c r="V2752" s="21">
        <f t="shared" si="342"/>
        <v>40287.500000000058</v>
      </c>
      <c r="W2752" s="18">
        <f t="shared" si="343"/>
        <v>0.11344277528263919</v>
      </c>
    </row>
    <row r="2753" spans="1:23" x14ac:dyDescent="0.3">
      <c r="A2753" t="s">
        <v>1121</v>
      </c>
      <c r="B2753" t="s">
        <v>2487</v>
      </c>
      <c r="C2753" t="s">
        <v>37</v>
      </c>
      <c r="D2753" t="s">
        <v>69</v>
      </c>
      <c r="E2753">
        <v>4547</v>
      </c>
      <c r="F2753">
        <v>406.02</v>
      </c>
      <c r="G2753">
        <v>367.11</v>
      </c>
      <c r="H2753">
        <v>406.02</v>
      </c>
      <c r="I2753">
        <v>105</v>
      </c>
      <c r="J2753">
        <v>38</v>
      </c>
      <c r="K2753" s="17">
        <f t="shared" si="337"/>
        <v>133</v>
      </c>
      <c r="L2753" t="str">
        <f t="shared" si="338"/>
        <v>Sufficuent Stock</v>
      </c>
      <c r="P2753" s="19">
        <f t="shared" si="339"/>
        <v>0</v>
      </c>
      <c r="R2753" s="19">
        <f t="shared" si="336"/>
        <v>0</v>
      </c>
      <c r="T2753" s="19">
        <f t="shared" si="340"/>
        <v>38546.550000000003</v>
      </c>
      <c r="U2753" s="19">
        <f t="shared" si="341"/>
        <v>42632.1</v>
      </c>
      <c r="V2753" s="21">
        <f t="shared" si="342"/>
        <v>4085.5499999999956</v>
      </c>
      <c r="W2753" s="18">
        <f t="shared" si="343"/>
        <v>0.10599003023616888</v>
      </c>
    </row>
    <row r="2754" spans="1:23" x14ac:dyDescent="0.3">
      <c r="A2754" t="s">
        <v>992</v>
      </c>
      <c r="B2754" t="s">
        <v>1937</v>
      </c>
      <c r="C2754" t="s">
        <v>23</v>
      </c>
      <c r="D2754" t="s">
        <v>69</v>
      </c>
      <c r="E2754">
        <v>4557</v>
      </c>
      <c r="F2754">
        <v>520.14</v>
      </c>
      <c r="G2754">
        <v>445.87</v>
      </c>
      <c r="H2754">
        <v>520.14</v>
      </c>
      <c r="I2754">
        <v>3626</v>
      </c>
      <c r="J2754">
        <v>70</v>
      </c>
      <c r="K2754" s="17">
        <f t="shared" si="337"/>
        <v>8460.6666666666661</v>
      </c>
      <c r="L2754" t="str">
        <f t="shared" si="338"/>
        <v>High Risk</v>
      </c>
      <c r="P2754" s="19">
        <f t="shared" si="339"/>
        <v>3904</v>
      </c>
      <c r="R2754" s="19">
        <f t="shared" ref="R2754:R2817" si="344">P2754*H2754</f>
        <v>2030626.56</v>
      </c>
      <c r="T2754" s="19">
        <f t="shared" si="340"/>
        <v>1616724.62</v>
      </c>
      <c r="U2754" s="19">
        <f t="shared" si="341"/>
        <v>1886027.64</v>
      </c>
      <c r="V2754" s="21">
        <f t="shared" si="342"/>
        <v>269303.01999999979</v>
      </c>
      <c r="W2754" s="18">
        <f t="shared" si="343"/>
        <v>0.16657321640837</v>
      </c>
    </row>
    <row r="2755" spans="1:23" x14ac:dyDescent="0.3">
      <c r="A2755" t="s">
        <v>1679</v>
      </c>
      <c r="B2755" t="s">
        <v>2985</v>
      </c>
      <c r="C2755" t="s">
        <v>23</v>
      </c>
      <c r="D2755" t="s">
        <v>69</v>
      </c>
      <c r="E2755">
        <v>4560</v>
      </c>
      <c r="F2755">
        <v>256.31</v>
      </c>
      <c r="G2755">
        <v>243.92</v>
      </c>
      <c r="H2755">
        <v>256.31</v>
      </c>
      <c r="I2755">
        <v>2665</v>
      </c>
      <c r="J2755">
        <v>34</v>
      </c>
      <c r="K2755" s="17">
        <f t="shared" ref="K2755:K2818" si="345">(I2755/30)*J2755</f>
        <v>3020.333333333333</v>
      </c>
      <c r="L2755" t="str">
        <f t="shared" ref="L2755:L2818" si="346">IF(E2755&lt;K2755,"High Risk","Sufficuent Stock")</f>
        <v>Sufficuent Stock</v>
      </c>
      <c r="P2755" s="19">
        <f t="shared" ref="P2755:P2818" si="347">ROUNDUP(MAX(0,K2755-E2755),0)</f>
        <v>0</v>
      </c>
      <c r="R2755" s="19">
        <f t="shared" si="344"/>
        <v>0</v>
      </c>
      <c r="T2755" s="19">
        <f t="shared" ref="T2755:T2818" si="348">I2755*G2755</f>
        <v>650046.79999999993</v>
      </c>
      <c r="U2755" s="19">
        <f t="shared" ref="U2755:U2818" si="349">I2755*H2755</f>
        <v>683066.15</v>
      </c>
      <c r="V2755" s="21">
        <f t="shared" ref="V2755:V2818" si="350">U2755-T2755</f>
        <v>33019.350000000093</v>
      </c>
      <c r="W2755" s="18">
        <f t="shared" ref="W2755:W2818" si="351">IFERROR(V2755/T2755,0)</f>
        <v>5.0795342735323205E-2</v>
      </c>
    </row>
    <row r="2756" spans="1:23" x14ac:dyDescent="0.3">
      <c r="A2756" t="s">
        <v>489</v>
      </c>
      <c r="B2756" t="s">
        <v>1984</v>
      </c>
      <c r="C2756" t="s">
        <v>37</v>
      </c>
      <c r="D2756" t="s">
        <v>26</v>
      </c>
      <c r="E2756">
        <v>4561</v>
      </c>
      <c r="F2756">
        <v>432.2</v>
      </c>
      <c r="G2756">
        <v>362.04</v>
      </c>
      <c r="H2756">
        <v>432.2</v>
      </c>
      <c r="I2756">
        <v>1989</v>
      </c>
      <c r="J2756">
        <v>32</v>
      </c>
      <c r="K2756" s="17">
        <f t="shared" si="345"/>
        <v>2121.6</v>
      </c>
      <c r="L2756" t="str">
        <f t="shared" si="346"/>
        <v>Sufficuent Stock</v>
      </c>
      <c r="P2756" s="19">
        <f t="shared" si="347"/>
        <v>0</v>
      </c>
      <c r="R2756" s="19">
        <f t="shared" si="344"/>
        <v>0</v>
      </c>
      <c r="T2756" s="19">
        <f t="shared" si="348"/>
        <v>720097.56</v>
      </c>
      <c r="U2756" s="19">
        <f t="shared" si="349"/>
        <v>859645.79999999993</v>
      </c>
      <c r="V2756" s="21">
        <f t="shared" si="350"/>
        <v>139548.23999999987</v>
      </c>
      <c r="W2756" s="18">
        <f t="shared" si="351"/>
        <v>0.19379074135454627</v>
      </c>
    </row>
    <row r="2757" spans="1:23" x14ac:dyDescent="0.3">
      <c r="A2757" t="s">
        <v>418</v>
      </c>
      <c r="B2757" t="s">
        <v>3223</v>
      </c>
      <c r="C2757" t="s">
        <v>37</v>
      </c>
      <c r="D2757" t="s">
        <v>13</v>
      </c>
      <c r="E2757">
        <v>4561</v>
      </c>
      <c r="F2757">
        <v>197.38</v>
      </c>
      <c r="G2757">
        <v>180.11</v>
      </c>
      <c r="H2757">
        <v>197.38</v>
      </c>
      <c r="I2757">
        <v>3759</v>
      </c>
      <c r="J2757">
        <v>53</v>
      </c>
      <c r="K2757" s="17">
        <f t="shared" si="345"/>
        <v>6640.9</v>
      </c>
      <c r="L2757" t="str">
        <f t="shared" si="346"/>
        <v>High Risk</v>
      </c>
      <c r="P2757" s="19">
        <f t="shared" si="347"/>
        <v>2080</v>
      </c>
      <c r="R2757" s="19">
        <f t="shared" si="344"/>
        <v>410550.39999999997</v>
      </c>
      <c r="T2757" s="19">
        <f t="shared" si="348"/>
        <v>677033.49000000011</v>
      </c>
      <c r="U2757" s="19">
        <f t="shared" si="349"/>
        <v>741951.41999999993</v>
      </c>
      <c r="V2757" s="21">
        <f t="shared" si="350"/>
        <v>64917.929999999818</v>
      </c>
      <c r="W2757" s="18">
        <f t="shared" si="351"/>
        <v>9.5885847537615615E-2</v>
      </c>
    </row>
    <row r="2758" spans="1:23" x14ac:dyDescent="0.3">
      <c r="A2758" t="s">
        <v>335</v>
      </c>
      <c r="B2758" t="s">
        <v>409</v>
      </c>
      <c r="C2758" t="s">
        <v>12</v>
      </c>
      <c r="D2758" t="s">
        <v>13</v>
      </c>
      <c r="E2758">
        <v>4562</v>
      </c>
      <c r="F2758">
        <v>184.49</v>
      </c>
      <c r="G2758">
        <v>192.18</v>
      </c>
      <c r="H2758">
        <v>184.49</v>
      </c>
      <c r="I2758">
        <v>2031</v>
      </c>
      <c r="J2758">
        <v>66</v>
      </c>
      <c r="K2758" s="17">
        <f t="shared" si="345"/>
        <v>4468.2</v>
      </c>
      <c r="L2758" t="str">
        <f t="shared" si="346"/>
        <v>Sufficuent Stock</v>
      </c>
      <c r="P2758" s="19">
        <f t="shared" si="347"/>
        <v>0</v>
      </c>
      <c r="R2758" s="19">
        <f t="shared" si="344"/>
        <v>0</v>
      </c>
      <c r="T2758" s="19">
        <f t="shared" si="348"/>
        <v>390317.58</v>
      </c>
      <c r="U2758" s="19">
        <f t="shared" si="349"/>
        <v>374699.19</v>
      </c>
      <c r="V2758" s="21">
        <f t="shared" si="350"/>
        <v>-15618.390000000014</v>
      </c>
      <c r="W2758" s="18">
        <f t="shared" si="351"/>
        <v>-4.0014569674263742E-2</v>
      </c>
    </row>
    <row r="2759" spans="1:23" x14ac:dyDescent="0.3">
      <c r="A2759" t="s">
        <v>157</v>
      </c>
      <c r="B2759" t="s">
        <v>167</v>
      </c>
      <c r="C2759" t="s">
        <v>23</v>
      </c>
      <c r="D2759" t="s">
        <v>20</v>
      </c>
      <c r="E2759">
        <v>4564</v>
      </c>
      <c r="F2759">
        <v>185.67</v>
      </c>
      <c r="G2759">
        <v>168.96</v>
      </c>
      <c r="H2759">
        <v>185.67</v>
      </c>
      <c r="I2759">
        <v>2665</v>
      </c>
      <c r="J2759">
        <v>23</v>
      </c>
      <c r="K2759" s="17">
        <f t="shared" si="345"/>
        <v>2043.1666666666665</v>
      </c>
      <c r="L2759" t="str">
        <f t="shared" si="346"/>
        <v>Sufficuent Stock</v>
      </c>
      <c r="P2759" s="19">
        <f t="shared" si="347"/>
        <v>0</v>
      </c>
      <c r="R2759" s="19">
        <f t="shared" si="344"/>
        <v>0</v>
      </c>
      <c r="T2759" s="19">
        <f t="shared" si="348"/>
        <v>450278.40000000002</v>
      </c>
      <c r="U2759" s="19">
        <f t="shared" si="349"/>
        <v>494810.55</v>
      </c>
      <c r="V2759" s="21">
        <f t="shared" si="350"/>
        <v>44532.149999999965</v>
      </c>
      <c r="W2759" s="18">
        <f t="shared" si="351"/>
        <v>9.8899147727272638E-2</v>
      </c>
    </row>
    <row r="2760" spans="1:23" x14ac:dyDescent="0.3">
      <c r="A2760" t="s">
        <v>585</v>
      </c>
      <c r="B2760" t="s">
        <v>1129</v>
      </c>
      <c r="C2760" t="s">
        <v>37</v>
      </c>
      <c r="D2760" t="s">
        <v>20</v>
      </c>
      <c r="E2760">
        <v>4564</v>
      </c>
      <c r="F2760">
        <v>129.69999999999999</v>
      </c>
      <c r="G2760">
        <v>110.22</v>
      </c>
      <c r="H2760">
        <v>129.69999999999999</v>
      </c>
      <c r="I2760">
        <v>3759</v>
      </c>
      <c r="J2760">
        <v>18</v>
      </c>
      <c r="K2760" s="17">
        <f t="shared" si="345"/>
        <v>2255.4</v>
      </c>
      <c r="L2760" t="str">
        <f t="shared" si="346"/>
        <v>Sufficuent Stock</v>
      </c>
      <c r="P2760" s="19">
        <f t="shared" si="347"/>
        <v>0</v>
      </c>
      <c r="R2760" s="19">
        <f t="shared" si="344"/>
        <v>0</v>
      </c>
      <c r="T2760" s="19">
        <f t="shared" si="348"/>
        <v>414316.98</v>
      </c>
      <c r="U2760" s="19">
        <f t="shared" si="349"/>
        <v>487542.29999999993</v>
      </c>
      <c r="V2760" s="21">
        <f t="shared" si="350"/>
        <v>73225.319999999949</v>
      </c>
      <c r="W2760" s="18">
        <f t="shared" si="351"/>
        <v>0.17673743422246405</v>
      </c>
    </row>
    <row r="2761" spans="1:23" x14ac:dyDescent="0.3">
      <c r="A2761" t="s">
        <v>258</v>
      </c>
      <c r="B2761" t="s">
        <v>259</v>
      </c>
      <c r="C2761" t="s">
        <v>23</v>
      </c>
      <c r="D2761" t="s">
        <v>17</v>
      </c>
      <c r="E2761">
        <v>4565</v>
      </c>
      <c r="F2761">
        <v>454.26</v>
      </c>
      <c r="G2761">
        <v>414.12</v>
      </c>
      <c r="H2761">
        <v>454.26</v>
      </c>
      <c r="I2761">
        <v>175</v>
      </c>
      <c r="J2761">
        <v>82</v>
      </c>
      <c r="K2761" s="17">
        <f t="shared" si="345"/>
        <v>478.33333333333331</v>
      </c>
      <c r="L2761" t="str">
        <f t="shared" si="346"/>
        <v>Sufficuent Stock</v>
      </c>
      <c r="P2761" s="19">
        <f t="shared" si="347"/>
        <v>0</v>
      </c>
      <c r="R2761" s="19">
        <f t="shared" si="344"/>
        <v>0</v>
      </c>
      <c r="T2761" s="19">
        <f t="shared" si="348"/>
        <v>72471</v>
      </c>
      <c r="U2761" s="19">
        <f t="shared" si="349"/>
        <v>79495.5</v>
      </c>
      <c r="V2761" s="21">
        <f t="shared" si="350"/>
        <v>7024.5</v>
      </c>
      <c r="W2761" s="18">
        <f t="shared" si="351"/>
        <v>9.6928426543031007E-2</v>
      </c>
    </row>
    <row r="2762" spans="1:23" x14ac:dyDescent="0.3">
      <c r="A2762" t="s">
        <v>273</v>
      </c>
      <c r="B2762" t="s">
        <v>2808</v>
      </c>
      <c r="C2762" t="s">
        <v>23</v>
      </c>
      <c r="D2762" t="s">
        <v>69</v>
      </c>
      <c r="E2762">
        <v>4565</v>
      </c>
      <c r="F2762">
        <v>387.45</v>
      </c>
      <c r="G2762">
        <v>349</v>
      </c>
      <c r="H2762">
        <v>387.45</v>
      </c>
      <c r="I2762">
        <v>3377</v>
      </c>
      <c r="J2762">
        <v>41</v>
      </c>
      <c r="K2762" s="17">
        <f t="shared" si="345"/>
        <v>4615.2333333333336</v>
      </c>
      <c r="L2762" t="str">
        <f t="shared" si="346"/>
        <v>High Risk</v>
      </c>
      <c r="P2762" s="19">
        <f t="shared" si="347"/>
        <v>51</v>
      </c>
      <c r="R2762" s="19">
        <f t="shared" si="344"/>
        <v>19759.95</v>
      </c>
      <c r="T2762" s="19">
        <f t="shared" si="348"/>
        <v>1178573</v>
      </c>
      <c r="U2762" s="19">
        <f t="shared" si="349"/>
        <v>1308418.6499999999</v>
      </c>
      <c r="V2762" s="21">
        <f t="shared" si="350"/>
        <v>129845.64999999991</v>
      </c>
      <c r="W2762" s="18">
        <f t="shared" si="351"/>
        <v>0.11017191977077356</v>
      </c>
    </row>
    <row r="2763" spans="1:23" x14ac:dyDescent="0.3">
      <c r="A2763" t="s">
        <v>238</v>
      </c>
      <c r="B2763" t="s">
        <v>2221</v>
      </c>
      <c r="C2763" t="s">
        <v>12</v>
      </c>
      <c r="D2763" t="s">
        <v>13</v>
      </c>
      <c r="E2763">
        <v>4566</v>
      </c>
      <c r="F2763">
        <v>157.6</v>
      </c>
      <c r="G2763">
        <v>157.13</v>
      </c>
      <c r="H2763">
        <v>157.6</v>
      </c>
      <c r="I2763">
        <v>2863</v>
      </c>
      <c r="J2763">
        <v>14</v>
      </c>
      <c r="K2763" s="17">
        <f t="shared" si="345"/>
        <v>1336.0666666666666</v>
      </c>
      <c r="L2763" t="str">
        <f t="shared" si="346"/>
        <v>Sufficuent Stock</v>
      </c>
      <c r="P2763" s="19">
        <f t="shared" si="347"/>
        <v>0</v>
      </c>
      <c r="R2763" s="19">
        <f t="shared" si="344"/>
        <v>0</v>
      </c>
      <c r="T2763" s="19">
        <f t="shared" si="348"/>
        <v>449863.19</v>
      </c>
      <c r="U2763" s="19">
        <f t="shared" si="349"/>
        <v>451208.8</v>
      </c>
      <c r="V2763" s="21">
        <f t="shared" si="350"/>
        <v>1345.609999999986</v>
      </c>
      <c r="W2763" s="18">
        <f t="shared" si="351"/>
        <v>2.9911538216762881E-3</v>
      </c>
    </row>
    <row r="2764" spans="1:23" x14ac:dyDescent="0.3">
      <c r="A2764" t="s">
        <v>193</v>
      </c>
      <c r="B2764" t="s">
        <v>3046</v>
      </c>
      <c r="C2764" t="s">
        <v>50</v>
      </c>
      <c r="D2764" t="s">
        <v>69</v>
      </c>
      <c r="E2764">
        <v>4567</v>
      </c>
      <c r="F2764">
        <v>505.34</v>
      </c>
      <c r="G2764">
        <v>450.43</v>
      </c>
      <c r="H2764">
        <v>505.34</v>
      </c>
      <c r="I2764">
        <v>834</v>
      </c>
      <c r="J2764">
        <v>57</v>
      </c>
      <c r="K2764" s="17">
        <f t="shared" si="345"/>
        <v>1584.6000000000001</v>
      </c>
      <c r="L2764" t="str">
        <f t="shared" si="346"/>
        <v>Sufficuent Stock</v>
      </c>
      <c r="P2764" s="19">
        <f t="shared" si="347"/>
        <v>0</v>
      </c>
      <c r="R2764" s="19">
        <f t="shared" si="344"/>
        <v>0</v>
      </c>
      <c r="T2764" s="19">
        <f t="shared" si="348"/>
        <v>375658.62</v>
      </c>
      <c r="U2764" s="19">
        <f t="shared" si="349"/>
        <v>421453.56</v>
      </c>
      <c r="V2764" s="21">
        <f t="shared" si="350"/>
        <v>45794.94</v>
      </c>
      <c r="W2764" s="18">
        <f t="shared" si="351"/>
        <v>0.12190573452034723</v>
      </c>
    </row>
    <row r="2765" spans="1:23" x14ac:dyDescent="0.3">
      <c r="A2765" t="s">
        <v>129</v>
      </c>
      <c r="B2765" t="s">
        <v>2495</v>
      </c>
      <c r="C2765" t="s">
        <v>23</v>
      </c>
      <c r="D2765" t="s">
        <v>17</v>
      </c>
      <c r="E2765">
        <v>4569</v>
      </c>
      <c r="F2765">
        <v>287.33999999999997</v>
      </c>
      <c r="G2765">
        <v>283.29000000000002</v>
      </c>
      <c r="H2765">
        <v>287.33999999999997</v>
      </c>
      <c r="I2765">
        <v>1131</v>
      </c>
      <c r="J2765">
        <v>45</v>
      </c>
      <c r="K2765" s="17">
        <f t="shared" si="345"/>
        <v>1696.5000000000002</v>
      </c>
      <c r="L2765" t="str">
        <f t="shared" si="346"/>
        <v>Sufficuent Stock</v>
      </c>
      <c r="P2765" s="19">
        <f t="shared" si="347"/>
        <v>0</v>
      </c>
      <c r="R2765" s="19">
        <f t="shared" si="344"/>
        <v>0</v>
      </c>
      <c r="T2765" s="19">
        <f t="shared" si="348"/>
        <v>320400.99000000005</v>
      </c>
      <c r="U2765" s="19">
        <f t="shared" si="349"/>
        <v>324981.53999999998</v>
      </c>
      <c r="V2765" s="21">
        <f t="shared" si="350"/>
        <v>4580.5499999999302</v>
      </c>
      <c r="W2765" s="18">
        <f t="shared" si="351"/>
        <v>1.4296304140633053E-2</v>
      </c>
    </row>
    <row r="2766" spans="1:23" x14ac:dyDescent="0.3">
      <c r="A2766" t="s">
        <v>222</v>
      </c>
      <c r="B2766" t="s">
        <v>223</v>
      </c>
      <c r="C2766" t="s">
        <v>23</v>
      </c>
      <c r="D2766" t="s">
        <v>17</v>
      </c>
      <c r="E2766">
        <v>4570</v>
      </c>
      <c r="F2766">
        <v>427.19</v>
      </c>
      <c r="G2766">
        <v>409.36</v>
      </c>
      <c r="H2766">
        <v>427.19</v>
      </c>
      <c r="I2766">
        <v>166</v>
      </c>
      <c r="J2766">
        <v>73</v>
      </c>
      <c r="K2766" s="17">
        <f t="shared" si="345"/>
        <v>403.93333333333334</v>
      </c>
      <c r="L2766" t="str">
        <f t="shared" si="346"/>
        <v>Sufficuent Stock</v>
      </c>
      <c r="P2766" s="19">
        <f t="shared" si="347"/>
        <v>0</v>
      </c>
      <c r="R2766" s="19">
        <f t="shared" si="344"/>
        <v>0</v>
      </c>
      <c r="T2766" s="19">
        <f t="shared" si="348"/>
        <v>67953.760000000009</v>
      </c>
      <c r="U2766" s="19">
        <f t="shared" si="349"/>
        <v>70913.539999999994</v>
      </c>
      <c r="V2766" s="21">
        <f t="shared" si="350"/>
        <v>2959.7799999999843</v>
      </c>
      <c r="W2766" s="18">
        <f t="shared" si="351"/>
        <v>4.3555794410787337E-2</v>
      </c>
    </row>
    <row r="2767" spans="1:23" x14ac:dyDescent="0.3">
      <c r="A2767" t="s">
        <v>161</v>
      </c>
      <c r="B2767" t="s">
        <v>2986</v>
      </c>
      <c r="C2767" t="s">
        <v>50</v>
      </c>
      <c r="D2767" t="s">
        <v>13</v>
      </c>
      <c r="E2767">
        <v>4571</v>
      </c>
      <c r="F2767">
        <v>85.55</v>
      </c>
      <c r="G2767">
        <v>89.29</v>
      </c>
      <c r="H2767">
        <v>85.55</v>
      </c>
      <c r="I2767">
        <v>2010</v>
      </c>
      <c r="J2767">
        <v>16</v>
      </c>
      <c r="K2767" s="17">
        <f t="shared" si="345"/>
        <v>1072</v>
      </c>
      <c r="L2767" t="str">
        <f t="shared" si="346"/>
        <v>Sufficuent Stock</v>
      </c>
      <c r="P2767" s="19">
        <f t="shared" si="347"/>
        <v>0</v>
      </c>
      <c r="R2767" s="19">
        <f t="shared" si="344"/>
        <v>0</v>
      </c>
      <c r="T2767" s="19">
        <f t="shared" si="348"/>
        <v>179472.90000000002</v>
      </c>
      <c r="U2767" s="19">
        <f t="shared" si="349"/>
        <v>171955.5</v>
      </c>
      <c r="V2767" s="21">
        <f t="shared" si="350"/>
        <v>-7517.4000000000233</v>
      </c>
      <c r="W2767" s="18">
        <f t="shared" si="351"/>
        <v>-4.1885989472505443E-2</v>
      </c>
    </row>
    <row r="2768" spans="1:23" x14ac:dyDescent="0.3">
      <c r="A2768" t="s">
        <v>335</v>
      </c>
      <c r="B2768" t="s">
        <v>2577</v>
      </c>
      <c r="C2768" t="s">
        <v>12</v>
      </c>
      <c r="D2768" t="s">
        <v>20</v>
      </c>
      <c r="E2768">
        <v>4572</v>
      </c>
      <c r="F2768">
        <v>240.99</v>
      </c>
      <c r="G2768">
        <v>265.25</v>
      </c>
      <c r="H2768">
        <v>240.99</v>
      </c>
      <c r="I2768">
        <v>2868</v>
      </c>
      <c r="J2768">
        <v>49</v>
      </c>
      <c r="K2768" s="17">
        <f t="shared" si="345"/>
        <v>4684.3999999999996</v>
      </c>
      <c r="L2768" t="str">
        <f t="shared" si="346"/>
        <v>High Risk</v>
      </c>
      <c r="P2768" s="19">
        <f t="shared" si="347"/>
        <v>113</v>
      </c>
      <c r="R2768" s="19">
        <f t="shared" si="344"/>
        <v>27231.870000000003</v>
      </c>
      <c r="T2768" s="19">
        <f t="shared" si="348"/>
        <v>760737</v>
      </c>
      <c r="U2768" s="19">
        <f t="shared" si="349"/>
        <v>691159.32000000007</v>
      </c>
      <c r="V2768" s="21">
        <f t="shared" si="350"/>
        <v>-69577.679999999935</v>
      </c>
      <c r="W2768" s="18">
        <f t="shared" si="351"/>
        <v>-9.1460885956644589E-2</v>
      </c>
    </row>
    <row r="2769" spans="1:23" x14ac:dyDescent="0.3">
      <c r="A2769" t="s">
        <v>395</v>
      </c>
      <c r="B2769" t="s">
        <v>3302</v>
      </c>
      <c r="C2769" t="s">
        <v>50</v>
      </c>
      <c r="D2769" t="s">
        <v>69</v>
      </c>
      <c r="E2769">
        <v>4575</v>
      </c>
      <c r="F2769">
        <v>199.54</v>
      </c>
      <c r="G2769">
        <v>172</v>
      </c>
      <c r="H2769">
        <v>199.54</v>
      </c>
      <c r="I2769">
        <v>3399</v>
      </c>
      <c r="J2769">
        <v>44</v>
      </c>
      <c r="K2769" s="17">
        <f t="shared" si="345"/>
        <v>4985.2</v>
      </c>
      <c r="L2769" t="str">
        <f t="shared" si="346"/>
        <v>High Risk</v>
      </c>
      <c r="P2769" s="19">
        <f t="shared" si="347"/>
        <v>411</v>
      </c>
      <c r="R2769" s="19">
        <f t="shared" si="344"/>
        <v>82010.94</v>
      </c>
      <c r="T2769" s="19">
        <f t="shared" si="348"/>
        <v>584628</v>
      </c>
      <c r="U2769" s="19">
        <f t="shared" si="349"/>
        <v>678236.46</v>
      </c>
      <c r="V2769" s="21">
        <f t="shared" si="350"/>
        <v>93608.459999999963</v>
      </c>
      <c r="W2769" s="18">
        <f t="shared" si="351"/>
        <v>0.16011627906976739</v>
      </c>
    </row>
    <row r="2770" spans="1:23" x14ac:dyDescent="0.3">
      <c r="A2770" t="s">
        <v>27</v>
      </c>
      <c r="B2770" t="s">
        <v>2105</v>
      </c>
      <c r="C2770" t="s">
        <v>16</v>
      </c>
      <c r="D2770" t="s">
        <v>69</v>
      </c>
      <c r="E2770">
        <v>4575</v>
      </c>
      <c r="F2770">
        <v>218.17</v>
      </c>
      <c r="G2770">
        <v>211.8</v>
      </c>
      <c r="H2770">
        <v>218.17</v>
      </c>
      <c r="I2770">
        <v>103</v>
      </c>
      <c r="J2770">
        <v>22</v>
      </c>
      <c r="K2770" s="17">
        <f t="shared" si="345"/>
        <v>75.533333333333331</v>
      </c>
      <c r="L2770" t="str">
        <f t="shared" si="346"/>
        <v>Sufficuent Stock</v>
      </c>
      <c r="P2770" s="19">
        <f t="shared" si="347"/>
        <v>0</v>
      </c>
      <c r="R2770" s="19">
        <f t="shared" si="344"/>
        <v>0</v>
      </c>
      <c r="T2770" s="19">
        <f t="shared" si="348"/>
        <v>21815.4</v>
      </c>
      <c r="U2770" s="19">
        <f t="shared" si="349"/>
        <v>22471.51</v>
      </c>
      <c r="V2770" s="21">
        <f t="shared" si="350"/>
        <v>656.10999999999694</v>
      </c>
      <c r="W2770" s="18">
        <f t="shared" si="351"/>
        <v>3.0075542965061236E-2</v>
      </c>
    </row>
    <row r="2771" spans="1:23" x14ac:dyDescent="0.3">
      <c r="A2771" t="s">
        <v>171</v>
      </c>
      <c r="B2771" t="s">
        <v>603</v>
      </c>
      <c r="C2771" t="s">
        <v>16</v>
      </c>
      <c r="D2771" t="s">
        <v>17</v>
      </c>
      <c r="E2771">
        <v>4579</v>
      </c>
      <c r="F2771">
        <v>150.34</v>
      </c>
      <c r="G2771">
        <v>156.87</v>
      </c>
      <c r="H2771">
        <v>150.34</v>
      </c>
      <c r="I2771">
        <v>3992</v>
      </c>
      <c r="J2771">
        <v>78</v>
      </c>
      <c r="K2771" s="17">
        <f t="shared" si="345"/>
        <v>10379.199999999999</v>
      </c>
      <c r="L2771" t="str">
        <f t="shared" si="346"/>
        <v>High Risk</v>
      </c>
      <c r="P2771" s="19">
        <f t="shared" si="347"/>
        <v>5801</v>
      </c>
      <c r="R2771" s="19">
        <f t="shared" si="344"/>
        <v>872122.34</v>
      </c>
      <c r="T2771" s="19">
        <f t="shared" si="348"/>
        <v>626225.04</v>
      </c>
      <c r="U2771" s="19">
        <f t="shared" si="349"/>
        <v>600157.28</v>
      </c>
      <c r="V2771" s="21">
        <f t="shared" si="350"/>
        <v>-26067.760000000009</v>
      </c>
      <c r="W2771" s="18">
        <f t="shared" si="351"/>
        <v>-4.1626824759354891E-2</v>
      </c>
    </row>
    <row r="2772" spans="1:23" x14ac:dyDescent="0.3">
      <c r="A2772" t="s">
        <v>673</v>
      </c>
      <c r="B2772" t="s">
        <v>908</v>
      </c>
      <c r="C2772" t="s">
        <v>16</v>
      </c>
      <c r="D2772" t="s">
        <v>13</v>
      </c>
      <c r="E2772">
        <v>4579</v>
      </c>
      <c r="F2772">
        <v>26.05</v>
      </c>
      <c r="G2772">
        <v>28.81</v>
      </c>
      <c r="H2772">
        <v>26.05</v>
      </c>
      <c r="I2772">
        <v>1988</v>
      </c>
      <c r="J2772">
        <v>65</v>
      </c>
      <c r="K2772" s="17">
        <f t="shared" si="345"/>
        <v>4307.333333333333</v>
      </c>
      <c r="L2772" t="str">
        <f t="shared" si="346"/>
        <v>Sufficuent Stock</v>
      </c>
      <c r="P2772" s="19">
        <f t="shared" si="347"/>
        <v>0</v>
      </c>
      <c r="R2772" s="19">
        <f t="shared" si="344"/>
        <v>0</v>
      </c>
      <c r="T2772" s="19">
        <f t="shared" si="348"/>
        <v>57274.28</v>
      </c>
      <c r="U2772" s="19">
        <f t="shared" si="349"/>
        <v>51787.4</v>
      </c>
      <c r="V2772" s="21">
        <f t="shared" si="350"/>
        <v>-5486.8799999999974</v>
      </c>
      <c r="W2772" s="18">
        <f t="shared" si="351"/>
        <v>-9.5800069420340112E-2</v>
      </c>
    </row>
    <row r="2773" spans="1:23" x14ac:dyDescent="0.3">
      <c r="A2773" t="s">
        <v>157</v>
      </c>
      <c r="B2773" t="s">
        <v>2627</v>
      </c>
      <c r="C2773" t="s">
        <v>37</v>
      </c>
      <c r="D2773" t="s">
        <v>26</v>
      </c>
      <c r="E2773">
        <v>4580</v>
      </c>
      <c r="F2773">
        <v>161.22999999999999</v>
      </c>
      <c r="G2773">
        <v>170.37</v>
      </c>
      <c r="H2773">
        <v>161.22999999999999</v>
      </c>
      <c r="I2773">
        <v>3332</v>
      </c>
      <c r="J2773">
        <v>62</v>
      </c>
      <c r="K2773" s="17">
        <f t="shared" si="345"/>
        <v>6886.1333333333332</v>
      </c>
      <c r="L2773" t="str">
        <f t="shared" si="346"/>
        <v>High Risk</v>
      </c>
      <c r="P2773" s="19">
        <f t="shared" si="347"/>
        <v>2307</v>
      </c>
      <c r="R2773" s="19">
        <f t="shared" si="344"/>
        <v>371957.61</v>
      </c>
      <c r="T2773" s="19">
        <f t="shared" si="348"/>
        <v>567672.84</v>
      </c>
      <c r="U2773" s="19">
        <f t="shared" si="349"/>
        <v>537218.36</v>
      </c>
      <c r="V2773" s="21">
        <f t="shared" si="350"/>
        <v>-30454.479999999981</v>
      </c>
      <c r="W2773" s="18">
        <f t="shared" si="351"/>
        <v>-5.3647942712918908E-2</v>
      </c>
    </row>
    <row r="2774" spans="1:23" x14ac:dyDescent="0.3">
      <c r="A2774" t="s">
        <v>424</v>
      </c>
      <c r="B2774" t="s">
        <v>2143</v>
      </c>
      <c r="C2774" t="s">
        <v>50</v>
      </c>
      <c r="D2774" t="s">
        <v>26</v>
      </c>
      <c r="E2774">
        <v>4580</v>
      </c>
      <c r="F2774">
        <v>100.63</v>
      </c>
      <c r="G2774">
        <v>104.26</v>
      </c>
      <c r="H2774">
        <v>100.63</v>
      </c>
      <c r="I2774">
        <v>2710</v>
      </c>
      <c r="J2774">
        <v>28</v>
      </c>
      <c r="K2774" s="17">
        <f t="shared" si="345"/>
        <v>2529.333333333333</v>
      </c>
      <c r="L2774" t="str">
        <f t="shared" si="346"/>
        <v>Sufficuent Stock</v>
      </c>
      <c r="P2774" s="19">
        <f t="shared" si="347"/>
        <v>0</v>
      </c>
      <c r="R2774" s="19">
        <f t="shared" si="344"/>
        <v>0</v>
      </c>
      <c r="T2774" s="19">
        <f t="shared" si="348"/>
        <v>282544.60000000003</v>
      </c>
      <c r="U2774" s="19">
        <f t="shared" si="349"/>
        <v>272707.3</v>
      </c>
      <c r="V2774" s="21">
        <f t="shared" si="350"/>
        <v>-9837.3000000000466</v>
      </c>
      <c r="W2774" s="18">
        <f t="shared" si="351"/>
        <v>-3.4816804143487597E-2</v>
      </c>
    </row>
    <row r="2775" spans="1:23" x14ac:dyDescent="0.3">
      <c r="A2775" t="s">
        <v>590</v>
      </c>
      <c r="B2775" t="s">
        <v>1669</v>
      </c>
      <c r="C2775" t="s">
        <v>23</v>
      </c>
      <c r="D2775" t="s">
        <v>17</v>
      </c>
      <c r="E2775">
        <v>4580</v>
      </c>
      <c r="F2775">
        <v>412.38</v>
      </c>
      <c r="G2775">
        <v>413.56</v>
      </c>
      <c r="H2775">
        <v>412.38</v>
      </c>
      <c r="I2775">
        <v>2438</v>
      </c>
      <c r="J2775">
        <v>43</v>
      </c>
      <c r="K2775" s="17">
        <f t="shared" si="345"/>
        <v>3494.4666666666667</v>
      </c>
      <c r="L2775" t="str">
        <f t="shared" si="346"/>
        <v>Sufficuent Stock</v>
      </c>
      <c r="P2775" s="19">
        <f t="shared" si="347"/>
        <v>0</v>
      </c>
      <c r="R2775" s="19">
        <f t="shared" si="344"/>
        <v>0</v>
      </c>
      <c r="T2775" s="19">
        <f t="shared" si="348"/>
        <v>1008259.28</v>
      </c>
      <c r="U2775" s="19">
        <f t="shared" si="349"/>
        <v>1005382.44</v>
      </c>
      <c r="V2775" s="21">
        <f t="shared" si="350"/>
        <v>-2876.8400000000838</v>
      </c>
      <c r="W2775" s="18">
        <f t="shared" si="351"/>
        <v>-2.8532740110262943E-3</v>
      </c>
    </row>
    <row r="2776" spans="1:23" x14ac:dyDescent="0.3">
      <c r="A2776" t="s">
        <v>489</v>
      </c>
      <c r="B2776" t="s">
        <v>1847</v>
      </c>
      <c r="C2776" t="s">
        <v>37</v>
      </c>
      <c r="D2776" t="s">
        <v>20</v>
      </c>
      <c r="E2776">
        <v>4582</v>
      </c>
      <c r="F2776">
        <v>231.61</v>
      </c>
      <c r="G2776">
        <v>211.2</v>
      </c>
      <c r="H2776">
        <v>231.61</v>
      </c>
      <c r="I2776">
        <v>1980</v>
      </c>
      <c r="J2776">
        <v>20</v>
      </c>
      <c r="K2776" s="17">
        <f t="shared" si="345"/>
        <v>1320</v>
      </c>
      <c r="L2776" t="str">
        <f t="shared" si="346"/>
        <v>Sufficuent Stock</v>
      </c>
      <c r="P2776" s="19">
        <f t="shared" si="347"/>
        <v>0</v>
      </c>
      <c r="R2776" s="19">
        <f t="shared" si="344"/>
        <v>0</v>
      </c>
      <c r="T2776" s="19">
        <f t="shared" si="348"/>
        <v>418176</v>
      </c>
      <c r="U2776" s="19">
        <f t="shared" si="349"/>
        <v>458587.80000000005</v>
      </c>
      <c r="V2776" s="21">
        <f t="shared" si="350"/>
        <v>40411.800000000047</v>
      </c>
      <c r="W2776" s="18">
        <f t="shared" si="351"/>
        <v>9.6638257575757683E-2</v>
      </c>
    </row>
    <row r="2777" spans="1:23" x14ac:dyDescent="0.3">
      <c r="A2777" t="s">
        <v>1014</v>
      </c>
      <c r="B2777" t="s">
        <v>2925</v>
      </c>
      <c r="C2777" t="s">
        <v>23</v>
      </c>
      <c r="D2777" t="s">
        <v>69</v>
      </c>
      <c r="E2777">
        <v>4584</v>
      </c>
      <c r="F2777">
        <v>383.83</v>
      </c>
      <c r="G2777">
        <v>338.95</v>
      </c>
      <c r="H2777">
        <v>383.83</v>
      </c>
      <c r="I2777">
        <v>1012</v>
      </c>
      <c r="J2777">
        <v>71</v>
      </c>
      <c r="K2777" s="17">
        <f t="shared" si="345"/>
        <v>2395.0666666666666</v>
      </c>
      <c r="L2777" t="str">
        <f t="shared" si="346"/>
        <v>Sufficuent Stock</v>
      </c>
      <c r="P2777" s="19">
        <f t="shared" si="347"/>
        <v>0</v>
      </c>
      <c r="R2777" s="19">
        <f t="shared" si="344"/>
        <v>0</v>
      </c>
      <c r="T2777" s="19">
        <f t="shared" si="348"/>
        <v>343017.39999999997</v>
      </c>
      <c r="U2777" s="19">
        <f t="shared" si="349"/>
        <v>388435.95999999996</v>
      </c>
      <c r="V2777" s="21">
        <f t="shared" si="350"/>
        <v>45418.559999999998</v>
      </c>
      <c r="W2777" s="18">
        <f t="shared" si="351"/>
        <v>0.1324089098687122</v>
      </c>
    </row>
    <row r="2778" spans="1:23" x14ac:dyDescent="0.3">
      <c r="A2778" t="s">
        <v>65</v>
      </c>
      <c r="B2778" t="s">
        <v>2492</v>
      </c>
      <c r="C2778" t="s">
        <v>12</v>
      </c>
      <c r="D2778" t="s">
        <v>26</v>
      </c>
      <c r="E2778">
        <v>4585</v>
      </c>
      <c r="F2778">
        <v>190.33</v>
      </c>
      <c r="G2778">
        <v>211.37</v>
      </c>
      <c r="H2778">
        <v>190.33</v>
      </c>
      <c r="I2778">
        <v>1978</v>
      </c>
      <c r="J2778">
        <v>48</v>
      </c>
      <c r="K2778" s="17">
        <f t="shared" si="345"/>
        <v>3164.8</v>
      </c>
      <c r="L2778" t="str">
        <f t="shared" si="346"/>
        <v>Sufficuent Stock</v>
      </c>
      <c r="P2778" s="19">
        <f t="shared" si="347"/>
        <v>0</v>
      </c>
      <c r="R2778" s="19">
        <f t="shared" si="344"/>
        <v>0</v>
      </c>
      <c r="T2778" s="19">
        <f t="shared" si="348"/>
        <v>418089.86</v>
      </c>
      <c r="U2778" s="19">
        <f t="shared" si="349"/>
        <v>376472.74000000005</v>
      </c>
      <c r="V2778" s="21">
        <f t="shared" si="350"/>
        <v>-41617.119999999937</v>
      </c>
      <c r="W2778" s="18">
        <f t="shared" si="351"/>
        <v>-9.9541089085489753E-2</v>
      </c>
    </row>
    <row r="2779" spans="1:23" x14ac:dyDescent="0.3">
      <c r="A2779" t="s">
        <v>618</v>
      </c>
      <c r="B2779" t="s">
        <v>2092</v>
      </c>
      <c r="C2779" t="s">
        <v>12</v>
      </c>
      <c r="D2779" t="s">
        <v>69</v>
      </c>
      <c r="E2779">
        <v>4587</v>
      </c>
      <c r="F2779">
        <v>264.17</v>
      </c>
      <c r="G2779">
        <v>249.91</v>
      </c>
      <c r="H2779">
        <v>264.17</v>
      </c>
      <c r="I2779">
        <v>2008</v>
      </c>
      <c r="J2779">
        <v>36</v>
      </c>
      <c r="K2779" s="17">
        <f t="shared" si="345"/>
        <v>2409.6000000000004</v>
      </c>
      <c r="L2779" t="str">
        <f t="shared" si="346"/>
        <v>Sufficuent Stock</v>
      </c>
      <c r="P2779" s="19">
        <f t="shared" si="347"/>
        <v>0</v>
      </c>
      <c r="R2779" s="19">
        <f t="shared" si="344"/>
        <v>0</v>
      </c>
      <c r="T2779" s="19">
        <f t="shared" si="348"/>
        <v>501819.27999999997</v>
      </c>
      <c r="U2779" s="19">
        <f t="shared" si="349"/>
        <v>530453.36</v>
      </c>
      <c r="V2779" s="21">
        <f t="shared" si="350"/>
        <v>28634.080000000016</v>
      </c>
      <c r="W2779" s="18">
        <f t="shared" si="351"/>
        <v>5.706054179504625E-2</v>
      </c>
    </row>
    <row r="2780" spans="1:23" x14ac:dyDescent="0.3">
      <c r="A2780" t="s">
        <v>76</v>
      </c>
      <c r="B2780" t="s">
        <v>1255</v>
      </c>
      <c r="C2780" t="s">
        <v>23</v>
      </c>
      <c r="D2780" t="s">
        <v>20</v>
      </c>
      <c r="E2780">
        <v>4589</v>
      </c>
      <c r="F2780">
        <v>55.98</v>
      </c>
      <c r="G2780">
        <v>48.9</v>
      </c>
      <c r="H2780">
        <v>55.98</v>
      </c>
      <c r="I2780">
        <v>2597</v>
      </c>
      <c r="J2780">
        <v>44</v>
      </c>
      <c r="K2780" s="17">
        <f t="shared" si="345"/>
        <v>3808.9333333333334</v>
      </c>
      <c r="L2780" t="str">
        <f t="shared" si="346"/>
        <v>Sufficuent Stock</v>
      </c>
      <c r="P2780" s="19">
        <f t="shared" si="347"/>
        <v>0</v>
      </c>
      <c r="R2780" s="19">
        <f t="shared" si="344"/>
        <v>0</v>
      </c>
      <c r="T2780" s="19">
        <f t="shared" si="348"/>
        <v>126993.3</v>
      </c>
      <c r="U2780" s="19">
        <f t="shared" si="349"/>
        <v>145380.06</v>
      </c>
      <c r="V2780" s="21">
        <f t="shared" si="350"/>
        <v>18386.759999999995</v>
      </c>
      <c r="W2780" s="18">
        <f t="shared" si="351"/>
        <v>0.1447852760736196</v>
      </c>
    </row>
    <row r="2781" spans="1:23" x14ac:dyDescent="0.3">
      <c r="A2781" t="s">
        <v>1060</v>
      </c>
      <c r="B2781" t="s">
        <v>1443</v>
      </c>
      <c r="C2781" t="s">
        <v>12</v>
      </c>
      <c r="D2781" t="s">
        <v>20</v>
      </c>
      <c r="E2781">
        <v>4593</v>
      </c>
      <c r="F2781">
        <v>148.91999999999999</v>
      </c>
      <c r="G2781">
        <v>149.1</v>
      </c>
      <c r="H2781">
        <v>148.91999999999999</v>
      </c>
      <c r="I2781">
        <v>3263</v>
      </c>
      <c r="J2781">
        <v>82</v>
      </c>
      <c r="K2781" s="17">
        <f t="shared" si="345"/>
        <v>8918.8666666666668</v>
      </c>
      <c r="L2781" t="str">
        <f t="shared" si="346"/>
        <v>High Risk</v>
      </c>
      <c r="P2781" s="19">
        <f t="shared" si="347"/>
        <v>4326</v>
      </c>
      <c r="R2781" s="19">
        <f t="shared" si="344"/>
        <v>644227.91999999993</v>
      </c>
      <c r="T2781" s="19">
        <f t="shared" si="348"/>
        <v>486513.3</v>
      </c>
      <c r="U2781" s="19">
        <f t="shared" si="349"/>
        <v>485925.95999999996</v>
      </c>
      <c r="V2781" s="21">
        <f t="shared" si="350"/>
        <v>-587.34000000002561</v>
      </c>
      <c r="W2781" s="18">
        <f t="shared" si="351"/>
        <v>-1.2072434607646402E-3</v>
      </c>
    </row>
    <row r="2782" spans="1:23" x14ac:dyDescent="0.3">
      <c r="A2782" t="s">
        <v>145</v>
      </c>
      <c r="B2782" t="s">
        <v>1952</v>
      </c>
      <c r="C2782" t="s">
        <v>12</v>
      </c>
      <c r="D2782" t="s">
        <v>20</v>
      </c>
      <c r="E2782">
        <v>4596</v>
      </c>
      <c r="F2782">
        <v>436.51</v>
      </c>
      <c r="G2782">
        <v>379.76</v>
      </c>
      <c r="H2782">
        <v>436.51</v>
      </c>
      <c r="I2782">
        <v>57</v>
      </c>
      <c r="J2782">
        <v>77</v>
      </c>
      <c r="K2782" s="17">
        <f t="shared" si="345"/>
        <v>146.29999999999998</v>
      </c>
      <c r="L2782" t="str">
        <f t="shared" si="346"/>
        <v>Sufficuent Stock</v>
      </c>
      <c r="P2782" s="19">
        <f t="shared" si="347"/>
        <v>0</v>
      </c>
      <c r="R2782" s="19">
        <f t="shared" si="344"/>
        <v>0</v>
      </c>
      <c r="T2782" s="19">
        <f t="shared" si="348"/>
        <v>21646.32</v>
      </c>
      <c r="U2782" s="19">
        <f t="shared" si="349"/>
        <v>24881.07</v>
      </c>
      <c r="V2782" s="21">
        <f t="shared" si="350"/>
        <v>3234.75</v>
      </c>
      <c r="W2782" s="18">
        <f t="shared" si="351"/>
        <v>0.14943648620181169</v>
      </c>
    </row>
    <row r="2783" spans="1:23" x14ac:dyDescent="0.3">
      <c r="A2783" t="s">
        <v>585</v>
      </c>
      <c r="B2783" t="s">
        <v>586</v>
      </c>
      <c r="C2783" t="s">
        <v>23</v>
      </c>
      <c r="D2783" t="s">
        <v>17</v>
      </c>
      <c r="E2783">
        <v>4596</v>
      </c>
      <c r="F2783">
        <v>509.59</v>
      </c>
      <c r="G2783">
        <v>495.86</v>
      </c>
      <c r="H2783">
        <v>509.59</v>
      </c>
      <c r="I2783">
        <v>2527</v>
      </c>
      <c r="J2783">
        <v>18</v>
      </c>
      <c r="K2783" s="17">
        <f t="shared" si="345"/>
        <v>1516.2</v>
      </c>
      <c r="L2783" t="str">
        <f t="shared" si="346"/>
        <v>Sufficuent Stock</v>
      </c>
      <c r="P2783" s="19">
        <f t="shared" si="347"/>
        <v>0</v>
      </c>
      <c r="R2783" s="19">
        <f t="shared" si="344"/>
        <v>0</v>
      </c>
      <c r="T2783" s="19">
        <f t="shared" si="348"/>
        <v>1253038.22</v>
      </c>
      <c r="U2783" s="19">
        <f t="shared" si="349"/>
        <v>1287733.93</v>
      </c>
      <c r="V2783" s="21">
        <f t="shared" si="350"/>
        <v>34695.709999999963</v>
      </c>
      <c r="W2783" s="18">
        <f t="shared" si="351"/>
        <v>2.7689267131851703E-2</v>
      </c>
    </row>
    <row r="2784" spans="1:23" x14ac:dyDescent="0.3">
      <c r="A2784" t="s">
        <v>480</v>
      </c>
      <c r="B2784" t="s">
        <v>2186</v>
      </c>
      <c r="C2784" t="s">
        <v>37</v>
      </c>
      <c r="D2784" t="s">
        <v>20</v>
      </c>
      <c r="E2784">
        <v>4601</v>
      </c>
      <c r="F2784">
        <v>390.07</v>
      </c>
      <c r="G2784">
        <v>344.84</v>
      </c>
      <c r="H2784">
        <v>390.07</v>
      </c>
      <c r="I2784">
        <v>3909</v>
      </c>
      <c r="J2784">
        <v>23</v>
      </c>
      <c r="K2784" s="17">
        <f t="shared" si="345"/>
        <v>2996.9</v>
      </c>
      <c r="L2784" t="str">
        <f t="shared" si="346"/>
        <v>Sufficuent Stock</v>
      </c>
      <c r="P2784" s="19">
        <f t="shared" si="347"/>
        <v>0</v>
      </c>
      <c r="R2784" s="19">
        <f t="shared" si="344"/>
        <v>0</v>
      </c>
      <c r="T2784" s="19">
        <f t="shared" si="348"/>
        <v>1347979.5599999998</v>
      </c>
      <c r="U2784" s="19">
        <f t="shared" si="349"/>
        <v>1524783.63</v>
      </c>
      <c r="V2784" s="21">
        <f t="shared" si="350"/>
        <v>176804.07000000007</v>
      </c>
      <c r="W2784" s="18">
        <f t="shared" si="351"/>
        <v>0.13116227815798637</v>
      </c>
    </row>
    <row r="2785" spans="1:23" x14ac:dyDescent="0.3">
      <c r="A2785" t="s">
        <v>188</v>
      </c>
      <c r="B2785" t="s">
        <v>1328</v>
      </c>
      <c r="C2785" t="s">
        <v>12</v>
      </c>
      <c r="D2785" t="s">
        <v>17</v>
      </c>
      <c r="E2785">
        <v>4602</v>
      </c>
      <c r="F2785">
        <v>162.38</v>
      </c>
      <c r="G2785">
        <v>171.14</v>
      </c>
      <c r="H2785">
        <v>162.38</v>
      </c>
      <c r="I2785">
        <v>3914</v>
      </c>
      <c r="J2785">
        <v>51</v>
      </c>
      <c r="K2785" s="17">
        <f t="shared" si="345"/>
        <v>6653.8</v>
      </c>
      <c r="L2785" t="str">
        <f t="shared" si="346"/>
        <v>High Risk</v>
      </c>
      <c r="P2785" s="19">
        <f t="shared" si="347"/>
        <v>2052</v>
      </c>
      <c r="R2785" s="19">
        <f t="shared" si="344"/>
        <v>333203.76</v>
      </c>
      <c r="T2785" s="19">
        <f t="shared" si="348"/>
        <v>669841.96</v>
      </c>
      <c r="U2785" s="19">
        <f t="shared" si="349"/>
        <v>635555.31999999995</v>
      </c>
      <c r="V2785" s="21">
        <f t="shared" si="350"/>
        <v>-34286.640000000014</v>
      </c>
      <c r="W2785" s="18">
        <f t="shared" si="351"/>
        <v>-5.118616337501463E-2</v>
      </c>
    </row>
    <row r="2786" spans="1:23" x14ac:dyDescent="0.3">
      <c r="A2786" t="s">
        <v>117</v>
      </c>
      <c r="B2786" t="s">
        <v>2234</v>
      </c>
      <c r="C2786" t="s">
        <v>23</v>
      </c>
      <c r="D2786" t="s">
        <v>13</v>
      </c>
      <c r="E2786">
        <v>4603</v>
      </c>
      <c r="F2786">
        <v>185.88</v>
      </c>
      <c r="G2786">
        <v>183.24</v>
      </c>
      <c r="H2786">
        <v>185.88</v>
      </c>
      <c r="I2786">
        <v>2906</v>
      </c>
      <c r="J2786">
        <v>47</v>
      </c>
      <c r="K2786" s="17">
        <f t="shared" si="345"/>
        <v>4552.7333333333327</v>
      </c>
      <c r="L2786" t="str">
        <f t="shared" si="346"/>
        <v>Sufficuent Stock</v>
      </c>
      <c r="P2786" s="19">
        <f t="shared" si="347"/>
        <v>0</v>
      </c>
      <c r="R2786" s="19">
        <f t="shared" si="344"/>
        <v>0</v>
      </c>
      <c r="T2786" s="19">
        <f t="shared" si="348"/>
        <v>532495.44000000006</v>
      </c>
      <c r="U2786" s="19">
        <f t="shared" si="349"/>
        <v>540167.28</v>
      </c>
      <c r="V2786" s="21">
        <f t="shared" si="350"/>
        <v>7671.8399999999674</v>
      </c>
      <c r="W2786" s="18">
        <f t="shared" si="351"/>
        <v>1.4407334643090965E-2</v>
      </c>
    </row>
    <row r="2787" spans="1:23" x14ac:dyDescent="0.3">
      <c r="A2787" t="s">
        <v>157</v>
      </c>
      <c r="B2787" t="s">
        <v>1724</v>
      </c>
      <c r="C2787" t="s">
        <v>37</v>
      </c>
      <c r="D2787" t="s">
        <v>69</v>
      </c>
      <c r="E2787">
        <v>4604</v>
      </c>
      <c r="F2787">
        <v>217.9</v>
      </c>
      <c r="G2787">
        <v>210.29</v>
      </c>
      <c r="H2787">
        <v>217.9</v>
      </c>
      <c r="I2787">
        <v>686</v>
      </c>
      <c r="J2787">
        <v>41</v>
      </c>
      <c r="K2787" s="17">
        <f t="shared" si="345"/>
        <v>937.5333333333333</v>
      </c>
      <c r="L2787" t="str">
        <f t="shared" si="346"/>
        <v>Sufficuent Stock</v>
      </c>
      <c r="P2787" s="19">
        <f t="shared" si="347"/>
        <v>0</v>
      </c>
      <c r="R2787" s="19">
        <f t="shared" si="344"/>
        <v>0</v>
      </c>
      <c r="T2787" s="19">
        <f t="shared" si="348"/>
        <v>144258.94</v>
      </c>
      <c r="U2787" s="19">
        <f t="shared" si="349"/>
        <v>149479.4</v>
      </c>
      <c r="V2787" s="21">
        <f t="shared" si="350"/>
        <v>5220.4599999999919</v>
      </c>
      <c r="W2787" s="18">
        <f t="shared" si="351"/>
        <v>3.6188121166008787E-2</v>
      </c>
    </row>
    <row r="2788" spans="1:23" x14ac:dyDescent="0.3">
      <c r="A2788" t="s">
        <v>70</v>
      </c>
      <c r="B2788" t="s">
        <v>1289</v>
      </c>
      <c r="C2788" t="s">
        <v>50</v>
      </c>
      <c r="D2788" t="s">
        <v>69</v>
      </c>
      <c r="E2788">
        <v>4605</v>
      </c>
      <c r="F2788">
        <v>109.18</v>
      </c>
      <c r="G2788">
        <v>95.4</v>
      </c>
      <c r="H2788">
        <v>109.18</v>
      </c>
      <c r="I2788">
        <v>3748</v>
      </c>
      <c r="J2788">
        <v>24</v>
      </c>
      <c r="K2788" s="17">
        <f t="shared" si="345"/>
        <v>2998.4</v>
      </c>
      <c r="L2788" t="str">
        <f t="shared" si="346"/>
        <v>Sufficuent Stock</v>
      </c>
      <c r="P2788" s="19">
        <f t="shared" si="347"/>
        <v>0</v>
      </c>
      <c r="R2788" s="19">
        <f t="shared" si="344"/>
        <v>0</v>
      </c>
      <c r="T2788" s="19">
        <f t="shared" si="348"/>
        <v>357559.2</v>
      </c>
      <c r="U2788" s="19">
        <f t="shared" si="349"/>
        <v>409206.64</v>
      </c>
      <c r="V2788" s="21">
        <f t="shared" si="350"/>
        <v>51647.44</v>
      </c>
      <c r="W2788" s="18">
        <f t="shared" si="351"/>
        <v>0.14444444444444446</v>
      </c>
    </row>
    <row r="2789" spans="1:23" x14ac:dyDescent="0.3">
      <c r="A2789" t="s">
        <v>798</v>
      </c>
      <c r="B2789" t="s">
        <v>2336</v>
      </c>
      <c r="C2789" t="s">
        <v>16</v>
      </c>
      <c r="D2789" t="s">
        <v>26</v>
      </c>
      <c r="E2789">
        <v>4607</v>
      </c>
      <c r="F2789">
        <v>334.12</v>
      </c>
      <c r="G2789">
        <v>332.22</v>
      </c>
      <c r="H2789">
        <v>334.12</v>
      </c>
      <c r="I2789">
        <v>1487</v>
      </c>
      <c r="J2789">
        <v>46</v>
      </c>
      <c r="K2789" s="17">
        <f t="shared" si="345"/>
        <v>2280.0666666666666</v>
      </c>
      <c r="L2789" t="str">
        <f t="shared" si="346"/>
        <v>Sufficuent Stock</v>
      </c>
      <c r="P2789" s="19">
        <f t="shared" si="347"/>
        <v>0</v>
      </c>
      <c r="R2789" s="19">
        <f t="shared" si="344"/>
        <v>0</v>
      </c>
      <c r="T2789" s="19">
        <f t="shared" si="348"/>
        <v>494011.14</v>
      </c>
      <c r="U2789" s="19">
        <f t="shared" si="349"/>
        <v>496836.44</v>
      </c>
      <c r="V2789" s="21">
        <f t="shared" si="350"/>
        <v>2825.2999999999884</v>
      </c>
      <c r="W2789" s="18">
        <f t="shared" si="351"/>
        <v>5.7191018000120166E-3</v>
      </c>
    </row>
    <row r="2790" spans="1:23" x14ac:dyDescent="0.3">
      <c r="A2790" t="s">
        <v>923</v>
      </c>
      <c r="B2790" t="s">
        <v>1471</v>
      </c>
      <c r="C2790" t="s">
        <v>12</v>
      </c>
      <c r="D2790" t="s">
        <v>20</v>
      </c>
      <c r="E2790">
        <v>4607</v>
      </c>
      <c r="F2790">
        <v>379.95</v>
      </c>
      <c r="G2790">
        <v>398.39</v>
      </c>
      <c r="H2790">
        <v>379.95</v>
      </c>
      <c r="I2790">
        <v>2351</v>
      </c>
      <c r="J2790">
        <v>55</v>
      </c>
      <c r="K2790" s="17">
        <f t="shared" si="345"/>
        <v>4310.1666666666661</v>
      </c>
      <c r="L2790" t="str">
        <f t="shared" si="346"/>
        <v>Sufficuent Stock</v>
      </c>
      <c r="P2790" s="19">
        <f t="shared" si="347"/>
        <v>0</v>
      </c>
      <c r="R2790" s="19">
        <f t="shared" si="344"/>
        <v>0</v>
      </c>
      <c r="T2790" s="19">
        <f t="shared" si="348"/>
        <v>936614.89</v>
      </c>
      <c r="U2790" s="19">
        <f t="shared" si="349"/>
        <v>893262.45</v>
      </c>
      <c r="V2790" s="21">
        <f t="shared" si="350"/>
        <v>-43352.440000000061</v>
      </c>
      <c r="W2790" s="18">
        <f t="shared" si="351"/>
        <v>-4.6286302367027347E-2</v>
      </c>
    </row>
    <row r="2791" spans="1:23" x14ac:dyDescent="0.3">
      <c r="A2791" t="s">
        <v>480</v>
      </c>
      <c r="B2791" t="s">
        <v>2778</v>
      </c>
      <c r="C2791" t="s">
        <v>23</v>
      </c>
      <c r="D2791" t="s">
        <v>69</v>
      </c>
      <c r="E2791">
        <v>4610</v>
      </c>
      <c r="F2791">
        <v>170.62</v>
      </c>
      <c r="G2791">
        <v>164.75</v>
      </c>
      <c r="H2791">
        <v>170.62</v>
      </c>
      <c r="I2791">
        <v>3220</v>
      </c>
      <c r="J2791">
        <v>58</v>
      </c>
      <c r="K2791" s="17">
        <f t="shared" si="345"/>
        <v>6225.333333333333</v>
      </c>
      <c r="L2791" t="str">
        <f t="shared" si="346"/>
        <v>High Risk</v>
      </c>
      <c r="P2791" s="19">
        <f t="shared" si="347"/>
        <v>1616</v>
      </c>
      <c r="R2791" s="19">
        <f t="shared" si="344"/>
        <v>275721.92</v>
      </c>
      <c r="T2791" s="19">
        <f t="shared" si="348"/>
        <v>530495</v>
      </c>
      <c r="U2791" s="19">
        <f t="shared" si="349"/>
        <v>549396.4</v>
      </c>
      <c r="V2791" s="21">
        <f t="shared" si="350"/>
        <v>18901.400000000023</v>
      </c>
      <c r="W2791" s="18">
        <f t="shared" si="351"/>
        <v>3.5629742033383961E-2</v>
      </c>
    </row>
    <row r="2792" spans="1:23" x14ac:dyDescent="0.3">
      <c r="A2792" t="s">
        <v>205</v>
      </c>
      <c r="B2792" t="s">
        <v>3293</v>
      </c>
      <c r="C2792" t="s">
        <v>50</v>
      </c>
      <c r="D2792" t="s">
        <v>17</v>
      </c>
      <c r="E2792">
        <v>4610</v>
      </c>
      <c r="F2792">
        <v>420.52</v>
      </c>
      <c r="G2792">
        <v>375.09</v>
      </c>
      <c r="H2792">
        <v>420.52</v>
      </c>
      <c r="I2792">
        <v>2342</v>
      </c>
      <c r="J2792">
        <v>32</v>
      </c>
      <c r="K2792" s="17">
        <f t="shared" si="345"/>
        <v>2498.1333333333332</v>
      </c>
      <c r="L2792" t="str">
        <f t="shared" si="346"/>
        <v>Sufficuent Stock</v>
      </c>
      <c r="P2792" s="19">
        <f t="shared" si="347"/>
        <v>0</v>
      </c>
      <c r="R2792" s="19">
        <f t="shared" si="344"/>
        <v>0</v>
      </c>
      <c r="T2792" s="19">
        <f t="shared" si="348"/>
        <v>878460.77999999991</v>
      </c>
      <c r="U2792" s="19">
        <f t="shared" si="349"/>
        <v>984857.84</v>
      </c>
      <c r="V2792" s="21">
        <f t="shared" si="350"/>
        <v>106397.06000000006</v>
      </c>
      <c r="W2792" s="18">
        <f t="shared" si="351"/>
        <v>0.12111759844304042</v>
      </c>
    </row>
    <row r="2793" spans="1:23" x14ac:dyDescent="0.3">
      <c r="A2793" t="s">
        <v>385</v>
      </c>
      <c r="B2793" t="s">
        <v>2698</v>
      </c>
      <c r="C2793" t="s">
        <v>50</v>
      </c>
      <c r="D2793" t="s">
        <v>13</v>
      </c>
      <c r="E2793">
        <v>4612</v>
      </c>
      <c r="F2793">
        <v>193.64</v>
      </c>
      <c r="G2793">
        <v>177.49</v>
      </c>
      <c r="H2793">
        <v>193.64</v>
      </c>
      <c r="I2793">
        <v>673</v>
      </c>
      <c r="J2793">
        <v>45</v>
      </c>
      <c r="K2793" s="17">
        <f t="shared" si="345"/>
        <v>1009.5</v>
      </c>
      <c r="L2793" t="str">
        <f t="shared" si="346"/>
        <v>Sufficuent Stock</v>
      </c>
      <c r="P2793" s="19">
        <f t="shared" si="347"/>
        <v>0</v>
      </c>
      <c r="R2793" s="19">
        <f t="shared" si="344"/>
        <v>0</v>
      </c>
      <c r="T2793" s="19">
        <f t="shared" si="348"/>
        <v>119450.77</v>
      </c>
      <c r="U2793" s="19">
        <f t="shared" si="349"/>
        <v>130319.71999999999</v>
      </c>
      <c r="V2793" s="21">
        <f t="shared" si="350"/>
        <v>10868.949999999983</v>
      </c>
      <c r="W2793" s="18">
        <f t="shared" si="351"/>
        <v>9.099104174883077E-2</v>
      </c>
    </row>
    <row r="2794" spans="1:23" x14ac:dyDescent="0.3">
      <c r="A2794" t="s">
        <v>226</v>
      </c>
      <c r="B2794" t="s">
        <v>2709</v>
      </c>
      <c r="C2794" t="s">
        <v>50</v>
      </c>
      <c r="D2794" t="s">
        <v>26</v>
      </c>
      <c r="E2794">
        <v>4617</v>
      </c>
      <c r="F2794">
        <v>135</v>
      </c>
      <c r="G2794">
        <v>139.88</v>
      </c>
      <c r="H2794">
        <v>135</v>
      </c>
      <c r="I2794">
        <v>1755</v>
      </c>
      <c r="J2794">
        <v>22</v>
      </c>
      <c r="K2794" s="17">
        <f t="shared" si="345"/>
        <v>1287</v>
      </c>
      <c r="L2794" t="str">
        <f t="shared" si="346"/>
        <v>Sufficuent Stock</v>
      </c>
      <c r="P2794" s="19">
        <f t="shared" si="347"/>
        <v>0</v>
      </c>
      <c r="R2794" s="19">
        <f t="shared" si="344"/>
        <v>0</v>
      </c>
      <c r="T2794" s="19">
        <f t="shared" si="348"/>
        <v>245489.4</v>
      </c>
      <c r="U2794" s="19">
        <f t="shared" si="349"/>
        <v>236925</v>
      </c>
      <c r="V2794" s="21">
        <f t="shared" si="350"/>
        <v>-8564.3999999999942</v>
      </c>
      <c r="W2794" s="18">
        <f t="shared" si="351"/>
        <v>-3.4887046039462376E-2</v>
      </c>
    </row>
    <row r="2795" spans="1:23" x14ac:dyDescent="0.3">
      <c r="A2795" t="s">
        <v>238</v>
      </c>
      <c r="B2795" t="s">
        <v>1562</v>
      </c>
      <c r="C2795" t="s">
        <v>16</v>
      </c>
      <c r="D2795" t="s">
        <v>17</v>
      </c>
      <c r="E2795">
        <v>4618</v>
      </c>
      <c r="F2795">
        <v>291.02</v>
      </c>
      <c r="G2795">
        <v>264.12</v>
      </c>
      <c r="H2795">
        <v>291.02</v>
      </c>
      <c r="I2795">
        <v>1333</v>
      </c>
      <c r="J2795">
        <v>18</v>
      </c>
      <c r="K2795" s="17">
        <f t="shared" si="345"/>
        <v>799.8</v>
      </c>
      <c r="L2795" t="str">
        <f t="shared" si="346"/>
        <v>Sufficuent Stock</v>
      </c>
      <c r="P2795" s="19">
        <f t="shared" si="347"/>
        <v>0</v>
      </c>
      <c r="R2795" s="19">
        <f t="shared" si="344"/>
        <v>0</v>
      </c>
      <c r="T2795" s="19">
        <f t="shared" si="348"/>
        <v>352071.96</v>
      </c>
      <c r="U2795" s="19">
        <f t="shared" si="349"/>
        <v>387929.66</v>
      </c>
      <c r="V2795" s="21">
        <f t="shared" si="350"/>
        <v>35857.699999999953</v>
      </c>
      <c r="W2795" s="18">
        <f t="shared" si="351"/>
        <v>0.10184764500984388</v>
      </c>
    </row>
    <row r="2796" spans="1:23" x14ac:dyDescent="0.3">
      <c r="A2796" t="s">
        <v>651</v>
      </c>
      <c r="B2796" t="s">
        <v>2977</v>
      </c>
      <c r="C2796" t="s">
        <v>12</v>
      </c>
      <c r="D2796" t="s">
        <v>13</v>
      </c>
      <c r="E2796">
        <v>4619</v>
      </c>
      <c r="F2796">
        <v>401.55</v>
      </c>
      <c r="G2796">
        <v>344.56</v>
      </c>
      <c r="H2796">
        <v>401.55</v>
      </c>
      <c r="I2796">
        <v>2299</v>
      </c>
      <c r="J2796">
        <v>11</v>
      </c>
      <c r="K2796" s="17">
        <f t="shared" si="345"/>
        <v>842.9666666666667</v>
      </c>
      <c r="L2796" t="str">
        <f t="shared" si="346"/>
        <v>Sufficuent Stock</v>
      </c>
      <c r="P2796" s="19">
        <f t="shared" si="347"/>
        <v>0</v>
      </c>
      <c r="R2796" s="19">
        <f t="shared" si="344"/>
        <v>0</v>
      </c>
      <c r="T2796" s="19">
        <f t="shared" si="348"/>
        <v>792143.44000000006</v>
      </c>
      <c r="U2796" s="19">
        <f t="shared" si="349"/>
        <v>923163.45000000007</v>
      </c>
      <c r="V2796" s="21">
        <f t="shared" si="350"/>
        <v>131020.01000000001</v>
      </c>
      <c r="W2796" s="18">
        <f t="shared" si="351"/>
        <v>0.16539934989551891</v>
      </c>
    </row>
    <row r="2797" spans="1:23" x14ac:dyDescent="0.3">
      <c r="A2797" t="s">
        <v>90</v>
      </c>
      <c r="B2797" t="s">
        <v>2238</v>
      </c>
      <c r="C2797" t="s">
        <v>37</v>
      </c>
      <c r="D2797" t="s">
        <v>13</v>
      </c>
      <c r="E2797">
        <v>4620</v>
      </c>
      <c r="F2797">
        <v>95.39</v>
      </c>
      <c r="G2797">
        <v>89.85</v>
      </c>
      <c r="H2797">
        <v>95.39</v>
      </c>
      <c r="I2797">
        <v>1742</v>
      </c>
      <c r="J2797">
        <v>63</v>
      </c>
      <c r="K2797" s="17">
        <f t="shared" si="345"/>
        <v>3658.2000000000003</v>
      </c>
      <c r="L2797" t="str">
        <f t="shared" si="346"/>
        <v>Sufficuent Stock</v>
      </c>
      <c r="P2797" s="19">
        <f t="shared" si="347"/>
        <v>0</v>
      </c>
      <c r="R2797" s="19">
        <f t="shared" si="344"/>
        <v>0</v>
      </c>
      <c r="T2797" s="19">
        <f t="shared" si="348"/>
        <v>156518.69999999998</v>
      </c>
      <c r="U2797" s="19">
        <f t="shared" si="349"/>
        <v>166169.38</v>
      </c>
      <c r="V2797" s="21">
        <f t="shared" si="350"/>
        <v>9650.6800000000221</v>
      </c>
      <c r="W2797" s="18">
        <f t="shared" si="351"/>
        <v>6.1658319421257803E-2</v>
      </c>
    </row>
    <row r="2798" spans="1:23" x14ac:dyDescent="0.3">
      <c r="A2798" t="s">
        <v>671</v>
      </c>
      <c r="B2798" t="s">
        <v>1676</v>
      </c>
      <c r="C2798" t="s">
        <v>50</v>
      </c>
      <c r="D2798" t="s">
        <v>20</v>
      </c>
      <c r="E2798">
        <v>4620</v>
      </c>
      <c r="F2798">
        <v>303.52999999999997</v>
      </c>
      <c r="G2798">
        <v>323.91000000000003</v>
      </c>
      <c r="H2798">
        <v>303.52999999999997</v>
      </c>
      <c r="I2798">
        <v>3778</v>
      </c>
      <c r="J2798">
        <v>61</v>
      </c>
      <c r="K2798" s="17">
        <f t="shared" si="345"/>
        <v>7681.9333333333334</v>
      </c>
      <c r="L2798" t="str">
        <f t="shared" si="346"/>
        <v>High Risk</v>
      </c>
      <c r="P2798" s="19">
        <f t="shared" si="347"/>
        <v>3062</v>
      </c>
      <c r="R2798" s="19">
        <f t="shared" si="344"/>
        <v>929408.85999999987</v>
      </c>
      <c r="T2798" s="19">
        <f t="shared" si="348"/>
        <v>1223731.98</v>
      </c>
      <c r="U2798" s="19">
        <f t="shared" si="349"/>
        <v>1146736.3399999999</v>
      </c>
      <c r="V2798" s="21">
        <f t="shared" si="350"/>
        <v>-76995.64000000013</v>
      </c>
      <c r="W2798" s="18">
        <f t="shared" si="351"/>
        <v>-6.2918711987897974E-2</v>
      </c>
    </row>
    <row r="2799" spans="1:23" x14ac:dyDescent="0.3">
      <c r="A2799" t="s">
        <v>84</v>
      </c>
      <c r="B2799" t="s">
        <v>2475</v>
      </c>
      <c r="C2799" t="s">
        <v>16</v>
      </c>
      <c r="D2799" t="s">
        <v>26</v>
      </c>
      <c r="E2799">
        <v>4620</v>
      </c>
      <c r="F2799">
        <v>424.44</v>
      </c>
      <c r="G2799">
        <v>401.77</v>
      </c>
      <c r="H2799">
        <v>424.44</v>
      </c>
      <c r="I2799">
        <v>2870</v>
      </c>
      <c r="J2799">
        <v>54</v>
      </c>
      <c r="K2799" s="17">
        <f t="shared" si="345"/>
        <v>5166</v>
      </c>
      <c r="L2799" t="str">
        <f t="shared" si="346"/>
        <v>High Risk</v>
      </c>
      <c r="P2799" s="19">
        <f t="shared" si="347"/>
        <v>546</v>
      </c>
      <c r="R2799" s="19">
        <f t="shared" si="344"/>
        <v>231744.24</v>
      </c>
      <c r="T2799" s="19">
        <f t="shared" si="348"/>
        <v>1153079.8999999999</v>
      </c>
      <c r="U2799" s="19">
        <f t="shared" si="349"/>
        <v>1218142.8</v>
      </c>
      <c r="V2799" s="21">
        <f t="shared" si="350"/>
        <v>65062.90000000014</v>
      </c>
      <c r="W2799" s="18">
        <f t="shared" si="351"/>
        <v>5.6425317967991766E-2</v>
      </c>
    </row>
    <row r="2800" spans="1:23" x14ac:dyDescent="0.3">
      <c r="A2800" t="s">
        <v>295</v>
      </c>
      <c r="B2800" t="s">
        <v>1568</v>
      </c>
      <c r="C2800" t="s">
        <v>12</v>
      </c>
      <c r="D2800" t="s">
        <v>17</v>
      </c>
      <c r="E2800">
        <v>4623</v>
      </c>
      <c r="F2800">
        <v>418.12</v>
      </c>
      <c r="G2800">
        <v>378.53</v>
      </c>
      <c r="H2800">
        <v>418.12</v>
      </c>
      <c r="I2800">
        <v>3500</v>
      </c>
      <c r="J2800">
        <v>50</v>
      </c>
      <c r="K2800" s="17">
        <f t="shared" si="345"/>
        <v>5833.3333333333339</v>
      </c>
      <c r="L2800" t="str">
        <f t="shared" si="346"/>
        <v>High Risk</v>
      </c>
      <c r="P2800" s="19">
        <f t="shared" si="347"/>
        <v>1211</v>
      </c>
      <c r="R2800" s="19">
        <f t="shared" si="344"/>
        <v>506343.32</v>
      </c>
      <c r="T2800" s="19">
        <f t="shared" si="348"/>
        <v>1324855</v>
      </c>
      <c r="U2800" s="19">
        <f t="shared" si="349"/>
        <v>1463420</v>
      </c>
      <c r="V2800" s="21">
        <f t="shared" si="350"/>
        <v>138565</v>
      </c>
      <c r="W2800" s="18">
        <f t="shared" si="351"/>
        <v>0.10458880405780255</v>
      </c>
    </row>
    <row r="2801" spans="1:23" x14ac:dyDescent="0.3">
      <c r="A2801" t="s">
        <v>229</v>
      </c>
      <c r="B2801" t="s">
        <v>2189</v>
      </c>
      <c r="C2801" t="s">
        <v>23</v>
      </c>
      <c r="D2801" t="s">
        <v>69</v>
      </c>
      <c r="E2801">
        <v>4625</v>
      </c>
      <c r="F2801">
        <v>68.13</v>
      </c>
      <c r="G2801">
        <v>63.06</v>
      </c>
      <c r="H2801">
        <v>68.13</v>
      </c>
      <c r="I2801">
        <v>1030</v>
      </c>
      <c r="J2801">
        <v>65</v>
      </c>
      <c r="K2801" s="17">
        <f t="shared" si="345"/>
        <v>2231.666666666667</v>
      </c>
      <c r="L2801" t="str">
        <f t="shared" si="346"/>
        <v>Sufficuent Stock</v>
      </c>
      <c r="P2801" s="19">
        <f t="shared" si="347"/>
        <v>0</v>
      </c>
      <c r="R2801" s="19">
        <f t="shared" si="344"/>
        <v>0</v>
      </c>
      <c r="T2801" s="19">
        <f t="shared" si="348"/>
        <v>64951.8</v>
      </c>
      <c r="U2801" s="19">
        <f t="shared" si="349"/>
        <v>70173.899999999994</v>
      </c>
      <c r="V2801" s="21">
        <f t="shared" si="350"/>
        <v>5222.0999999999913</v>
      </c>
      <c r="W2801" s="18">
        <f t="shared" si="351"/>
        <v>8.0399619410085499E-2</v>
      </c>
    </row>
    <row r="2802" spans="1:23" x14ac:dyDescent="0.3">
      <c r="A2802" t="s">
        <v>258</v>
      </c>
      <c r="B2802" t="s">
        <v>719</v>
      </c>
      <c r="C2802" t="s">
        <v>50</v>
      </c>
      <c r="D2802" t="s">
        <v>26</v>
      </c>
      <c r="E2802">
        <v>4628</v>
      </c>
      <c r="F2802">
        <v>483.78</v>
      </c>
      <c r="G2802">
        <v>460.33</v>
      </c>
      <c r="H2802">
        <v>483.78</v>
      </c>
      <c r="I2802">
        <v>2089</v>
      </c>
      <c r="J2802">
        <v>16</v>
      </c>
      <c r="K2802" s="17">
        <f t="shared" si="345"/>
        <v>1114.1333333333334</v>
      </c>
      <c r="L2802" t="str">
        <f t="shared" si="346"/>
        <v>Sufficuent Stock</v>
      </c>
      <c r="P2802" s="19">
        <f t="shared" si="347"/>
        <v>0</v>
      </c>
      <c r="R2802" s="19">
        <f t="shared" si="344"/>
        <v>0</v>
      </c>
      <c r="T2802" s="19">
        <f t="shared" si="348"/>
        <v>961629.37</v>
      </c>
      <c r="U2802" s="19">
        <f t="shared" si="349"/>
        <v>1010616.4199999999</v>
      </c>
      <c r="V2802" s="21">
        <f t="shared" si="350"/>
        <v>48987.04999999993</v>
      </c>
      <c r="W2802" s="18">
        <f t="shared" si="351"/>
        <v>5.0941715725674984E-2</v>
      </c>
    </row>
    <row r="2803" spans="1:23" x14ac:dyDescent="0.3">
      <c r="A2803" t="s">
        <v>949</v>
      </c>
      <c r="B2803" t="s">
        <v>1151</v>
      </c>
      <c r="C2803" t="s">
        <v>16</v>
      </c>
      <c r="D2803" t="s">
        <v>26</v>
      </c>
      <c r="E2803">
        <v>4628</v>
      </c>
      <c r="F2803">
        <v>302.04000000000002</v>
      </c>
      <c r="G2803">
        <v>252.01</v>
      </c>
      <c r="H2803">
        <v>302.04000000000002</v>
      </c>
      <c r="I2803">
        <v>3717</v>
      </c>
      <c r="J2803">
        <v>18</v>
      </c>
      <c r="K2803" s="17">
        <f t="shared" si="345"/>
        <v>2230.2000000000003</v>
      </c>
      <c r="L2803" t="str">
        <f t="shared" si="346"/>
        <v>Sufficuent Stock</v>
      </c>
      <c r="P2803" s="19">
        <f t="shared" si="347"/>
        <v>0</v>
      </c>
      <c r="R2803" s="19">
        <f t="shared" si="344"/>
        <v>0</v>
      </c>
      <c r="T2803" s="19">
        <f t="shared" si="348"/>
        <v>936721.16999999993</v>
      </c>
      <c r="U2803" s="19">
        <f t="shared" si="349"/>
        <v>1122682.6800000002</v>
      </c>
      <c r="V2803" s="21">
        <f t="shared" si="350"/>
        <v>185961.51000000024</v>
      </c>
      <c r="W2803" s="18">
        <f t="shared" si="351"/>
        <v>0.19852386810047248</v>
      </c>
    </row>
    <row r="2804" spans="1:23" x14ac:dyDescent="0.3">
      <c r="A2804" t="s">
        <v>442</v>
      </c>
      <c r="B2804" t="s">
        <v>3119</v>
      </c>
      <c r="C2804" t="s">
        <v>16</v>
      </c>
      <c r="D2804" t="s">
        <v>17</v>
      </c>
      <c r="E2804">
        <v>4630</v>
      </c>
      <c r="F2804">
        <v>193.47</v>
      </c>
      <c r="G2804">
        <v>192.29</v>
      </c>
      <c r="H2804">
        <v>193.47</v>
      </c>
      <c r="I2804">
        <v>2962</v>
      </c>
      <c r="J2804">
        <v>75</v>
      </c>
      <c r="K2804" s="17">
        <f t="shared" si="345"/>
        <v>7405</v>
      </c>
      <c r="L2804" t="str">
        <f t="shared" si="346"/>
        <v>High Risk</v>
      </c>
      <c r="P2804" s="19">
        <f t="shared" si="347"/>
        <v>2775</v>
      </c>
      <c r="R2804" s="19">
        <f t="shared" si="344"/>
        <v>536879.25</v>
      </c>
      <c r="T2804" s="19">
        <f t="shared" si="348"/>
        <v>569562.98</v>
      </c>
      <c r="U2804" s="19">
        <f t="shared" si="349"/>
        <v>573058.14</v>
      </c>
      <c r="V2804" s="21">
        <f t="shared" si="350"/>
        <v>3495.1600000000326</v>
      </c>
      <c r="W2804" s="18">
        <f t="shared" si="351"/>
        <v>6.1365645639399396E-3</v>
      </c>
    </row>
    <row r="2805" spans="1:23" x14ac:dyDescent="0.3">
      <c r="A2805" t="s">
        <v>363</v>
      </c>
      <c r="B2805" t="s">
        <v>1653</v>
      </c>
      <c r="C2805" t="s">
        <v>23</v>
      </c>
      <c r="D2805" t="s">
        <v>13</v>
      </c>
      <c r="E2805">
        <v>4632</v>
      </c>
      <c r="F2805">
        <v>505.41</v>
      </c>
      <c r="G2805">
        <v>469.68</v>
      </c>
      <c r="H2805">
        <v>505.41</v>
      </c>
      <c r="I2805">
        <v>2540</v>
      </c>
      <c r="J2805">
        <v>19</v>
      </c>
      <c r="K2805" s="17">
        <f t="shared" si="345"/>
        <v>1608.6666666666667</v>
      </c>
      <c r="L2805" t="str">
        <f t="shared" si="346"/>
        <v>Sufficuent Stock</v>
      </c>
      <c r="P2805" s="19">
        <f t="shared" si="347"/>
        <v>0</v>
      </c>
      <c r="R2805" s="19">
        <f t="shared" si="344"/>
        <v>0</v>
      </c>
      <c r="T2805" s="19">
        <f t="shared" si="348"/>
        <v>1192987.2</v>
      </c>
      <c r="U2805" s="19">
        <f t="shared" si="349"/>
        <v>1283741.4000000001</v>
      </c>
      <c r="V2805" s="21">
        <f t="shared" si="350"/>
        <v>90754.200000000186</v>
      </c>
      <c r="W2805" s="18">
        <f t="shared" si="351"/>
        <v>7.6073071027082426E-2</v>
      </c>
    </row>
    <row r="2806" spans="1:23" x14ac:dyDescent="0.3">
      <c r="A2806" t="s">
        <v>393</v>
      </c>
      <c r="B2806" t="s">
        <v>2956</v>
      </c>
      <c r="C2806" t="s">
        <v>23</v>
      </c>
      <c r="D2806" t="s">
        <v>17</v>
      </c>
      <c r="E2806">
        <v>4634</v>
      </c>
      <c r="F2806">
        <v>228.88</v>
      </c>
      <c r="G2806">
        <v>197.69</v>
      </c>
      <c r="H2806">
        <v>228.88</v>
      </c>
      <c r="I2806">
        <v>951</v>
      </c>
      <c r="J2806">
        <v>16</v>
      </c>
      <c r="K2806" s="17">
        <f t="shared" si="345"/>
        <v>507.2</v>
      </c>
      <c r="L2806" t="str">
        <f t="shared" si="346"/>
        <v>Sufficuent Stock</v>
      </c>
      <c r="P2806" s="19">
        <f t="shared" si="347"/>
        <v>0</v>
      </c>
      <c r="R2806" s="19">
        <f t="shared" si="344"/>
        <v>0</v>
      </c>
      <c r="T2806" s="19">
        <f t="shared" si="348"/>
        <v>188003.19</v>
      </c>
      <c r="U2806" s="19">
        <f t="shared" si="349"/>
        <v>217664.88</v>
      </c>
      <c r="V2806" s="21">
        <f t="shared" si="350"/>
        <v>29661.690000000002</v>
      </c>
      <c r="W2806" s="18">
        <f t="shared" si="351"/>
        <v>0.15777226971521069</v>
      </c>
    </row>
    <row r="2807" spans="1:23" x14ac:dyDescent="0.3">
      <c r="A2807" t="s">
        <v>533</v>
      </c>
      <c r="B2807" t="s">
        <v>534</v>
      </c>
      <c r="C2807" t="s">
        <v>16</v>
      </c>
      <c r="D2807" t="s">
        <v>20</v>
      </c>
      <c r="E2807">
        <v>4643</v>
      </c>
      <c r="F2807">
        <v>537.46</v>
      </c>
      <c r="G2807">
        <v>468</v>
      </c>
      <c r="H2807">
        <v>537.46</v>
      </c>
      <c r="I2807">
        <v>183</v>
      </c>
      <c r="J2807">
        <v>73</v>
      </c>
      <c r="K2807" s="17">
        <f t="shared" si="345"/>
        <v>445.29999999999995</v>
      </c>
      <c r="L2807" t="str">
        <f t="shared" si="346"/>
        <v>Sufficuent Stock</v>
      </c>
      <c r="P2807" s="19">
        <f t="shared" si="347"/>
        <v>0</v>
      </c>
      <c r="R2807" s="19">
        <f t="shared" si="344"/>
        <v>0</v>
      </c>
      <c r="T2807" s="19">
        <f t="shared" si="348"/>
        <v>85644</v>
      </c>
      <c r="U2807" s="19">
        <f t="shared" si="349"/>
        <v>98355.180000000008</v>
      </c>
      <c r="V2807" s="21">
        <f t="shared" si="350"/>
        <v>12711.180000000008</v>
      </c>
      <c r="W2807" s="18">
        <f t="shared" si="351"/>
        <v>0.14841880341880351</v>
      </c>
    </row>
    <row r="2808" spans="1:23" x14ac:dyDescent="0.3">
      <c r="A2808" t="s">
        <v>539</v>
      </c>
      <c r="B2808" t="s">
        <v>1580</v>
      </c>
      <c r="C2808" t="s">
        <v>50</v>
      </c>
      <c r="D2808" t="s">
        <v>20</v>
      </c>
      <c r="E2808">
        <v>4646</v>
      </c>
      <c r="F2808">
        <v>412.29</v>
      </c>
      <c r="G2808">
        <v>374.89</v>
      </c>
      <c r="H2808">
        <v>412.29</v>
      </c>
      <c r="I2808">
        <v>1395</v>
      </c>
      <c r="J2808">
        <v>42</v>
      </c>
      <c r="K2808" s="17">
        <f t="shared" si="345"/>
        <v>1953</v>
      </c>
      <c r="L2808" t="str">
        <f t="shared" si="346"/>
        <v>Sufficuent Stock</v>
      </c>
      <c r="P2808" s="19">
        <f t="shared" si="347"/>
        <v>0</v>
      </c>
      <c r="R2808" s="19">
        <f t="shared" si="344"/>
        <v>0</v>
      </c>
      <c r="T2808" s="19">
        <f t="shared" si="348"/>
        <v>522971.55</v>
      </c>
      <c r="U2808" s="19">
        <f t="shared" si="349"/>
        <v>575144.55000000005</v>
      </c>
      <c r="V2808" s="21">
        <f t="shared" si="350"/>
        <v>52173.000000000058</v>
      </c>
      <c r="W2808" s="18">
        <f t="shared" si="351"/>
        <v>9.9762597028461797E-2</v>
      </c>
    </row>
    <row r="2809" spans="1:23" x14ac:dyDescent="0.3">
      <c r="A2809" t="s">
        <v>549</v>
      </c>
      <c r="B2809" t="s">
        <v>1269</v>
      </c>
      <c r="C2809" t="s">
        <v>16</v>
      </c>
      <c r="D2809" t="s">
        <v>20</v>
      </c>
      <c r="E2809">
        <v>4653</v>
      </c>
      <c r="F2809">
        <v>425.69</v>
      </c>
      <c r="G2809">
        <v>427.02</v>
      </c>
      <c r="H2809">
        <v>425.69</v>
      </c>
      <c r="I2809">
        <v>3551</v>
      </c>
      <c r="J2809">
        <v>30</v>
      </c>
      <c r="K2809" s="17">
        <f t="shared" si="345"/>
        <v>3551</v>
      </c>
      <c r="L2809" t="str">
        <f t="shared" si="346"/>
        <v>Sufficuent Stock</v>
      </c>
      <c r="P2809" s="19">
        <f t="shared" si="347"/>
        <v>0</v>
      </c>
      <c r="R2809" s="19">
        <f t="shared" si="344"/>
        <v>0</v>
      </c>
      <c r="T2809" s="19">
        <f t="shared" si="348"/>
        <v>1516348.02</v>
      </c>
      <c r="U2809" s="19">
        <f t="shared" si="349"/>
        <v>1511625.19</v>
      </c>
      <c r="V2809" s="21">
        <f t="shared" si="350"/>
        <v>-4722.8300000000745</v>
      </c>
      <c r="W2809" s="18">
        <f t="shared" si="351"/>
        <v>-3.1146082150719425E-3</v>
      </c>
    </row>
    <row r="2810" spans="1:23" x14ac:dyDescent="0.3">
      <c r="A2810" t="s">
        <v>1497</v>
      </c>
      <c r="B2810" t="s">
        <v>2779</v>
      </c>
      <c r="C2810" t="s">
        <v>16</v>
      </c>
      <c r="D2810" t="s">
        <v>20</v>
      </c>
      <c r="E2810">
        <v>4655</v>
      </c>
      <c r="F2810">
        <v>423.08</v>
      </c>
      <c r="G2810">
        <v>431.53</v>
      </c>
      <c r="H2810">
        <v>423.08</v>
      </c>
      <c r="I2810">
        <v>1172</v>
      </c>
      <c r="J2810">
        <v>74</v>
      </c>
      <c r="K2810" s="17">
        <f t="shared" si="345"/>
        <v>2890.9333333333334</v>
      </c>
      <c r="L2810" t="str">
        <f t="shared" si="346"/>
        <v>Sufficuent Stock</v>
      </c>
      <c r="P2810" s="19">
        <f t="shared" si="347"/>
        <v>0</v>
      </c>
      <c r="R2810" s="19">
        <f t="shared" si="344"/>
        <v>0</v>
      </c>
      <c r="T2810" s="19">
        <f t="shared" si="348"/>
        <v>505753.16</v>
      </c>
      <c r="U2810" s="19">
        <f t="shared" si="349"/>
        <v>495849.76</v>
      </c>
      <c r="V2810" s="21">
        <f t="shared" si="350"/>
        <v>-9903.3999999999651</v>
      </c>
      <c r="W2810" s="18">
        <f t="shared" si="351"/>
        <v>-1.9581489120107456E-2</v>
      </c>
    </row>
    <row r="2811" spans="1:23" x14ac:dyDescent="0.3">
      <c r="A2811" t="s">
        <v>1445</v>
      </c>
      <c r="B2811" t="s">
        <v>3315</v>
      </c>
      <c r="C2811" t="s">
        <v>50</v>
      </c>
      <c r="D2811" t="s">
        <v>13</v>
      </c>
      <c r="E2811">
        <v>4658</v>
      </c>
      <c r="F2811">
        <v>299.58999999999997</v>
      </c>
      <c r="G2811">
        <v>256.16000000000003</v>
      </c>
      <c r="H2811">
        <v>299.58999999999997</v>
      </c>
      <c r="I2811">
        <v>903</v>
      </c>
      <c r="J2811">
        <v>21</v>
      </c>
      <c r="K2811" s="17">
        <f t="shared" si="345"/>
        <v>632.1</v>
      </c>
      <c r="L2811" t="str">
        <f t="shared" si="346"/>
        <v>Sufficuent Stock</v>
      </c>
      <c r="P2811" s="19">
        <f t="shared" si="347"/>
        <v>0</v>
      </c>
      <c r="R2811" s="19">
        <f t="shared" si="344"/>
        <v>0</v>
      </c>
      <c r="T2811" s="19">
        <f t="shared" si="348"/>
        <v>231312.48</v>
      </c>
      <c r="U2811" s="19">
        <f t="shared" si="349"/>
        <v>270529.76999999996</v>
      </c>
      <c r="V2811" s="21">
        <f t="shared" si="350"/>
        <v>39217.28999999995</v>
      </c>
      <c r="W2811" s="18">
        <f t="shared" si="351"/>
        <v>0.16954247345409096</v>
      </c>
    </row>
    <row r="2812" spans="1:23" x14ac:dyDescent="0.3">
      <c r="A2812" t="s">
        <v>430</v>
      </c>
      <c r="B2812" t="s">
        <v>1904</v>
      </c>
      <c r="C2812" t="s">
        <v>12</v>
      </c>
      <c r="D2812" t="s">
        <v>13</v>
      </c>
      <c r="E2812">
        <v>4659</v>
      </c>
      <c r="F2812">
        <v>53.17</v>
      </c>
      <c r="G2812">
        <v>56.85</v>
      </c>
      <c r="H2812">
        <v>53.17</v>
      </c>
      <c r="I2812">
        <v>697</v>
      </c>
      <c r="J2812">
        <v>30</v>
      </c>
      <c r="K2812" s="17">
        <f t="shared" si="345"/>
        <v>697</v>
      </c>
      <c r="L2812" t="str">
        <f t="shared" si="346"/>
        <v>Sufficuent Stock</v>
      </c>
      <c r="P2812" s="19">
        <f t="shared" si="347"/>
        <v>0</v>
      </c>
      <c r="R2812" s="19">
        <f t="shared" si="344"/>
        <v>0</v>
      </c>
      <c r="T2812" s="19">
        <f t="shared" si="348"/>
        <v>39624.450000000004</v>
      </c>
      <c r="U2812" s="19">
        <f t="shared" si="349"/>
        <v>37059.49</v>
      </c>
      <c r="V2812" s="21">
        <f t="shared" si="350"/>
        <v>-2564.9600000000064</v>
      </c>
      <c r="W2812" s="18">
        <f t="shared" si="351"/>
        <v>-6.4731750219877024E-2</v>
      </c>
    </row>
    <row r="2813" spans="1:23" x14ac:dyDescent="0.3">
      <c r="A2813" t="s">
        <v>18</v>
      </c>
      <c r="B2813" t="s">
        <v>2745</v>
      </c>
      <c r="C2813" t="s">
        <v>12</v>
      </c>
      <c r="D2813" t="s">
        <v>26</v>
      </c>
      <c r="E2813">
        <v>4664</v>
      </c>
      <c r="F2813">
        <v>130.47</v>
      </c>
      <c r="G2813">
        <v>141.94</v>
      </c>
      <c r="H2813">
        <v>130.47</v>
      </c>
      <c r="I2813">
        <v>284</v>
      </c>
      <c r="J2813">
        <v>13</v>
      </c>
      <c r="K2813" s="17">
        <f t="shared" si="345"/>
        <v>123.06666666666666</v>
      </c>
      <c r="L2813" t="str">
        <f t="shared" si="346"/>
        <v>Sufficuent Stock</v>
      </c>
      <c r="P2813" s="19">
        <f t="shared" si="347"/>
        <v>0</v>
      </c>
      <c r="R2813" s="19">
        <f t="shared" si="344"/>
        <v>0</v>
      </c>
      <c r="T2813" s="19">
        <f t="shared" si="348"/>
        <v>40310.959999999999</v>
      </c>
      <c r="U2813" s="19">
        <f t="shared" si="349"/>
        <v>37053.480000000003</v>
      </c>
      <c r="V2813" s="21">
        <f t="shared" si="350"/>
        <v>-3257.4799999999959</v>
      </c>
      <c r="W2813" s="18">
        <f t="shared" si="351"/>
        <v>-8.0808792447512934E-2</v>
      </c>
    </row>
    <row r="2814" spans="1:23" x14ac:dyDescent="0.3">
      <c r="A2814" t="s">
        <v>917</v>
      </c>
      <c r="B2814" t="s">
        <v>1571</v>
      </c>
      <c r="C2814" t="s">
        <v>37</v>
      </c>
      <c r="D2814" t="s">
        <v>20</v>
      </c>
      <c r="E2814">
        <v>4667</v>
      </c>
      <c r="F2814">
        <v>527.41999999999996</v>
      </c>
      <c r="G2814">
        <v>471.84</v>
      </c>
      <c r="H2814">
        <v>527.41999999999996</v>
      </c>
      <c r="I2814">
        <v>2125</v>
      </c>
      <c r="J2814">
        <v>80</v>
      </c>
      <c r="K2814" s="17">
        <f t="shared" si="345"/>
        <v>5666.6666666666661</v>
      </c>
      <c r="L2814" t="str">
        <f t="shared" si="346"/>
        <v>High Risk</v>
      </c>
      <c r="P2814" s="19">
        <f t="shared" si="347"/>
        <v>1000</v>
      </c>
      <c r="R2814" s="19">
        <f t="shared" si="344"/>
        <v>527420</v>
      </c>
      <c r="T2814" s="19">
        <f t="shared" si="348"/>
        <v>1002660</v>
      </c>
      <c r="U2814" s="19">
        <f t="shared" si="349"/>
        <v>1120767.5</v>
      </c>
      <c r="V2814" s="21">
        <f t="shared" si="350"/>
        <v>118107.5</v>
      </c>
      <c r="W2814" s="18">
        <f t="shared" si="351"/>
        <v>0.11779416751441167</v>
      </c>
    </row>
    <row r="2815" spans="1:23" x14ac:dyDescent="0.3">
      <c r="A2815" t="s">
        <v>413</v>
      </c>
      <c r="B2815" t="s">
        <v>2551</v>
      </c>
      <c r="C2815" t="s">
        <v>16</v>
      </c>
      <c r="D2815" t="s">
        <v>26</v>
      </c>
      <c r="E2815">
        <v>4668</v>
      </c>
      <c r="F2815">
        <v>502.06</v>
      </c>
      <c r="G2815">
        <v>419.49</v>
      </c>
      <c r="H2815">
        <v>502.06</v>
      </c>
      <c r="I2815">
        <v>786</v>
      </c>
      <c r="J2815">
        <v>89</v>
      </c>
      <c r="K2815" s="17">
        <f t="shared" si="345"/>
        <v>2331.7999999999997</v>
      </c>
      <c r="L2815" t="str">
        <f t="shared" si="346"/>
        <v>Sufficuent Stock</v>
      </c>
      <c r="P2815" s="19">
        <f t="shared" si="347"/>
        <v>0</v>
      </c>
      <c r="R2815" s="19">
        <f t="shared" si="344"/>
        <v>0</v>
      </c>
      <c r="T2815" s="19">
        <f t="shared" si="348"/>
        <v>329719.14</v>
      </c>
      <c r="U2815" s="19">
        <f t="shared" si="349"/>
        <v>394619.16</v>
      </c>
      <c r="V2815" s="21">
        <f t="shared" si="350"/>
        <v>64900.01999999996</v>
      </c>
      <c r="W2815" s="18">
        <f t="shared" si="351"/>
        <v>0.19683425111444836</v>
      </c>
    </row>
    <row r="2816" spans="1:23" x14ac:dyDescent="0.3">
      <c r="A2816" t="s">
        <v>303</v>
      </c>
      <c r="B2816" t="s">
        <v>2715</v>
      </c>
      <c r="C2816" t="s">
        <v>37</v>
      </c>
      <c r="D2816" t="s">
        <v>17</v>
      </c>
      <c r="E2816">
        <v>4669</v>
      </c>
      <c r="F2816">
        <v>230.7</v>
      </c>
      <c r="G2816">
        <v>234.77</v>
      </c>
      <c r="H2816">
        <v>230.7</v>
      </c>
      <c r="I2816">
        <v>924</v>
      </c>
      <c r="J2816">
        <v>31</v>
      </c>
      <c r="K2816" s="17">
        <f t="shared" si="345"/>
        <v>954.80000000000007</v>
      </c>
      <c r="L2816" t="str">
        <f t="shared" si="346"/>
        <v>Sufficuent Stock</v>
      </c>
      <c r="P2816" s="19">
        <f t="shared" si="347"/>
        <v>0</v>
      </c>
      <c r="R2816" s="19">
        <f t="shared" si="344"/>
        <v>0</v>
      </c>
      <c r="T2816" s="19">
        <f t="shared" si="348"/>
        <v>216927.48</v>
      </c>
      <c r="U2816" s="19">
        <f t="shared" si="349"/>
        <v>213166.8</v>
      </c>
      <c r="V2816" s="21">
        <f t="shared" si="350"/>
        <v>-3760.6800000000221</v>
      </c>
      <c r="W2816" s="18">
        <f t="shared" si="351"/>
        <v>-1.7336116198833001E-2</v>
      </c>
    </row>
    <row r="2817" spans="1:23" x14ac:dyDescent="0.3">
      <c r="A2817" t="s">
        <v>494</v>
      </c>
      <c r="B2817" t="s">
        <v>3168</v>
      </c>
      <c r="C2817" t="s">
        <v>37</v>
      </c>
      <c r="D2817" t="s">
        <v>69</v>
      </c>
      <c r="E2817">
        <v>4669</v>
      </c>
      <c r="F2817">
        <v>143.01</v>
      </c>
      <c r="G2817">
        <v>124.01</v>
      </c>
      <c r="H2817">
        <v>143.01</v>
      </c>
      <c r="I2817">
        <v>286</v>
      </c>
      <c r="J2817">
        <v>65</v>
      </c>
      <c r="K2817" s="17">
        <f t="shared" si="345"/>
        <v>619.66666666666663</v>
      </c>
      <c r="L2817" t="str">
        <f t="shared" si="346"/>
        <v>Sufficuent Stock</v>
      </c>
      <c r="P2817" s="19">
        <f t="shared" si="347"/>
        <v>0</v>
      </c>
      <c r="R2817" s="19">
        <f t="shared" si="344"/>
        <v>0</v>
      </c>
      <c r="T2817" s="19">
        <f t="shared" si="348"/>
        <v>35466.86</v>
      </c>
      <c r="U2817" s="19">
        <f t="shared" si="349"/>
        <v>40900.86</v>
      </c>
      <c r="V2817" s="21">
        <f t="shared" si="350"/>
        <v>5434</v>
      </c>
      <c r="W2817" s="18">
        <f t="shared" si="351"/>
        <v>0.15321345052818322</v>
      </c>
    </row>
    <row r="2818" spans="1:23" x14ac:dyDescent="0.3">
      <c r="A2818" t="s">
        <v>869</v>
      </c>
      <c r="B2818" t="s">
        <v>870</v>
      </c>
      <c r="C2818" t="s">
        <v>37</v>
      </c>
      <c r="D2818" t="s">
        <v>20</v>
      </c>
      <c r="E2818">
        <v>4669</v>
      </c>
      <c r="F2818">
        <v>48.11</v>
      </c>
      <c r="G2818">
        <v>49.35</v>
      </c>
      <c r="H2818">
        <v>48.11</v>
      </c>
      <c r="I2818">
        <v>890</v>
      </c>
      <c r="J2818">
        <v>27</v>
      </c>
      <c r="K2818" s="17">
        <f t="shared" si="345"/>
        <v>801</v>
      </c>
      <c r="L2818" t="str">
        <f t="shared" si="346"/>
        <v>Sufficuent Stock</v>
      </c>
      <c r="P2818" s="19">
        <f t="shared" si="347"/>
        <v>0</v>
      </c>
      <c r="R2818" s="19">
        <f t="shared" ref="R2818:R2881" si="352">P2818*H2818</f>
        <v>0</v>
      </c>
      <c r="T2818" s="19">
        <f t="shared" si="348"/>
        <v>43921.5</v>
      </c>
      <c r="U2818" s="19">
        <f t="shared" si="349"/>
        <v>42817.9</v>
      </c>
      <c r="V2818" s="21">
        <f t="shared" si="350"/>
        <v>-1103.5999999999985</v>
      </c>
      <c r="W2818" s="18">
        <f t="shared" si="351"/>
        <v>-2.5126646403242116E-2</v>
      </c>
    </row>
    <row r="2819" spans="1:23" x14ac:dyDescent="0.3">
      <c r="A2819" t="s">
        <v>1253</v>
      </c>
      <c r="B2819" t="s">
        <v>3095</v>
      </c>
      <c r="C2819" t="s">
        <v>23</v>
      </c>
      <c r="D2819" t="s">
        <v>17</v>
      </c>
      <c r="E2819">
        <v>4673</v>
      </c>
      <c r="F2819">
        <v>261.07</v>
      </c>
      <c r="G2819">
        <v>278.83</v>
      </c>
      <c r="H2819">
        <v>261.07</v>
      </c>
      <c r="I2819">
        <v>3673</v>
      </c>
      <c r="J2819">
        <v>33</v>
      </c>
      <c r="K2819" s="17">
        <f t="shared" ref="K2819:K2882" si="353">(I2819/30)*J2819</f>
        <v>4040.3</v>
      </c>
      <c r="L2819" t="str">
        <f t="shared" ref="L2819:L2882" si="354">IF(E2819&lt;K2819,"High Risk","Sufficuent Stock")</f>
        <v>Sufficuent Stock</v>
      </c>
      <c r="P2819" s="19">
        <f t="shared" ref="P2819:P2882" si="355">ROUNDUP(MAX(0,K2819-E2819),0)</f>
        <v>0</v>
      </c>
      <c r="R2819" s="19">
        <f t="shared" si="352"/>
        <v>0</v>
      </c>
      <c r="T2819" s="19">
        <f t="shared" ref="T2819:T2882" si="356">I2819*G2819</f>
        <v>1024142.59</v>
      </c>
      <c r="U2819" s="19">
        <f t="shared" ref="U2819:U2882" si="357">I2819*H2819</f>
        <v>958910.11</v>
      </c>
      <c r="V2819" s="21">
        <f t="shared" ref="V2819:V2882" si="358">U2819-T2819</f>
        <v>-65232.479999999981</v>
      </c>
      <c r="W2819" s="18">
        <f t="shared" ref="W2819:W2882" si="359">IFERROR(V2819/T2819,0)</f>
        <v>-6.3694724384033272E-2</v>
      </c>
    </row>
    <row r="2820" spans="1:23" x14ac:dyDescent="0.3">
      <c r="A2820" t="s">
        <v>249</v>
      </c>
      <c r="B2820" t="s">
        <v>3163</v>
      </c>
      <c r="C2820" t="s">
        <v>16</v>
      </c>
      <c r="D2820" t="s">
        <v>26</v>
      </c>
      <c r="E2820">
        <v>4673</v>
      </c>
      <c r="F2820">
        <v>64.930000000000007</v>
      </c>
      <c r="G2820">
        <v>66.040000000000006</v>
      </c>
      <c r="H2820">
        <v>64.930000000000007</v>
      </c>
      <c r="I2820">
        <v>3692</v>
      </c>
      <c r="J2820">
        <v>88</v>
      </c>
      <c r="K2820" s="17">
        <f t="shared" si="353"/>
        <v>10829.866666666667</v>
      </c>
      <c r="L2820" t="str">
        <f t="shared" si="354"/>
        <v>High Risk</v>
      </c>
      <c r="P2820" s="19">
        <f t="shared" si="355"/>
        <v>6157</v>
      </c>
      <c r="R2820" s="19">
        <f t="shared" si="352"/>
        <v>399774.01000000007</v>
      </c>
      <c r="T2820" s="19">
        <f t="shared" si="356"/>
        <v>243819.68000000002</v>
      </c>
      <c r="U2820" s="19">
        <f t="shared" si="357"/>
        <v>239721.56000000003</v>
      </c>
      <c r="V2820" s="21">
        <f t="shared" si="358"/>
        <v>-4098.1199999999953</v>
      </c>
      <c r="W2820" s="18">
        <f t="shared" si="359"/>
        <v>-1.6807995154451826E-2</v>
      </c>
    </row>
    <row r="2821" spans="1:23" x14ac:dyDescent="0.3">
      <c r="A2821" t="s">
        <v>326</v>
      </c>
      <c r="B2821" t="s">
        <v>1194</v>
      </c>
      <c r="C2821" t="s">
        <v>50</v>
      </c>
      <c r="D2821" t="s">
        <v>26</v>
      </c>
      <c r="E2821">
        <v>4676</v>
      </c>
      <c r="F2821">
        <v>48.21</v>
      </c>
      <c r="G2821">
        <v>46.94</v>
      </c>
      <c r="H2821">
        <v>48.21</v>
      </c>
      <c r="I2821">
        <v>1180</v>
      </c>
      <c r="J2821">
        <v>43</v>
      </c>
      <c r="K2821" s="17">
        <f t="shared" si="353"/>
        <v>1691.3333333333335</v>
      </c>
      <c r="L2821" t="str">
        <f t="shared" si="354"/>
        <v>Sufficuent Stock</v>
      </c>
      <c r="P2821" s="19">
        <f t="shared" si="355"/>
        <v>0</v>
      </c>
      <c r="R2821" s="19">
        <f t="shared" si="352"/>
        <v>0</v>
      </c>
      <c r="T2821" s="19">
        <f t="shared" si="356"/>
        <v>55389.2</v>
      </c>
      <c r="U2821" s="19">
        <f t="shared" si="357"/>
        <v>56887.8</v>
      </c>
      <c r="V2821" s="21">
        <f t="shared" si="358"/>
        <v>1498.6000000000058</v>
      </c>
      <c r="W2821" s="18">
        <f t="shared" si="359"/>
        <v>2.705581593523658E-2</v>
      </c>
    </row>
    <row r="2822" spans="1:23" x14ac:dyDescent="0.3">
      <c r="A2822" t="s">
        <v>171</v>
      </c>
      <c r="B2822" t="s">
        <v>1848</v>
      </c>
      <c r="C2822" t="s">
        <v>23</v>
      </c>
      <c r="D2822" t="s">
        <v>13</v>
      </c>
      <c r="E2822">
        <v>4678</v>
      </c>
      <c r="F2822">
        <v>225.2</v>
      </c>
      <c r="G2822">
        <v>215.26</v>
      </c>
      <c r="H2822">
        <v>225.2</v>
      </c>
      <c r="I2822">
        <v>1384</v>
      </c>
      <c r="J2822">
        <v>84</v>
      </c>
      <c r="K2822" s="17">
        <f t="shared" si="353"/>
        <v>3875.2</v>
      </c>
      <c r="L2822" t="str">
        <f t="shared" si="354"/>
        <v>Sufficuent Stock</v>
      </c>
      <c r="P2822" s="19">
        <f t="shared" si="355"/>
        <v>0</v>
      </c>
      <c r="R2822" s="19">
        <f t="shared" si="352"/>
        <v>0</v>
      </c>
      <c r="T2822" s="19">
        <f t="shared" si="356"/>
        <v>297919.83999999997</v>
      </c>
      <c r="U2822" s="19">
        <f t="shared" si="357"/>
        <v>311676.79999999999</v>
      </c>
      <c r="V2822" s="21">
        <f t="shared" si="358"/>
        <v>13756.960000000021</v>
      </c>
      <c r="W2822" s="18">
        <f t="shared" si="359"/>
        <v>4.6176716528848909E-2</v>
      </c>
    </row>
    <row r="2823" spans="1:23" x14ac:dyDescent="0.3">
      <c r="A2823" t="s">
        <v>876</v>
      </c>
      <c r="B2823" t="s">
        <v>2313</v>
      </c>
      <c r="C2823" t="s">
        <v>16</v>
      </c>
      <c r="D2823" t="s">
        <v>17</v>
      </c>
      <c r="E2823">
        <v>4681</v>
      </c>
      <c r="F2823">
        <v>434.05</v>
      </c>
      <c r="G2823">
        <v>444.62</v>
      </c>
      <c r="H2823">
        <v>434.05</v>
      </c>
      <c r="I2823">
        <v>67</v>
      </c>
      <c r="J2823">
        <v>12</v>
      </c>
      <c r="K2823" s="17">
        <f t="shared" si="353"/>
        <v>26.8</v>
      </c>
      <c r="L2823" t="str">
        <f t="shared" si="354"/>
        <v>Sufficuent Stock</v>
      </c>
      <c r="P2823" s="19">
        <f t="shared" si="355"/>
        <v>0</v>
      </c>
      <c r="R2823" s="19">
        <f t="shared" si="352"/>
        <v>0</v>
      </c>
      <c r="T2823" s="19">
        <f t="shared" si="356"/>
        <v>29789.54</v>
      </c>
      <c r="U2823" s="19">
        <f t="shared" si="357"/>
        <v>29081.350000000002</v>
      </c>
      <c r="V2823" s="21">
        <f t="shared" si="358"/>
        <v>-708.18999999999869</v>
      </c>
      <c r="W2823" s="18">
        <f t="shared" si="359"/>
        <v>-2.3773109621699384E-2</v>
      </c>
    </row>
    <row r="2824" spans="1:23" x14ac:dyDescent="0.3">
      <c r="A2824" t="s">
        <v>1253</v>
      </c>
      <c r="B2824" t="s">
        <v>2667</v>
      </c>
      <c r="C2824" t="s">
        <v>12</v>
      </c>
      <c r="D2824" t="s">
        <v>26</v>
      </c>
      <c r="E2824">
        <v>4683</v>
      </c>
      <c r="F2824">
        <v>140.1</v>
      </c>
      <c r="G2824">
        <v>120.19</v>
      </c>
      <c r="H2824">
        <v>140.1</v>
      </c>
      <c r="I2824">
        <v>2065</v>
      </c>
      <c r="J2824">
        <v>71</v>
      </c>
      <c r="K2824" s="17">
        <f t="shared" si="353"/>
        <v>4887.1666666666661</v>
      </c>
      <c r="L2824" t="str">
        <f t="shared" si="354"/>
        <v>High Risk</v>
      </c>
      <c r="P2824" s="19">
        <f t="shared" si="355"/>
        <v>205</v>
      </c>
      <c r="R2824" s="19">
        <f t="shared" si="352"/>
        <v>28720.5</v>
      </c>
      <c r="T2824" s="19">
        <f t="shared" si="356"/>
        <v>248192.35</v>
      </c>
      <c r="U2824" s="19">
        <f t="shared" si="357"/>
        <v>289306.5</v>
      </c>
      <c r="V2824" s="21">
        <f t="shared" si="358"/>
        <v>41114.149999999994</v>
      </c>
      <c r="W2824" s="18">
        <f t="shared" si="359"/>
        <v>0.16565438056410681</v>
      </c>
    </row>
    <row r="2825" spans="1:23" x14ac:dyDescent="0.3">
      <c r="A2825" t="s">
        <v>226</v>
      </c>
      <c r="B2825" t="s">
        <v>895</v>
      </c>
      <c r="C2825" t="s">
        <v>12</v>
      </c>
      <c r="D2825" t="s">
        <v>17</v>
      </c>
      <c r="E2825">
        <v>4683</v>
      </c>
      <c r="F2825">
        <v>204.46</v>
      </c>
      <c r="G2825">
        <v>203.46</v>
      </c>
      <c r="H2825">
        <v>204.46</v>
      </c>
      <c r="I2825">
        <v>2797</v>
      </c>
      <c r="J2825">
        <v>22</v>
      </c>
      <c r="K2825" s="17">
        <f t="shared" si="353"/>
        <v>2051.1333333333332</v>
      </c>
      <c r="L2825" t="str">
        <f t="shared" si="354"/>
        <v>Sufficuent Stock</v>
      </c>
      <c r="P2825" s="19">
        <f t="shared" si="355"/>
        <v>0</v>
      </c>
      <c r="R2825" s="19">
        <f t="shared" si="352"/>
        <v>0</v>
      </c>
      <c r="T2825" s="19">
        <f t="shared" si="356"/>
        <v>569077.62</v>
      </c>
      <c r="U2825" s="19">
        <f t="shared" si="357"/>
        <v>571874.62</v>
      </c>
      <c r="V2825" s="21">
        <f t="shared" si="358"/>
        <v>2797</v>
      </c>
      <c r="W2825" s="18">
        <f t="shared" si="359"/>
        <v>4.9149710016710901E-3</v>
      </c>
    </row>
    <row r="2826" spans="1:23" x14ac:dyDescent="0.3">
      <c r="A2826" t="s">
        <v>472</v>
      </c>
      <c r="B2826" t="s">
        <v>1865</v>
      </c>
      <c r="C2826" t="s">
        <v>50</v>
      </c>
      <c r="D2826" t="s">
        <v>13</v>
      </c>
      <c r="E2826">
        <v>4685</v>
      </c>
      <c r="F2826">
        <v>405.71</v>
      </c>
      <c r="G2826">
        <v>345.31</v>
      </c>
      <c r="H2826">
        <v>405.71</v>
      </c>
      <c r="I2826">
        <v>74</v>
      </c>
      <c r="J2826">
        <v>20</v>
      </c>
      <c r="K2826" s="17">
        <f t="shared" si="353"/>
        <v>49.333333333333336</v>
      </c>
      <c r="L2826" t="str">
        <f t="shared" si="354"/>
        <v>Sufficuent Stock</v>
      </c>
      <c r="P2826" s="19">
        <f t="shared" si="355"/>
        <v>0</v>
      </c>
      <c r="R2826" s="19">
        <f t="shared" si="352"/>
        <v>0</v>
      </c>
      <c r="T2826" s="19">
        <f t="shared" si="356"/>
        <v>25552.94</v>
      </c>
      <c r="U2826" s="19">
        <f t="shared" si="357"/>
        <v>30022.539999999997</v>
      </c>
      <c r="V2826" s="21">
        <f t="shared" si="358"/>
        <v>4469.5999999999985</v>
      </c>
      <c r="W2826" s="18">
        <f t="shared" si="359"/>
        <v>0.17491529350438731</v>
      </c>
    </row>
    <row r="2827" spans="1:23" x14ac:dyDescent="0.3">
      <c r="A2827" t="s">
        <v>549</v>
      </c>
      <c r="B2827" t="s">
        <v>970</v>
      </c>
      <c r="C2827" t="s">
        <v>16</v>
      </c>
      <c r="D2827" t="s">
        <v>17</v>
      </c>
      <c r="E2827">
        <v>4686</v>
      </c>
      <c r="F2827">
        <v>328.66</v>
      </c>
      <c r="G2827">
        <v>317.14</v>
      </c>
      <c r="H2827">
        <v>328.66</v>
      </c>
      <c r="I2827">
        <v>2849</v>
      </c>
      <c r="J2827">
        <v>62</v>
      </c>
      <c r="K2827" s="17">
        <f t="shared" si="353"/>
        <v>5887.9333333333334</v>
      </c>
      <c r="L2827" t="str">
        <f t="shared" si="354"/>
        <v>High Risk</v>
      </c>
      <c r="P2827" s="19">
        <f t="shared" si="355"/>
        <v>1202</v>
      </c>
      <c r="R2827" s="19">
        <f t="shared" si="352"/>
        <v>395049.32</v>
      </c>
      <c r="T2827" s="19">
        <f t="shared" si="356"/>
        <v>903531.86</v>
      </c>
      <c r="U2827" s="19">
        <f t="shared" si="357"/>
        <v>936352.34000000008</v>
      </c>
      <c r="V2827" s="21">
        <f t="shared" si="358"/>
        <v>32820.480000000098</v>
      </c>
      <c r="W2827" s="18">
        <f t="shared" si="359"/>
        <v>3.6324651573437707E-2</v>
      </c>
    </row>
    <row r="2828" spans="1:23" x14ac:dyDescent="0.3">
      <c r="A2828" t="s">
        <v>382</v>
      </c>
      <c r="B2828" t="s">
        <v>1931</v>
      </c>
      <c r="C2828" t="s">
        <v>37</v>
      </c>
      <c r="D2828" t="s">
        <v>20</v>
      </c>
      <c r="E2828">
        <v>4687</v>
      </c>
      <c r="F2828">
        <v>402.93</v>
      </c>
      <c r="G2828">
        <v>436.65</v>
      </c>
      <c r="H2828">
        <v>402.93</v>
      </c>
      <c r="I2828">
        <v>1865</v>
      </c>
      <c r="J2828">
        <v>89</v>
      </c>
      <c r="K2828" s="17">
        <f t="shared" si="353"/>
        <v>5532.833333333333</v>
      </c>
      <c r="L2828" t="str">
        <f t="shared" si="354"/>
        <v>High Risk</v>
      </c>
      <c r="P2828" s="19">
        <f t="shared" si="355"/>
        <v>846</v>
      </c>
      <c r="R2828" s="19">
        <f t="shared" si="352"/>
        <v>340878.78</v>
      </c>
      <c r="T2828" s="19">
        <f t="shared" si="356"/>
        <v>814352.25</v>
      </c>
      <c r="U2828" s="19">
        <f t="shared" si="357"/>
        <v>751464.45000000007</v>
      </c>
      <c r="V2828" s="21">
        <f t="shared" si="358"/>
        <v>-62887.79999999993</v>
      </c>
      <c r="W2828" s="18">
        <f t="shared" si="359"/>
        <v>-7.7224321538989948E-2</v>
      </c>
    </row>
    <row r="2829" spans="1:23" x14ac:dyDescent="0.3">
      <c r="A2829" t="s">
        <v>193</v>
      </c>
      <c r="B2829" t="s">
        <v>1427</v>
      </c>
      <c r="C2829" t="s">
        <v>23</v>
      </c>
      <c r="D2829" t="s">
        <v>26</v>
      </c>
      <c r="E2829">
        <v>4691</v>
      </c>
      <c r="F2829">
        <v>426.76</v>
      </c>
      <c r="G2829">
        <v>359.83</v>
      </c>
      <c r="H2829">
        <v>426.76</v>
      </c>
      <c r="I2829">
        <v>547</v>
      </c>
      <c r="J2829">
        <v>44</v>
      </c>
      <c r="K2829" s="17">
        <f t="shared" si="353"/>
        <v>802.26666666666665</v>
      </c>
      <c r="L2829" t="str">
        <f t="shared" si="354"/>
        <v>Sufficuent Stock</v>
      </c>
      <c r="P2829" s="19">
        <f t="shared" si="355"/>
        <v>0</v>
      </c>
      <c r="R2829" s="19">
        <f t="shared" si="352"/>
        <v>0</v>
      </c>
      <c r="T2829" s="19">
        <f t="shared" si="356"/>
        <v>196827.00999999998</v>
      </c>
      <c r="U2829" s="19">
        <f t="shared" si="357"/>
        <v>233437.72</v>
      </c>
      <c r="V2829" s="21">
        <f t="shared" si="358"/>
        <v>36610.710000000021</v>
      </c>
      <c r="W2829" s="18">
        <f t="shared" si="359"/>
        <v>0.18600450212600408</v>
      </c>
    </row>
    <row r="2830" spans="1:23" x14ac:dyDescent="0.3">
      <c r="A2830" t="s">
        <v>86</v>
      </c>
      <c r="B2830" t="s">
        <v>3282</v>
      </c>
      <c r="C2830" t="s">
        <v>16</v>
      </c>
      <c r="D2830" t="s">
        <v>13</v>
      </c>
      <c r="E2830">
        <v>4693</v>
      </c>
      <c r="F2830">
        <v>82.56</v>
      </c>
      <c r="G2830">
        <v>86.98</v>
      </c>
      <c r="H2830">
        <v>82.56</v>
      </c>
      <c r="I2830">
        <v>3252</v>
      </c>
      <c r="J2830">
        <v>65</v>
      </c>
      <c r="K2830" s="17">
        <f t="shared" si="353"/>
        <v>7046</v>
      </c>
      <c r="L2830" t="str">
        <f t="shared" si="354"/>
        <v>High Risk</v>
      </c>
      <c r="P2830" s="19">
        <f t="shared" si="355"/>
        <v>2353</v>
      </c>
      <c r="R2830" s="19">
        <f t="shared" si="352"/>
        <v>194263.67999999999</v>
      </c>
      <c r="T2830" s="19">
        <f t="shared" si="356"/>
        <v>282858.96000000002</v>
      </c>
      <c r="U2830" s="19">
        <f t="shared" si="357"/>
        <v>268485.12</v>
      </c>
      <c r="V2830" s="21">
        <f t="shared" si="358"/>
        <v>-14373.840000000026</v>
      </c>
      <c r="W2830" s="18">
        <f t="shared" si="359"/>
        <v>-5.0816279604506867E-2</v>
      </c>
    </row>
    <row r="2831" spans="1:23" x14ac:dyDescent="0.3">
      <c r="A2831" t="s">
        <v>573</v>
      </c>
      <c r="B2831" t="s">
        <v>622</v>
      </c>
      <c r="C2831" t="s">
        <v>50</v>
      </c>
      <c r="D2831" t="s">
        <v>13</v>
      </c>
      <c r="E2831">
        <v>4696</v>
      </c>
      <c r="F2831">
        <v>142.81</v>
      </c>
      <c r="G2831">
        <v>126.33</v>
      </c>
      <c r="H2831">
        <v>142.81</v>
      </c>
      <c r="I2831">
        <v>3759</v>
      </c>
      <c r="J2831">
        <v>84</v>
      </c>
      <c r="K2831" s="17">
        <f t="shared" si="353"/>
        <v>10525.199999999999</v>
      </c>
      <c r="L2831" t="str">
        <f t="shared" si="354"/>
        <v>High Risk</v>
      </c>
      <c r="P2831" s="19">
        <f t="shared" si="355"/>
        <v>5830</v>
      </c>
      <c r="R2831" s="19">
        <f t="shared" si="352"/>
        <v>832582.3</v>
      </c>
      <c r="T2831" s="19">
        <f t="shared" si="356"/>
        <v>474874.47</v>
      </c>
      <c r="U2831" s="19">
        <f t="shared" si="357"/>
        <v>536822.79</v>
      </c>
      <c r="V2831" s="21">
        <f t="shared" si="358"/>
        <v>61948.320000000065</v>
      </c>
      <c r="W2831" s="18">
        <f t="shared" si="359"/>
        <v>0.13045199081769981</v>
      </c>
    </row>
    <row r="2832" spans="1:23" x14ac:dyDescent="0.3">
      <c r="A2832" t="s">
        <v>136</v>
      </c>
      <c r="B2832" t="s">
        <v>2738</v>
      </c>
      <c r="C2832" t="s">
        <v>37</v>
      </c>
      <c r="D2832" t="s">
        <v>20</v>
      </c>
      <c r="E2832">
        <v>4704</v>
      </c>
      <c r="F2832">
        <v>364.38</v>
      </c>
      <c r="G2832">
        <v>397.56</v>
      </c>
      <c r="H2832">
        <v>364.38</v>
      </c>
      <c r="I2832">
        <v>3407</v>
      </c>
      <c r="J2832">
        <v>9</v>
      </c>
      <c r="K2832" s="17">
        <f t="shared" si="353"/>
        <v>1022.0999999999999</v>
      </c>
      <c r="L2832" t="str">
        <f t="shared" si="354"/>
        <v>Sufficuent Stock</v>
      </c>
      <c r="P2832" s="19">
        <f t="shared" si="355"/>
        <v>0</v>
      </c>
      <c r="R2832" s="19">
        <f t="shared" si="352"/>
        <v>0</v>
      </c>
      <c r="T2832" s="19">
        <f t="shared" si="356"/>
        <v>1354486.92</v>
      </c>
      <c r="U2832" s="19">
        <f t="shared" si="357"/>
        <v>1241442.6599999999</v>
      </c>
      <c r="V2832" s="21">
        <f t="shared" si="358"/>
        <v>-113044.26000000001</v>
      </c>
      <c r="W2832" s="18">
        <f t="shared" si="359"/>
        <v>-8.3459100513130102E-2</v>
      </c>
    </row>
    <row r="2833" spans="1:23" x14ac:dyDescent="0.3">
      <c r="A2833" t="s">
        <v>673</v>
      </c>
      <c r="B2833" t="s">
        <v>3266</v>
      </c>
      <c r="C2833" t="s">
        <v>12</v>
      </c>
      <c r="D2833" t="s">
        <v>69</v>
      </c>
      <c r="E2833">
        <v>4704</v>
      </c>
      <c r="F2833">
        <v>115.76</v>
      </c>
      <c r="G2833">
        <v>115.87</v>
      </c>
      <c r="H2833">
        <v>115.76</v>
      </c>
      <c r="I2833">
        <v>1290</v>
      </c>
      <c r="J2833">
        <v>43</v>
      </c>
      <c r="K2833" s="17">
        <f t="shared" si="353"/>
        <v>1849</v>
      </c>
      <c r="L2833" t="str">
        <f t="shared" si="354"/>
        <v>Sufficuent Stock</v>
      </c>
      <c r="P2833" s="19">
        <f t="shared" si="355"/>
        <v>0</v>
      </c>
      <c r="R2833" s="19">
        <f t="shared" si="352"/>
        <v>0</v>
      </c>
      <c r="T2833" s="19">
        <f t="shared" si="356"/>
        <v>149472.30000000002</v>
      </c>
      <c r="U2833" s="19">
        <f t="shared" si="357"/>
        <v>149330.4</v>
      </c>
      <c r="V2833" s="21">
        <f t="shared" si="358"/>
        <v>-141.90000000002328</v>
      </c>
      <c r="W2833" s="18">
        <f t="shared" si="359"/>
        <v>-9.4933977733682609E-4</v>
      </c>
    </row>
    <row r="2834" spans="1:23" x14ac:dyDescent="0.3">
      <c r="A2834" t="s">
        <v>424</v>
      </c>
      <c r="B2834" t="s">
        <v>425</v>
      </c>
      <c r="C2834" t="s">
        <v>12</v>
      </c>
      <c r="D2834" t="s">
        <v>26</v>
      </c>
      <c r="E2834">
        <v>4704</v>
      </c>
      <c r="F2834">
        <v>93.75</v>
      </c>
      <c r="G2834">
        <v>98.21</v>
      </c>
      <c r="H2834">
        <v>93.75</v>
      </c>
      <c r="I2834">
        <v>2372</v>
      </c>
      <c r="J2834">
        <v>20</v>
      </c>
      <c r="K2834" s="17">
        <f t="shared" si="353"/>
        <v>1581.3333333333333</v>
      </c>
      <c r="L2834" t="str">
        <f t="shared" si="354"/>
        <v>Sufficuent Stock</v>
      </c>
      <c r="P2834" s="19">
        <f t="shared" si="355"/>
        <v>0</v>
      </c>
      <c r="R2834" s="19">
        <f t="shared" si="352"/>
        <v>0</v>
      </c>
      <c r="T2834" s="19">
        <f t="shared" si="356"/>
        <v>232954.12</v>
      </c>
      <c r="U2834" s="19">
        <f t="shared" si="357"/>
        <v>222375</v>
      </c>
      <c r="V2834" s="21">
        <f t="shared" si="358"/>
        <v>-10579.119999999995</v>
      </c>
      <c r="W2834" s="18">
        <f t="shared" si="359"/>
        <v>-4.5412890744323371E-2</v>
      </c>
    </row>
    <row r="2835" spans="1:23" x14ac:dyDescent="0.3">
      <c r="A2835" t="s">
        <v>347</v>
      </c>
      <c r="B2835" t="s">
        <v>1415</v>
      </c>
      <c r="C2835" t="s">
        <v>50</v>
      </c>
      <c r="D2835" t="s">
        <v>17</v>
      </c>
      <c r="E2835">
        <v>4706</v>
      </c>
      <c r="F2835">
        <v>404.38</v>
      </c>
      <c r="G2835">
        <v>372.08</v>
      </c>
      <c r="H2835">
        <v>404.38</v>
      </c>
      <c r="I2835">
        <v>1102</v>
      </c>
      <c r="J2835">
        <v>82</v>
      </c>
      <c r="K2835" s="17">
        <f t="shared" si="353"/>
        <v>3012.1333333333332</v>
      </c>
      <c r="L2835" t="str">
        <f t="shared" si="354"/>
        <v>Sufficuent Stock</v>
      </c>
      <c r="P2835" s="19">
        <f t="shared" si="355"/>
        <v>0</v>
      </c>
      <c r="R2835" s="19">
        <f t="shared" si="352"/>
        <v>0</v>
      </c>
      <c r="T2835" s="19">
        <f t="shared" si="356"/>
        <v>410032.16</v>
      </c>
      <c r="U2835" s="19">
        <f t="shared" si="357"/>
        <v>445626.76</v>
      </c>
      <c r="V2835" s="21">
        <f t="shared" si="358"/>
        <v>35594.600000000035</v>
      </c>
      <c r="W2835" s="18">
        <f t="shared" si="359"/>
        <v>8.6809288325091466E-2</v>
      </c>
    </row>
    <row r="2836" spans="1:23" x14ac:dyDescent="0.3">
      <c r="A2836" t="s">
        <v>1211</v>
      </c>
      <c r="B2836" t="s">
        <v>1358</v>
      </c>
      <c r="C2836" t="s">
        <v>50</v>
      </c>
      <c r="D2836" t="s">
        <v>69</v>
      </c>
      <c r="E2836">
        <v>4707</v>
      </c>
      <c r="F2836">
        <v>91.39</v>
      </c>
      <c r="G2836">
        <v>78.45</v>
      </c>
      <c r="H2836">
        <v>91.39</v>
      </c>
      <c r="I2836">
        <v>2029</v>
      </c>
      <c r="J2836">
        <v>11</v>
      </c>
      <c r="K2836" s="17">
        <f t="shared" si="353"/>
        <v>743.9666666666667</v>
      </c>
      <c r="L2836" t="str">
        <f t="shared" si="354"/>
        <v>Sufficuent Stock</v>
      </c>
      <c r="P2836" s="19">
        <f t="shared" si="355"/>
        <v>0</v>
      </c>
      <c r="R2836" s="19">
        <f t="shared" si="352"/>
        <v>0</v>
      </c>
      <c r="T2836" s="19">
        <f t="shared" si="356"/>
        <v>159175.05000000002</v>
      </c>
      <c r="U2836" s="19">
        <f t="shared" si="357"/>
        <v>185430.31</v>
      </c>
      <c r="V2836" s="21">
        <f t="shared" si="358"/>
        <v>26255.25999999998</v>
      </c>
      <c r="W2836" s="18">
        <f t="shared" si="359"/>
        <v>0.16494582536647531</v>
      </c>
    </row>
    <row r="2837" spans="1:23" x14ac:dyDescent="0.3">
      <c r="A2837" t="s">
        <v>354</v>
      </c>
      <c r="B2837" t="s">
        <v>3114</v>
      </c>
      <c r="C2837" t="s">
        <v>12</v>
      </c>
      <c r="D2837" t="s">
        <v>26</v>
      </c>
      <c r="E2837">
        <v>4707</v>
      </c>
      <c r="F2837">
        <v>353.83</v>
      </c>
      <c r="G2837">
        <v>375.23</v>
      </c>
      <c r="H2837">
        <v>353.83</v>
      </c>
      <c r="I2837">
        <v>1857</v>
      </c>
      <c r="J2837">
        <v>30</v>
      </c>
      <c r="K2837" s="17">
        <f t="shared" si="353"/>
        <v>1857</v>
      </c>
      <c r="L2837" t="str">
        <f t="shared" si="354"/>
        <v>Sufficuent Stock</v>
      </c>
      <c r="P2837" s="19">
        <f t="shared" si="355"/>
        <v>0</v>
      </c>
      <c r="R2837" s="19">
        <f t="shared" si="352"/>
        <v>0</v>
      </c>
      <c r="T2837" s="19">
        <f t="shared" si="356"/>
        <v>696802.11</v>
      </c>
      <c r="U2837" s="19">
        <f t="shared" si="357"/>
        <v>657062.30999999994</v>
      </c>
      <c r="V2837" s="21">
        <f t="shared" si="358"/>
        <v>-39739.800000000047</v>
      </c>
      <c r="W2837" s="18">
        <f t="shared" si="359"/>
        <v>-5.7031687231831212E-2</v>
      </c>
    </row>
    <row r="2838" spans="1:23" x14ac:dyDescent="0.3">
      <c r="A2838" t="s">
        <v>86</v>
      </c>
      <c r="B2838" t="s">
        <v>2652</v>
      </c>
      <c r="C2838" t="s">
        <v>16</v>
      </c>
      <c r="D2838" t="s">
        <v>17</v>
      </c>
      <c r="E2838">
        <v>4708</v>
      </c>
      <c r="F2838">
        <v>173.77</v>
      </c>
      <c r="G2838">
        <v>159.34</v>
      </c>
      <c r="H2838">
        <v>173.77</v>
      </c>
      <c r="I2838">
        <v>1368</v>
      </c>
      <c r="J2838">
        <v>19</v>
      </c>
      <c r="K2838" s="17">
        <f t="shared" si="353"/>
        <v>866.4</v>
      </c>
      <c r="L2838" t="str">
        <f t="shared" si="354"/>
        <v>Sufficuent Stock</v>
      </c>
      <c r="P2838" s="19">
        <f t="shared" si="355"/>
        <v>0</v>
      </c>
      <c r="R2838" s="19">
        <f t="shared" si="352"/>
        <v>0</v>
      </c>
      <c r="T2838" s="19">
        <f t="shared" si="356"/>
        <v>217977.12</v>
      </c>
      <c r="U2838" s="19">
        <f t="shared" si="357"/>
        <v>237717.36000000002</v>
      </c>
      <c r="V2838" s="21">
        <f t="shared" si="358"/>
        <v>19740.24000000002</v>
      </c>
      <c r="W2838" s="18">
        <f t="shared" si="359"/>
        <v>9.0561064390611359E-2</v>
      </c>
    </row>
    <row r="2839" spans="1:23" x14ac:dyDescent="0.3">
      <c r="A2839" t="s">
        <v>949</v>
      </c>
      <c r="B2839" t="s">
        <v>950</v>
      </c>
      <c r="C2839" t="s">
        <v>23</v>
      </c>
      <c r="D2839" t="s">
        <v>26</v>
      </c>
      <c r="E2839">
        <v>4708</v>
      </c>
      <c r="F2839">
        <v>544.96</v>
      </c>
      <c r="G2839">
        <v>485.54</v>
      </c>
      <c r="H2839">
        <v>544.96</v>
      </c>
      <c r="I2839">
        <v>2896</v>
      </c>
      <c r="J2839">
        <v>26</v>
      </c>
      <c r="K2839" s="17">
        <f t="shared" si="353"/>
        <v>2509.8666666666668</v>
      </c>
      <c r="L2839" t="str">
        <f t="shared" si="354"/>
        <v>Sufficuent Stock</v>
      </c>
      <c r="P2839" s="19">
        <f t="shared" si="355"/>
        <v>0</v>
      </c>
      <c r="R2839" s="19">
        <f t="shared" si="352"/>
        <v>0</v>
      </c>
      <c r="T2839" s="19">
        <f t="shared" si="356"/>
        <v>1406123.84</v>
      </c>
      <c r="U2839" s="19">
        <f t="shared" si="357"/>
        <v>1578204.1600000001</v>
      </c>
      <c r="V2839" s="21">
        <f t="shared" si="358"/>
        <v>172080.32000000007</v>
      </c>
      <c r="W2839" s="18">
        <f t="shared" si="359"/>
        <v>0.1223792066565062</v>
      </c>
    </row>
    <row r="2840" spans="1:23" x14ac:dyDescent="0.3">
      <c r="A2840" t="s">
        <v>884</v>
      </c>
      <c r="B2840" t="s">
        <v>898</v>
      </c>
      <c r="C2840" t="s">
        <v>16</v>
      </c>
      <c r="D2840" t="s">
        <v>26</v>
      </c>
      <c r="E2840">
        <v>4710</v>
      </c>
      <c r="F2840">
        <v>418.21</v>
      </c>
      <c r="G2840">
        <v>379.49</v>
      </c>
      <c r="H2840">
        <v>418.21</v>
      </c>
      <c r="I2840">
        <v>1484</v>
      </c>
      <c r="J2840">
        <v>50</v>
      </c>
      <c r="K2840" s="17">
        <f t="shared" si="353"/>
        <v>2473.3333333333335</v>
      </c>
      <c r="L2840" t="str">
        <f t="shared" si="354"/>
        <v>Sufficuent Stock</v>
      </c>
      <c r="P2840" s="19">
        <f t="shared" si="355"/>
        <v>0</v>
      </c>
      <c r="R2840" s="19">
        <f t="shared" si="352"/>
        <v>0</v>
      </c>
      <c r="T2840" s="19">
        <f t="shared" si="356"/>
        <v>563163.16</v>
      </c>
      <c r="U2840" s="19">
        <f t="shared" si="357"/>
        <v>620623.64</v>
      </c>
      <c r="V2840" s="21">
        <f t="shared" si="358"/>
        <v>57460.479999999981</v>
      </c>
      <c r="W2840" s="18">
        <f t="shared" si="359"/>
        <v>0.10203167408890876</v>
      </c>
    </row>
    <row r="2841" spans="1:23" x14ac:dyDescent="0.3">
      <c r="A2841" t="s">
        <v>594</v>
      </c>
      <c r="B2841" t="s">
        <v>746</v>
      </c>
      <c r="C2841" t="s">
        <v>16</v>
      </c>
      <c r="D2841" t="s">
        <v>26</v>
      </c>
      <c r="E2841">
        <v>4711</v>
      </c>
      <c r="F2841">
        <v>75.42</v>
      </c>
      <c r="G2841">
        <v>74.400000000000006</v>
      </c>
      <c r="H2841">
        <v>75.42</v>
      </c>
      <c r="I2841">
        <v>3852</v>
      </c>
      <c r="J2841">
        <v>65</v>
      </c>
      <c r="K2841" s="17">
        <f t="shared" si="353"/>
        <v>8346</v>
      </c>
      <c r="L2841" t="str">
        <f t="shared" si="354"/>
        <v>High Risk</v>
      </c>
      <c r="P2841" s="19">
        <f t="shared" si="355"/>
        <v>3635</v>
      </c>
      <c r="R2841" s="19">
        <f t="shared" si="352"/>
        <v>274151.7</v>
      </c>
      <c r="T2841" s="19">
        <f t="shared" si="356"/>
        <v>286588.80000000005</v>
      </c>
      <c r="U2841" s="19">
        <f t="shared" si="357"/>
        <v>290517.84000000003</v>
      </c>
      <c r="V2841" s="21">
        <f t="shared" si="358"/>
        <v>3929.039999999979</v>
      </c>
      <c r="W2841" s="18">
        <f t="shared" si="359"/>
        <v>1.3709677419354763E-2</v>
      </c>
    </row>
    <row r="2842" spans="1:23" x14ac:dyDescent="0.3">
      <c r="A2842" t="s">
        <v>464</v>
      </c>
      <c r="B2842" t="s">
        <v>3124</v>
      </c>
      <c r="C2842" t="s">
        <v>23</v>
      </c>
      <c r="D2842" t="s">
        <v>26</v>
      </c>
      <c r="E2842">
        <v>4711</v>
      </c>
      <c r="F2842">
        <v>522.61</v>
      </c>
      <c r="G2842">
        <v>446.02</v>
      </c>
      <c r="H2842">
        <v>522.61</v>
      </c>
      <c r="I2842">
        <v>3454</v>
      </c>
      <c r="J2842">
        <v>32</v>
      </c>
      <c r="K2842" s="17">
        <f t="shared" si="353"/>
        <v>3684.2666666666669</v>
      </c>
      <c r="L2842" t="str">
        <f t="shared" si="354"/>
        <v>Sufficuent Stock</v>
      </c>
      <c r="P2842" s="19">
        <f t="shared" si="355"/>
        <v>0</v>
      </c>
      <c r="R2842" s="19">
        <f t="shared" si="352"/>
        <v>0</v>
      </c>
      <c r="T2842" s="19">
        <f t="shared" si="356"/>
        <v>1540553.0799999998</v>
      </c>
      <c r="U2842" s="19">
        <f t="shared" si="357"/>
        <v>1805094.94</v>
      </c>
      <c r="V2842" s="21">
        <f t="shared" si="358"/>
        <v>264541.8600000001</v>
      </c>
      <c r="W2842" s="18">
        <f t="shared" si="359"/>
        <v>0.17171875700641234</v>
      </c>
    </row>
    <row r="2843" spans="1:23" x14ac:dyDescent="0.3">
      <c r="A2843" t="s">
        <v>340</v>
      </c>
      <c r="B2843" t="s">
        <v>1595</v>
      </c>
      <c r="C2843" t="s">
        <v>12</v>
      </c>
      <c r="D2843" t="s">
        <v>69</v>
      </c>
      <c r="E2843">
        <v>4711</v>
      </c>
      <c r="F2843">
        <v>235.91</v>
      </c>
      <c r="G2843">
        <v>256.49</v>
      </c>
      <c r="H2843">
        <v>235.91</v>
      </c>
      <c r="I2843">
        <v>1233</v>
      </c>
      <c r="J2843">
        <v>10</v>
      </c>
      <c r="K2843" s="17">
        <f t="shared" si="353"/>
        <v>411</v>
      </c>
      <c r="L2843" t="str">
        <f t="shared" si="354"/>
        <v>Sufficuent Stock</v>
      </c>
      <c r="P2843" s="19">
        <f t="shared" si="355"/>
        <v>0</v>
      </c>
      <c r="R2843" s="19">
        <f t="shared" si="352"/>
        <v>0</v>
      </c>
      <c r="T2843" s="19">
        <f t="shared" si="356"/>
        <v>316252.17</v>
      </c>
      <c r="U2843" s="19">
        <f t="shared" si="357"/>
        <v>290877.02999999997</v>
      </c>
      <c r="V2843" s="21">
        <f t="shared" si="358"/>
        <v>-25375.140000000014</v>
      </c>
      <c r="W2843" s="18">
        <f t="shared" si="359"/>
        <v>-8.0237046278607407E-2</v>
      </c>
    </row>
    <row r="2844" spans="1:23" x14ac:dyDescent="0.3">
      <c r="A2844" t="s">
        <v>1500</v>
      </c>
      <c r="B2844" t="s">
        <v>2717</v>
      </c>
      <c r="C2844" t="s">
        <v>16</v>
      </c>
      <c r="D2844" t="s">
        <v>69</v>
      </c>
      <c r="E2844">
        <v>4712</v>
      </c>
      <c r="F2844">
        <v>485.38</v>
      </c>
      <c r="G2844">
        <v>497.57</v>
      </c>
      <c r="H2844">
        <v>485.38</v>
      </c>
      <c r="I2844">
        <v>1020</v>
      </c>
      <c r="J2844">
        <v>6</v>
      </c>
      <c r="K2844" s="17">
        <f t="shared" si="353"/>
        <v>204</v>
      </c>
      <c r="L2844" t="str">
        <f t="shared" si="354"/>
        <v>Sufficuent Stock</v>
      </c>
      <c r="P2844" s="19">
        <f t="shared" si="355"/>
        <v>0</v>
      </c>
      <c r="R2844" s="19">
        <f t="shared" si="352"/>
        <v>0</v>
      </c>
      <c r="T2844" s="19">
        <f t="shared" si="356"/>
        <v>507521.39999999997</v>
      </c>
      <c r="U2844" s="19">
        <f t="shared" si="357"/>
        <v>495087.6</v>
      </c>
      <c r="V2844" s="21">
        <f t="shared" si="358"/>
        <v>-12433.799999999988</v>
      </c>
      <c r="W2844" s="18">
        <f t="shared" si="359"/>
        <v>-2.4499065458126475E-2</v>
      </c>
    </row>
    <row r="2845" spans="1:23" x14ac:dyDescent="0.3">
      <c r="A2845" t="s">
        <v>573</v>
      </c>
      <c r="B2845" t="s">
        <v>1533</v>
      </c>
      <c r="C2845" t="s">
        <v>23</v>
      </c>
      <c r="D2845" t="s">
        <v>69</v>
      </c>
      <c r="E2845">
        <v>4714</v>
      </c>
      <c r="F2845">
        <v>475.76</v>
      </c>
      <c r="G2845">
        <v>459.46</v>
      </c>
      <c r="H2845">
        <v>475.76</v>
      </c>
      <c r="I2845">
        <v>3371</v>
      </c>
      <c r="J2845">
        <v>7</v>
      </c>
      <c r="K2845" s="17">
        <f t="shared" si="353"/>
        <v>786.56666666666661</v>
      </c>
      <c r="L2845" t="str">
        <f t="shared" si="354"/>
        <v>Sufficuent Stock</v>
      </c>
      <c r="P2845" s="19">
        <f t="shared" si="355"/>
        <v>0</v>
      </c>
      <c r="R2845" s="19">
        <f t="shared" si="352"/>
        <v>0</v>
      </c>
      <c r="T2845" s="19">
        <f t="shared" si="356"/>
        <v>1548839.66</v>
      </c>
      <c r="U2845" s="19">
        <f t="shared" si="357"/>
        <v>1603786.96</v>
      </c>
      <c r="V2845" s="21">
        <f t="shared" si="358"/>
        <v>54947.300000000047</v>
      </c>
      <c r="W2845" s="18">
        <f t="shared" si="359"/>
        <v>3.5476428851260206E-2</v>
      </c>
    </row>
    <row r="2846" spans="1:23" x14ac:dyDescent="0.3">
      <c r="A2846" t="s">
        <v>314</v>
      </c>
      <c r="B2846" t="s">
        <v>315</v>
      </c>
      <c r="C2846" t="s">
        <v>37</v>
      </c>
      <c r="D2846" t="s">
        <v>17</v>
      </c>
      <c r="E2846">
        <v>4716</v>
      </c>
      <c r="F2846">
        <v>471.1</v>
      </c>
      <c r="G2846">
        <v>412.53</v>
      </c>
      <c r="H2846">
        <v>471.1</v>
      </c>
      <c r="I2846">
        <v>697</v>
      </c>
      <c r="J2846">
        <v>39</v>
      </c>
      <c r="K2846" s="17">
        <f t="shared" si="353"/>
        <v>906.1</v>
      </c>
      <c r="L2846" t="str">
        <f t="shared" si="354"/>
        <v>Sufficuent Stock</v>
      </c>
      <c r="P2846" s="19">
        <f t="shared" si="355"/>
        <v>0</v>
      </c>
      <c r="R2846" s="19">
        <f t="shared" si="352"/>
        <v>0</v>
      </c>
      <c r="T2846" s="19">
        <f t="shared" si="356"/>
        <v>287533.40999999997</v>
      </c>
      <c r="U2846" s="19">
        <f t="shared" si="357"/>
        <v>328356.7</v>
      </c>
      <c r="V2846" s="21">
        <f t="shared" si="358"/>
        <v>40823.290000000037</v>
      </c>
      <c r="W2846" s="18">
        <f t="shared" si="359"/>
        <v>0.14197755314765001</v>
      </c>
    </row>
    <row r="2847" spans="1:23" x14ac:dyDescent="0.3">
      <c r="A2847" t="s">
        <v>552</v>
      </c>
      <c r="B2847" t="s">
        <v>2928</v>
      </c>
      <c r="C2847" t="s">
        <v>50</v>
      </c>
      <c r="D2847" t="s">
        <v>20</v>
      </c>
      <c r="E2847">
        <v>4716</v>
      </c>
      <c r="F2847">
        <v>372.7</v>
      </c>
      <c r="G2847">
        <v>396.6</v>
      </c>
      <c r="H2847">
        <v>372.7</v>
      </c>
      <c r="I2847">
        <v>200</v>
      </c>
      <c r="J2847">
        <v>83</v>
      </c>
      <c r="K2847" s="17">
        <f t="shared" si="353"/>
        <v>553.33333333333337</v>
      </c>
      <c r="L2847" t="str">
        <f t="shared" si="354"/>
        <v>Sufficuent Stock</v>
      </c>
      <c r="P2847" s="19">
        <f t="shared" si="355"/>
        <v>0</v>
      </c>
      <c r="R2847" s="19">
        <f t="shared" si="352"/>
        <v>0</v>
      </c>
      <c r="T2847" s="19">
        <f t="shared" si="356"/>
        <v>79320</v>
      </c>
      <c r="U2847" s="19">
        <f t="shared" si="357"/>
        <v>74540</v>
      </c>
      <c r="V2847" s="21">
        <f t="shared" si="358"/>
        <v>-4780</v>
      </c>
      <c r="W2847" s="18">
        <f t="shared" si="359"/>
        <v>-6.026222894604135E-2</v>
      </c>
    </row>
    <row r="2848" spans="1:23" x14ac:dyDescent="0.3">
      <c r="A2848" t="s">
        <v>612</v>
      </c>
      <c r="B2848" t="s">
        <v>1733</v>
      </c>
      <c r="C2848" t="s">
        <v>16</v>
      </c>
      <c r="D2848" t="s">
        <v>69</v>
      </c>
      <c r="E2848">
        <v>4717</v>
      </c>
      <c r="F2848">
        <v>317.41000000000003</v>
      </c>
      <c r="G2848">
        <v>307.66000000000003</v>
      </c>
      <c r="H2848">
        <v>317.41000000000003</v>
      </c>
      <c r="I2848">
        <v>1506</v>
      </c>
      <c r="J2848">
        <v>58</v>
      </c>
      <c r="K2848" s="17">
        <f t="shared" si="353"/>
        <v>2911.6000000000004</v>
      </c>
      <c r="L2848" t="str">
        <f t="shared" si="354"/>
        <v>Sufficuent Stock</v>
      </c>
      <c r="P2848" s="19">
        <f t="shared" si="355"/>
        <v>0</v>
      </c>
      <c r="R2848" s="19">
        <f t="shared" si="352"/>
        <v>0</v>
      </c>
      <c r="T2848" s="19">
        <f t="shared" si="356"/>
        <v>463335.96</v>
      </c>
      <c r="U2848" s="19">
        <f t="shared" si="357"/>
        <v>478019.46</v>
      </c>
      <c r="V2848" s="21">
        <f t="shared" si="358"/>
        <v>14683.5</v>
      </c>
      <c r="W2848" s="18">
        <f t="shared" si="359"/>
        <v>3.1690827536891369E-2</v>
      </c>
    </row>
    <row r="2849" spans="1:23" x14ac:dyDescent="0.3">
      <c r="A2849" t="s">
        <v>10</v>
      </c>
      <c r="B2849" t="s">
        <v>2279</v>
      </c>
      <c r="C2849" t="s">
        <v>12</v>
      </c>
      <c r="D2849" t="s">
        <v>13</v>
      </c>
      <c r="E2849">
        <v>4718</v>
      </c>
      <c r="F2849">
        <v>253.76</v>
      </c>
      <c r="G2849">
        <v>249.54</v>
      </c>
      <c r="H2849">
        <v>253.76</v>
      </c>
      <c r="I2849">
        <v>1676</v>
      </c>
      <c r="J2849">
        <v>36</v>
      </c>
      <c r="K2849" s="17">
        <f t="shared" si="353"/>
        <v>2011.2</v>
      </c>
      <c r="L2849" t="str">
        <f t="shared" si="354"/>
        <v>Sufficuent Stock</v>
      </c>
      <c r="P2849" s="19">
        <f t="shared" si="355"/>
        <v>0</v>
      </c>
      <c r="R2849" s="19">
        <f t="shared" si="352"/>
        <v>0</v>
      </c>
      <c r="T2849" s="19">
        <f t="shared" si="356"/>
        <v>418229.04</v>
      </c>
      <c r="U2849" s="19">
        <f t="shared" si="357"/>
        <v>425301.76000000001</v>
      </c>
      <c r="V2849" s="21">
        <f t="shared" si="358"/>
        <v>7072.7200000000303</v>
      </c>
      <c r="W2849" s="18">
        <f t="shared" si="359"/>
        <v>1.691111645427594E-2</v>
      </c>
    </row>
    <row r="2850" spans="1:23" x14ac:dyDescent="0.3">
      <c r="A2850" t="s">
        <v>400</v>
      </c>
      <c r="B2850" t="s">
        <v>401</v>
      </c>
      <c r="C2850" t="s">
        <v>37</v>
      </c>
      <c r="D2850" t="s">
        <v>17</v>
      </c>
      <c r="E2850">
        <v>4718</v>
      </c>
      <c r="F2850">
        <v>427.02</v>
      </c>
      <c r="G2850">
        <v>397.19</v>
      </c>
      <c r="H2850">
        <v>427.02</v>
      </c>
      <c r="I2850">
        <v>1567</v>
      </c>
      <c r="J2850">
        <v>18</v>
      </c>
      <c r="K2850" s="17">
        <f t="shared" si="353"/>
        <v>940.2</v>
      </c>
      <c r="L2850" t="str">
        <f t="shared" si="354"/>
        <v>Sufficuent Stock</v>
      </c>
      <c r="P2850" s="19">
        <f t="shared" si="355"/>
        <v>0</v>
      </c>
      <c r="R2850" s="19">
        <f t="shared" si="352"/>
        <v>0</v>
      </c>
      <c r="T2850" s="19">
        <f t="shared" si="356"/>
        <v>622396.73</v>
      </c>
      <c r="U2850" s="19">
        <f t="shared" si="357"/>
        <v>669140.34</v>
      </c>
      <c r="V2850" s="21">
        <f t="shared" si="358"/>
        <v>46743.609999999986</v>
      </c>
      <c r="W2850" s="18">
        <f t="shared" si="359"/>
        <v>7.5102595735038621E-2</v>
      </c>
    </row>
    <row r="2851" spans="1:23" x14ac:dyDescent="0.3">
      <c r="A2851" t="s">
        <v>80</v>
      </c>
      <c r="B2851" t="s">
        <v>81</v>
      </c>
      <c r="C2851" t="s">
        <v>16</v>
      </c>
      <c r="D2851" t="s">
        <v>69</v>
      </c>
      <c r="E2851">
        <v>4721</v>
      </c>
      <c r="F2851">
        <v>13.68</v>
      </c>
      <c r="G2851">
        <v>12.13</v>
      </c>
      <c r="H2851">
        <v>13.68</v>
      </c>
      <c r="I2851">
        <v>3138</v>
      </c>
      <c r="J2851">
        <v>27</v>
      </c>
      <c r="K2851" s="17">
        <f t="shared" si="353"/>
        <v>2824.2</v>
      </c>
      <c r="L2851" t="str">
        <f t="shared" si="354"/>
        <v>Sufficuent Stock</v>
      </c>
      <c r="P2851" s="19">
        <f t="shared" si="355"/>
        <v>0</v>
      </c>
      <c r="R2851" s="19">
        <f t="shared" si="352"/>
        <v>0</v>
      </c>
      <c r="T2851" s="19">
        <f t="shared" si="356"/>
        <v>38063.94</v>
      </c>
      <c r="U2851" s="19">
        <f t="shared" si="357"/>
        <v>42927.839999999997</v>
      </c>
      <c r="V2851" s="21">
        <f t="shared" si="358"/>
        <v>4863.8999999999942</v>
      </c>
      <c r="W2851" s="18">
        <f t="shared" si="359"/>
        <v>0.12778235779060165</v>
      </c>
    </row>
    <row r="2852" spans="1:23" x14ac:dyDescent="0.3">
      <c r="A2852" t="s">
        <v>65</v>
      </c>
      <c r="B2852" t="s">
        <v>1628</v>
      </c>
      <c r="C2852" t="s">
        <v>16</v>
      </c>
      <c r="D2852" t="s">
        <v>17</v>
      </c>
      <c r="E2852">
        <v>4723</v>
      </c>
      <c r="F2852">
        <v>397.9</v>
      </c>
      <c r="G2852">
        <v>412.93</v>
      </c>
      <c r="H2852">
        <v>397.9</v>
      </c>
      <c r="I2852">
        <v>2344</v>
      </c>
      <c r="J2852">
        <v>34</v>
      </c>
      <c r="K2852" s="17">
        <f t="shared" si="353"/>
        <v>2656.5333333333338</v>
      </c>
      <c r="L2852" t="str">
        <f t="shared" si="354"/>
        <v>Sufficuent Stock</v>
      </c>
      <c r="P2852" s="19">
        <f t="shared" si="355"/>
        <v>0</v>
      </c>
      <c r="R2852" s="19">
        <f t="shared" si="352"/>
        <v>0</v>
      </c>
      <c r="T2852" s="19">
        <f t="shared" si="356"/>
        <v>967907.92</v>
      </c>
      <c r="U2852" s="19">
        <f t="shared" si="357"/>
        <v>932677.6</v>
      </c>
      <c r="V2852" s="21">
        <f t="shared" si="358"/>
        <v>-35230.320000000065</v>
      </c>
      <c r="W2852" s="18">
        <f t="shared" si="359"/>
        <v>-3.6398421039885762E-2</v>
      </c>
    </row>
    <row r="2853" spans="1:23" x14ac:dyDescent="0.3">
      <c r="A2853" t="s">
        <v>748</v>
      </c>
      <c r="B2853" t="s">
        <v>2498</v>
      </c>
      <c r="C2853" t="s">
        <v>50</v>
      </c>
      <c r="D2853" t="s">
        <v>26</v>
      </c>
      <c r="E2853">
        <v>4725</v>
      </c>
      <c r="F2853">
        <v>347.55</v>
      </c>
      <c r="G2853">
        <v>312.89999999999998</v>
      </c>
      <c r="H2853">
        <v>347.55</v>
      </c>
      <c r="I2853">
        <v>3108</v>
      </c>
      <c r="J2853">
        <v>77</v>
      </c>
      <c r="K2853" s="17">
        <f t="shared" si="353"/>
        <v>7977.2</v>
      </c>
      <c r="L2853" t="str">
        <f t="shared" si="354"/>
        <v>High Risk</v>
      </c>
      <c r="P2853" s="19">
        <f t="shared" si="355"/>
        <v>3253</v>
      </c>
      <c r="R2853" s="19">
        <f t="shared" si="352"/>
        <v>1130580.1500000001</v>
      </c>
      <c r="T2853" s="19">
        <f t="shared" si="356"/>
        <v>972493.2</v>
      </c>
      <c r="U2853" s="19">
        <f t="shared" si="357"/>
        <v>1080185.4000000001</v>
      </c>
      <c r="V2853" s="21">
        <f t="shared" si="358"/>
        <v>107692.20000000019</v>
      </c>
      <c r="W2853" s="18">
        <f t="shared" si="359"/>
        <v>0.11073825503355725</v>
      </c>
    </row>
    <row r="2854" spans="1:23" x14ac:dyDescent="0.3">
      <c r="A2854" t="s">
        <v>59</v>
      </c>
      <c r="B2854" t="s">
        <v>2182</v>
      </c>
      <c r="C2854" t="s">
        <v>50</v>
      </c>
      <c r="D2854" t="s">
        <v>20</v>
      </c>
      <c r="E2854">
        <v>4727</v>
      </c>
      <c r="F2854">
        <v>337.31</v>
      </c>
      <c r="G2854">
        <v>327.68</v>
      </c>
      <c r="H2854">
        <v>337.31</v>
      </c>
      <c r="I2854">
        <v>3128</v>
      </c>
      <c r="J2854">
        <v>43</v>
      </c>
      <c r="K2854" s="17">
        <f t="shared" si="353"/>
        <v>4483.4666666666662</v>
      </c>
      <c r="L2854" t="str">
        <f t="shared" si="354"/>
        <v>Sufficuent Stock</v>
      </c>
      <c r="P2854" s="19">
        <f t="shared" si="355"/>
        <v>0</v>
      </c>
      <c r="R2854" s="19">
        <f t="shared" si="352"/>
        <v>0</v>
      </c>
      <c r="T2854" s="19">
        <f t="shared" si="356"/>
        <v>1024983.04</v>
      </c>
      <c r="U2854" s="19">
        <f t="shared" si="357"/>
        <v>1055105.68</v>
      </c>
      <c r="V2854" s="21">
        <f t="shared" si="358"/>
        <v>30122.639999999898</v>
      </c>
      <c r="W2854" s="18">
        <f t="shared" si="359"/>
        <v>2.9388427734374899E-2</v>
      </c>
    </row>
    <row r="2855" spans="1:23" x14ac:dyDescent="0.3">
      <c r="A2855" t="s">
        <v>1467</v>
      </c>
      <c r="B2855" t="s">
        <v>2021</v>
      </c>
      <c r="C2855" t="s">
        <v>37</v>
      </c>
      <c r="D2855" t="s">
        <v>13</v>
      </c>
      <c r="E2855">
        <v>4728</v>
      </c>
      <c r="F2855">
        <v>105.04</v>
      </c>
      <c r="G2855">
        <v>99.39</v>
      </c>
      <c r="H2855">
        <v>105.04</v>
      </c>
      <c r="I2855">
        <v>1849</v>
      </c>
      <c r="J2855">
        <v>66</v>
      </c>
      <c r="K2855" s="17">
        <f t="shared" si="353"/>
        <v>4067.8</v>
      </c>
      <c r="L2855" t="str">
        <f t="shared" si="354"/>
        <v>Sufficuent Stock</v>
      </c>
      <c r="P2855" s="19">
        <f t="shared" si="355"/>
        <v>0</v>
      </c>
      <c r="R2855" s="19">
        <f t="shared" si="352"/>
        <v>0</v>
      </c>
      <c r="T2855" s="19">
        <f t="shared" si="356"/>
        <v>183772.11000000002</v>
      </c>
      <c r="U2855" s="19">
        <f t="shared" si="357"/>
        <v>194218.96000000002</v>
      </c>
      <c r="V2855" s="21">
        <f t="shared" si="358"/>
        <v>10446.850000000006</v>
      </c>
      <c r="W2855" s="18">
        <f t="shared" si="359"/>
        <v>5.6846765268135653E-2</v>
      </c>
    </row>
    <row r="2856" spans="1:23" x14ac:dyDescent="0.3">
      <c r="A2856" t="s">
        <v>165</v>
      </c>
      <c r="B2856" t="s">
        <v>426</v>
      </c>
      <c r="C2856" t="s">
        <v>16</v>
      </c>
      <c r="D2856" t="s">
        <v>20</v>
      </c>
      <c r="E2856">
        <v>4728</v>
      </c>
      <c r="F2856">
        <v>248.13</v>
      </c>
      <c r="G2856">
        <v>236.7</v>
      </c>
      <c r="H2856">
        <v>248.13</v>
      </c>
      <c r="I2856">
        <v>3663</v>
      </c>
      <c r="J2856">
        <v>70</v>
      </c>
      <c r="K2856" s="17">
        <f t="shared" si="353"/>
        <v>8547</v>
      </c>
      <c r="L2856" t="str">
        <f t="shared" si="354"/>
        <v>High Risk</v>
      </c>
      <c r="P2856" s="19">
        <f t="shared" si="355"/>
        <v>3819</v>
      </c>
      <c r="R2856" s="19">
        <f t="shared" si="352"/>
        <v>947608.47</v>
      </c>
      <c r="T2856" s="19">
        <f t="shared" si="356"/>
        <v>867032.1</v>
      </c>
      <c r="U2856" s="19">
        <f t="shared" si="357"/>
        <v>908900.19</v>
      </c>
      <c r="V2856" s="21">
        <f t="shared" si="358"/>
        <v>41868.089999999967</v>
      </c>
      <c r="W2856" s="18">
        <f t="shared" si="359"/>
        <v>4.8288973384030383E-2</v>
      </c>
    </row>
    <row r="2857" spans="1:23" x14ac:dyDescent="0.3">
      <c r="A2857" t="s">
        <v>229</v>
      </c>
      <c r="B2857" t="s">
        <v>2379</v>
      </c>
      <c r="C2857" t="s">
        <v>23</v>
      </c>
      <c r="D2857" t="s">
        <v>69</v>
      </c>
      <c r="E2857">
        <v>4729</v>
      </c>
      <c r="F2857">
        <v>151.55000000000001</v>
      </c>
      <c r="G2857">
        <v>132.63999999999999</v>
      </c>
      <c r="H2857">
        <v>151.55000000000001</v>
      </c>
      <c r="I2857">
        <v>123</v>
      </c>
      <c r="J2857">
        <v>6</v>
      </c>
      <c r="K2857" s="17">
        <f t="shared" si="353"/>
        <v>24.599999999999998</v>
      </c>
      <c r="L2857" t="str">
        <f t="shared" si="354"/>
        <v>Sufficuent Stock</v>
      </c>
      <c r="P2857" s="19">
        <f t="shared" si="355"/>
        <v>0</v>
      </c>
      <c r="R2857" s="19">
        <f t="shared" si="352"/>
        <v>0</v>
      </c>
      <c r="T2857" s="19">
        <f t="shared" si="356"/>
        <v>16314.719999999998</v>
      </c>
      <c r="U2857" s="19">
        <f t="shared" si="357"/>
        <v>18640.650000000001</v>
      </c>
      <c r="V2857" s="21">
        <f t="shared" si="358"/>
        <v>2325.9300000000039</v>
      </c>
      <c r="W2857" s="18">
        <f t="shared" si="359"/>
        <v>0.14256634499396889</v>
      </c>
    </row>
    <row r="2858" spans="1:23" x14ac:dyDescent="0.3">
      <c r="A2858" t="s">
        <v>949</v>
      </c>
      <c r="B2858" t="s">
        <v>2334</v>
      </c>
      <c r="C2858" t="s">
        <v>16</v>
      </c>
      <c r="D2858" t="s">
        <v>20</v>
      </c>
      <c r="E2858">
        <v>4731</v>
      </c>
      <c r="F2858">
        <v>193.82</v>
      </c>
      <c r="G2858">
        <v>176.77</v>
      </c>
      <c r="H2858">
        <v>193.82</v>
      </c>
      <c r="I2858">
        <v>2244</v>
      </c>
      <c r="J2858">
        <v>90</v>
      </c>
      <c r="K2858" s="17">
        <f t="shared" si="353"/>
        <v>6732</v>
      </c>
      <c r="L2858" t="str">
        <f t="shared" si="354"/>
        <v>High Risk</v>
      </c>
      <c r="P2858" s="19">
        <f t="shared" si="355"/>
        <v>2001</v>
      </c>
      <c r="R2858" s="19">
        <f t="shared" si="352"/>
        <v>387833.82</v>
      </c>
      <c r="T2858" s="19">
        <f t="shared" si="356"/>
        <v>396671.88</v>
      </c>
      <c r="U2858" s="19">
        <f t="shared" si="357"/>
        <v>434932.07999999996</v>
      </c>
      <c r="V2858" s="21">
        <f t="shared" si="358"/>
        <v>38260.199999999953</v>
      </c>
      <c r="W2858" s="18">
        <f t="shared" si="359"/>
        <v>9.6453018046048417E-2</v>
      </c>
    </row>
    <row r="2859" spans="1:23" x14ac:dyDescent="0.3">
      <c r="A2859" t="s">
        <v>76</v>
      </c>
      <c r="B2859" t="s">
        <v>1507</v>
      </c>
      <c r="C2859" t="s">
        <v>37</v>
      </c>
      <c r="D2859" t="s">
        <v>17</v>
      </c>
      <c r="E2859">
        <v>4732</v>
      </c>
      <c r="F2859">
        <v>193.52</v>
      </c>
      <c r="G2859">
        <v>213.69</v>
      </c>
      <c r="H2859">
        <v>193.52</v>
      </c>
      <c r="I2859">
        <v>2686</v>
      </c>
      <c r="J2859">
        <v>55</v>
      </c>
      <c r="K2859" s="17">
        <f t="shared" si="353"/>
        <v>4924.333333333333</v>
      </c>
      <c r="L2859" t="str">
        <f t="shared" si="354"/>
        <v>High Risk</v>
      </c>
      <c r="P2859" s="19">
        <f t="shared" si="355"/>
        <v>193</v>
      </c>
      <c r="R2859" s="19">
        <f t="shared" si="352"/>
        <v>37349.360000000001</v>
      </c>
      <c r="T2859" s="19">
        <f t="shared" si="356"/>
        <v>573971.34</v>
      </c>
      <c r="U2859" s="19">
        <f t="shared" si="357"/>
        <v>519794.72000000003</v>
      </c>
      <c r="V2859" s="21">
        <f t="shared" si="358"/>
        <v>-54176.619999999937</v>
      </c>
      <c r="W2859" s="18">
        <f t="shared" si="359"/>
        <v>-9.4389068276475169E-2</v>
      </c>
    </row>
    <row r="2860" spans="1:23" x14ac:dyDescent="0.3">
      <c r="A2860" t="s">
        <v>105</v>
      </c>
      <c r="B2860" t="s">
        <v>2515</v>
      </c>
      <c r="C2860" t="s">
        <v>37</v>
      </c>
      <c r="D2860" t="s">
        <v>26</v>
      </c>
      <c r="E2860">
        <v>4736</v>
      </c>
      <c r="F2860">
        <v>208.47</v>
      </c>
      <c r="G2860">
        <v>177.1</v>
      </c>
      <c r="H2860">
        <v>208.47</v>
      </c>
      <c r="I2860">
        <v>2345</v>
      </c>
      <c r="J2860">
        <v>62</v>
      </c>
      <c r="K2860" s="17">
        <f t="shared" si="353"/>
        <v>4846.3333333333339</v>
      </c>
      <c r="L2860" t="str">
        <f t="shared" si="354"/>
        <v>High Risk</v>
      </c>
      <c r="P2860" s="19">
        <f t="shared" si="355"/>
        <v>111</v>
      </c>
      <c r="R2860" s="19">
        <f t="shared" si="352"/>
        <v>23140.17</v>
      </c>
      <c r="T2860" s="19">
        <f t="shared" si="356"/>
        <v>415299.5</v>
      </c>
      <c r="U2860" s="19">
        <f t="shared" si="357"/>
        <v>488862.15</v>
      </c>
      <c r="V2860" s="21">
        <f t="shared" si="358"/>
        <v>73562.650000000023</v>
      </c>
      <c r="W2860" s="18">
        <f t="shared" si="359"/>
        <v>0.17713156408808589</v>
      </c>
    </row>
    <row r="2861" spans="1:23" x14ac:dyDescent="0.3">
      <c r="A2861" t="s">
        <v>301</v>
      </c>
      <c r="B2861" t="s">
        <v>1190</v>
      </c>
      <c r="C2861" t="s">
        <v>12</v>
      </c>
      <c r="D2861" t="s">
        <v>69</v>
      </c>
      <c r="E2861">
        <v>4738</v>
      </c>
      <c r="F2861">
        <v>88.24</v>
      </c>
      <c r="G2861">
        <v>93.62</v>
      </c>
      <c r="H2861">
        <v>88.24</v>
      </c>
      <c r="I2861">
        <v>2973</v>
      </c>
      <c r="J2861">
        <v>84</v>
      </c>
      <c r="K2861" s="17">
        <f t="shared" si="353"/>
        <v>8324.4</v>
      </c>
      <c r="L2861" t="str">
        <f t="shared" si="354"/>
        <v>High Risk</v>
      </c>
      <c r="P2861" s="19">
        <f t="shared" si="355"/>
        <v>3587</v>
      </c>
      <c r="R2861" s="19">
        <f t="shared" si="352"/>
        <v>316516.88</v>
      </c>
      <c r="T2861" s="19">
        <f t="shared" si="356"/>
        <v>278332.26</v>
      </c>
      <c r="U2861" s="19">
        <f t="shared" si="357"/>
        <v>262337.51999999996</v>
      </c>
      <c r="V2861" s="21">
        <f t="shared" si="358"/>
        <v>-15994.740000000049</v>
      </c>
      <c r="W2861" s="18">
        <f t="shared" si="359"/>
        <v>-5.7466353343302884E-2</v>
      </c>
    </row>
    <row r="2862" spans="1:23" x14ac:dyDescent="0.3">
      <c r="A2862" t="s">
        <v>121</v>
      </c>
      <c r="B2862" t="s">
        <v>519</v>
      </c>
      <c r="C2862" t="s">
        <v>12</v>
      </c>
      <c r="D2862" t="s">
        <v>26</v>
      </c>
      <c r="E2862">
        <v>4739</v>
      </c>
      <c r="F2862">
        <v>460.25</v>
      </c>
      <c r="G2862">
        <v>414.3</v>
      </c>
      <c r="H2862">
        <v>460.25</v>
      </c>
      <c r="I2862">
        <v>3415</v>
      </c>
      <c r="J2862">
        <v>49</v>
      </c>
      <c r="K2862" s="17">
        <f t="shared" si="353"/>
        <v>5577.833333333333</v>
      </c>
      <c r="L2862" t="str">
        <f t="shared" si="354"/>
        <v>High Risk</v>
      </c>
      <c r="P2862" s="19">
        <f t="shared" si="355"/>
        <v>839</v>
      </c>
      <c r="R2862" s="19">
        <f t="shared" si="352"/>
        <v>386149.75</v>
      </c>
      <c r="T2862" s="19">
        <f t="shared" si="356"/>
        <v>1414834.5</v>
      </c>
      <c r="U2862" s="19">
        <f t="shared" si="357"/>
        <v>1571753.75</v>
      </c>
      <c r="V2862" s="21">
        <f t="shared" si="358"/>
        <v>156919.25</v>
      </c>
      <c r="W2862" s="18">
        <f t="shared" si="359"/>
        <v>0.11090996862177166</v>
      </c>
    </row>
    <row r="2863" spans="1:23" x14ac:dyDescent="0.3">
      <c r="A2863" t="s">
        <v>280</v>
      </c>
      <c r="B2863" t="s">
        <v>281</v>
      </c>
      <c r="C2863" t="s">
        <v>16</v>
      </c>
      <c r="D2863" t="s">
        <v>17</v>
      </c>
      <c r="E2863">
        <v>4740</v>
      </c>
      <c r="F2863">
        <v>50.62</v>
      </c>
      <c r="G2863">
        <v>46.83</v>
      </c>
      <c r="H2863">
        <v>50.62</v>
      </c>
      <c r="I2863">
        <v>596</v>
      </c>
      <c r="J2863">
        <v>24</v>
      </c>
      <c r="K2863" s="17">
        <f t="shared" si="353"/>
        <v>476.8</v>
      </c>
      <c r="L2863" t="str">
        <f t="shared" si="354"/>
        <v>Sufficuent Stock</v>
      </c>
      <c r="P2863" s="19">
        <f t="shared" si="355"/>
        <v>0</v>
      </c>
      <c r="R2863" s="19">
        <f t="shared" si="352"/>
        <v>0</v>
      </c>
      <c r="T2863" s="19">
        <f t="shared" si="356"/>
        <v>27910.68</v>
      </c>
      <c r="U2863" s="19">
        <f t="shared" si="357"/>
        <v>30169.519999999997</v>
      </c>
      <c r="V2863" s="21">
        <f t="shared" si="358"/>
        <v>2258.8399999999965</v>
      </c>
      <c r="W2863" s="18">
        <f t="shared" si="359"/>
        <v>8.0931027119367796E-2</v>
      </c>
    </row>
    <row r="2864" spans="1:23" x14ac:dyDescent="0.3">
      <c r="A2864" t="s">
        <v>629</v>
      </c>
      <c r="B2864" t="s">
        <v>2911</v>
      </c>
      <c r="C2864" t="s">
        <v>12</v>
      </c>
      <c r="D2864" t="s">
        <v>26</v>
      </c>
      <c r="E2864">
        <v>4740</v>
      </c>
      <c r="F2864">
        <v>15.51</v>
      </c>
      <c r="G2864">
        <v>12.95</v>
      </c>
      <c r="H2864">
        <v>15.51</v>
      </c>
      <c r="I2864">
        <v>1661</v>
      </c>
      <c r="J2864">
        <v>14</v>
      </c>
      <c r="K2864" s="17">
        <f t="shared" si="353"/>
        <v>775.13333333333333</v>
      </c>
      <c r="L2864" t="str">
        <f t="shared" si="354"/>
        <v>Sufficuent Stock</v>
      </c>
      <c r="P2864" s="19">
        <f t="shared" si="355"/>
        <v>0</v>
      </c>
      <c r="R2864" s="19">
        <f t="shared" si="352"/>
        <v>0</v>
      </c>
      <c r="T2864" s="19">
        <f t="shared" si="356"/>
        <v>21509.949999999997</v>
      </c>
      <c r="U2864" s="19">
        <f t="shared" si="357"/>
        <v>25762.11</v>
      </c>
      <c r="V2864" s="21">
        <f t="shared" si="358"/>
        <v>4252.1600000000035</v>
      </c>
      <c r="W2864" s="18">
        <f t="shared" si="359"/>
        <v>0.19768339768339788</v>
      </c>
    </row>
    <row r="2865" spans="1:23" x14ac:dyDescent="0.3">
      <c r="A2865" t="s">
        <v>380</v>
      </c>
      <c r="B2865" t="s">
        <v>3151</v>
      </c>
      <c r="C2865" t="s">
        <v>12</v>
      </c>
      <c r="D2865" t="s">
        <v>69</v>
      </c>
      <c r="E2865">
        <v>4741</v>
      </c>
      <c r="F2865">
        <v>531.04</v>
      </c>
      <c r="G2865">
        <v>492.98</v>
      </c>
      <c r="H2865">
        <v>531.04</v>
      </c>
      <c r="I2865">
        <v>2521</v>
      </c>
      <c r="J2865">
        <v>13</v>
      </c>
      <c r="K2865" s="17">
        <f t="shared" si="353"/>
        <v>1092.4333333333334</v>
      </c>
      <c r="L2865" t="str">
        <f t="shared" si="354"/>
        <v>Sufficuent Stock</v>
      </c>
      <c r="P2865" s="19">
        <f t="shared" si="355"/>
        <v>0</v>
      </c>
      <c r="R2865" s="19">
        <f t="shared" si="352"/>
        <v>0</v>
      </c>
      <c r="T2865" s="19">
        <f t="shared" si="356"/>
        <v>1242802.58</v>
      </c>
      <c r="U2865" s="19">
        <f t="shared" si="357"/>
        <v>1338751.8399999999</v>
      </c>
      <c r="V2865" s="21">
        <f t="shared" si="358"/>
        <v>95949.259999999776</v>
      </c>
      <c r="W2865" s="18">
        <f t="shared" si="359"/>
        <v>7.7203943364842209E-2</v>
      </c>
    </row>
    <row r="2866" spans="1:23" x14ac:dyDescent="0.3">
      <c r="A2866" t="s">
        <v>890</v>
      </c>
      <c r="B2866" t="s">
        <v>891</v>
      </c>
      <c r="C2866" t="s">
        <v>12</v>
      </c>
      <c r="D2866" t="s">
        <v>26</v>
      </c>
      <c r="E2866">
        <v>4748</v>
      </c>
      <c r="F2866">
        <v>441.82</v>
      </c>
      <c r="G2866">
        <v>473.79</v>
      </c>
      <c r="H2866">
        <v>441.82</v>
      </c>
      <c r="I2866">
        <v>272</v>
      </c>
      <c r="J2866">
        <v>20</v>
      </c>
      <c r="K2866" s="17">
        <f t="shared" si="353"/>
        <v>181.33333333333331</v>
      </c>
      <c r="L2866" t="str">
        <f t="shared" si="354"/>
        <v>Sufficuent Stock</v>
      </c>
      <c r="P2866" s="19">
        <f t="shared" si="355"/>
        <v>0</v>
      </c>
      <c r="R2866" s="19">
        <f t="shared" si="352"/>
        <v>0</v>
      </c>
      <c r="T2866" s="19">
        <f t="shared" si="356"/>
        <v>128870.88</v>
      </c>
      <c r="U2866" s="19">
        <f t="shared" si="357"/>
        <v>120175.03999999999</v>
      </c>
      <c r="V2866" s="21">
        <f t="shared" si="358"/>
        <v>-8695.8400000000111</v>
      </c>
      <c r="W2866" s="18">
        <f t="shared" si="359"/>
        <v>-6.7477152324869755E-2</v>
      </c>
    </row>
    <row r="2867" spans="1:23" x14ac:dyDescent="0.3">
      <c r="A2867" t="s">
        <v>376</v>
      </c>
      <c r="B2867" t="s">
        <v>1472</v>
      </c>
      <c r="C2867" t="s">
        <v>50</v>
      </c>
      <c r="D2867" t="s">
        <v>69</v>
      </c>
      <c r="E2867">
        <v>4749</v>
      </c>
      <c r="F2867">
        <v>62.92</v>
      </c>
      <c r="G2867">
        <v>56.6</v>
      </c>
      <c r="H2867">
        <v>62.92</v>
      </c>
      <c r="I2867">
        <v>845</v>
      </c>
      <c r="J2867">
        <v>16</v>
      </c>
      <c r="K2867" s="17">
        <f t="shared" si="353"/>
        <v>450.66666666666669</v>
      </c>
      <c r="L2867" t="str">
        <f t="shared" si="354"/>
        <v>Sufficuent Stock</v>
      </c>
      <c r="P2867" s="19">
        <f t="shared" si="355"/>
        <v>0</v>
      </c>
      <c r="R2867" s="19">
        <f t="shared" si="352"/>
        <v>0</v>
      </c>
      <c r="T2867" s="19">
        <f t="shared" si="356"/>
        <v>47827</v>
      </c>
      <c r="U2867" s="19">
        <f t="shared" si="357"/>
        <v>53167.4</v>
      </c>
      <c r="V2867" s="21">
        <f t="shared" si="358"/>
        <v>5340.4000000000015</v>
      </c>
      <c r="W2867" s="18">
        <f t="shared" si="359"/>
        <v>0.11166077738515905</v>
      </c>
    </row>
    <row r="2868" spans="1:23" x14ac:dyDescent="0.3">
      <c r="A2868" t="s">
        <v>328</v>
      </c>
      <c r="B2868" t="s">
        <v>599</v>
      </c>
      <c r="C2868" t="s">
        <v>12</v>
      </c>
      <c r="D2868" t="s">
        <v>20</v>
      </c>
      <c r="E2868">
        <v>4750</v>
      </c>
      <c r="F2868">
        <v>320.33</v>
      </c>
      <c r="G2868">
        <v>274.7</v>
      </c>
      <c r="H2868">
        <v>320.33</v>
      </c>
      <c r="I2868">
        <v>3862</v>
      </c>
      <c r="J2868">
        <v>26</v>
      </c>
      <c r="K2868" s="17">
        <f t="shared" si="353"/>
        <v>3347.0666666666662</v>
      </c>
      <c r="L2868" t="str">
        <f t="shared" si="354"/>
        <v>Sufficuent Stock</v>
      </c>
      <c r="P2868" s="19">
        <f t="shared" si="355"/>
        <v>0</v>
      </c>
      <c r="R2868" s="19">
        <f t="shared" si="352"/>
        <v>0</v>
      </c>
      <c r="T2868" s="19">
        <f t="shared" si="356"/>
        <v>1060891.3999999999</v>
      </c>
      <c r="U2868" s="19">
        <f t="shared" si="357"/>
        <v>1237114.46</v>
      </c>
      <c r="V2868" s="21">
        <f t="shared" si="358"/>
        <v>176223.06000000006</v>
      </c>
      <c r="W2868" s="18">
        <f t="shared" si="359"/>
        <v>0.16610848198034225</v>
      </c>
    </row>
    <row r="2869" spans="1:23" x14ac:dyDescent="0.3">
      <c r="A2869" t="s">
        <v>629</v>
      </c>
      <c r="B2869" t="s">
        <v>3346</v>
      </c>
      <c r="C2869" t="s">
        <v>23</v>
      </c>
      <c r="D2869" t="s">
        <v>13</v>
      </c>
      <c r="E2869">
        <v>4755</v>
      </c>
      <c r="F2869">
        <v>31.57</v>
      </c>
      <c r="G2869">
        <v>32.869999999999997</v>
      </c>
      <c r="H2869">
        <v>31.57</v>
      </c>
      <c r="I2869">
        <v>3095</v>
      </c>
      <c r="J2869">
        <v>40</v>
      </c>
      <c r="K2869" s="17">
        <f t="shared" si="353"/>
        <v>4126.666666666667</v>
      </c>
      <c r="L2869" t="str">
        <f t="shared" si="354"/>
        <v>Sufficuent Stock</v>
      </c>
      <c r="P2869" s="19">
        <f t="shared" si="355"/>
        <v>0</v>
      </c>
      <c r="R2869" s="19">
        <f t="shared" si="352"/>
        <v>0</v>
      </c>
      <c r="T2869" s="19">
        <f t="shared" si="356"/>
        <v>101732.65</v>
      </c>
      <c r="U2869" s="19">
        <f t="shared" si="357"/>
        <v>97709.15</v>
      </c>
      <c r="V2869" s="21">
        <f t="shared" si="358"/>
        <v>-4023.5</v>
      </c>
      <c r="W2869" s="18">
        <f t="shared" si="359"/>
        <v>-3.9549741405536964E-2</v>
      </c>
    </row>
    <row r="2870" spans="1:23" x14ac:dyDescent="0.3">
      <c r="A2870" t="s">
        <v>1445</v>
      </c>
      <c r="B2870" t="s">
        <v>2446</v>
      </c>
      <c r="C2870" t="s">
        <v>16</v>
      </c>
      <c r="D2870" t="s">
        <v>17</v>
      </c>
      <c r="E2870">
        <v>4756</v>
      </c>
      <c r="F2870">
        <v>81.3</v>
      </c>
      <c r="G2870">
        <v>74.47</v>
      </c>
      <c r="H2870">
        <v>81.3</v>
      </c>
      <c r="I2870">
        <v>3938</v>
      </c>
      <c r="J2870">
        <v>5</v>
      </c>
      <c r="K2870" s="17">
        <f t="shared" si="353"/>
        <v>656.33333333333337</v>
      </c>
      <c r="L2870" t="str">
        <f t="shared" si="354"/>
        <v>Sufficuent Stock</v>
      </c>
      <c r="P2870" s="19">
        <f t="shared" si="355"/>
        <v>0</v>
      </c>
      <c r="R2870" s="19">
        <f t="shared" si="352"/>
        <v>0</v>
      </c>
      <c r="T2870" s="19">
        <f t="shared" si="356"/>
        <v>293262.86</v>
      </c>
      <c r="U2870" s="19">
        <f t="shared" si="357"/>
        <v>320159.39999999997</v>
      </c>
      <c r="V2870" s="21">
        <f t="shared" si="358"/>
        <v>26896.539999999979</v>
      </c>
      <c r="W2870" s="18">
        <f t="shared" si="359"/>
        <v>9.1714784476970526E-2</v>
      </c>
    </row>
    <row r="2871" spans="1:23" x14ac:dyDescent="0.3">
      <c r="A2871" t="s">
        <v>391</v>
      </c>
      <c r="B2871" t="s">
        <v>1436</v>
      </c>
      <c r="C2871" t="s">
        <v>50</v>
      </c>
      <c r="D2871" t="s">
        <v>69</v>
      </c>
      <c r="E2871">
        <v>4757</v>
      </c>
      <c r="F2871">
        <v>142.86000000000001</v>
      </c>
      <c r="G2871">
        <v>145.97</v>
      </c>
      <c r="H2871">
        <v>142.86000000000001</v>
      </c>
      <c r="I2871">
        <v>1403</v>
      </c>
      <c r="J2871">
        <v>50</v>
      </c>
      <c r="K2871" s="17">
        <f t="shared" si="353"/>
        <v>2338.3333333333335</v>
      </c>
      <c r="L2871" t="str">
        <f t="shared" si="354"/>
        <v>Sufficuent Stock</v>
      </c>
      <c r="P2871" s="19">
        <f t="shared" si="355"/>
        <v>0</v>
      </c>
      <c r="R2871" s="19">
        <f t="shared" si="352"/>
        <v>0</v>
      </c>
      <c r="T2871" s="19">
        <f t="shared" si="356"/>
        <v>204795.91</v>
      </c>
      <c r="U2871" s="19">
        <f t="shared" si="357"/>
        <v>200432.58000000002</v>
      </c>
      <c r="V2871" s="21">
        <f t="shared" si="358"/>
        <v>-4363.3299999999872</v>
      </c>
      <c r="W2871" s="18">
        <f t="shared" si="359"/>
        <v>-2.1305747756388237E-2</v>
      </c>
    </row>
    <row r="2872" spans="1:23" x14ac:dyDescent="0.3">
      <c r="A2872" t="s">
        <v>917</v>
      </c>
      <c r="B2872" t="s">
        <v>1181</v>
      </c>
      <c r="C2872" t="s">
        <v>37</v>
      </c>
      <c r="D2872" t="s">
        <v>13</v>
      </c>
      <c r="E2872">
        <v>4759</v>
      </c>
      <c r="F2872">
        <v>289.82</v>
      </c>
      <c r="G2872">
        <v>293.20999999999998</v>
      </c>
      <c r="H2872">
        <v>289.82</v>
      </c>
      <c r="I2872">
        <v>170</v>
      </c>
      <c r="J2872">
        <v>28</v>
      </c>
      <c r="K2872" s="17">
        <f t="shared" si="353"/>
        <v>158.66666666666669</v>
      </c>
      <c r="L2872" t="str">
        <f t="shared" si="354"/>
        <v>Sufficuent Stock</v>
      </c>
      <c r="P2872" s="19">
        <f t="shared" si="355"/>
        <v>0</v>
      </c>
      <c r="R2872" s="19">
        <f t="shared" si="352"/>
        <v>0</v>
      </c>
      <c r="T2872" s="19">
        <f t="shared" si="356"/>
        <v>49845.7</v>
      </c>
      <c r="U2872" s="19">
        <f t="shared" si="357"/>
        <v>49269.4</v>
      </c>
      <c r="V2872" s="21">
        <f t="shared" si="358"/>
        <v>-576.29999999999563</v>
      </c>
      <c r="W2872" s="18">
        <f t="shared" si="359"/>
        <v>-1.1561679342450715E-2</v>
      </c>
    </row>
    <row r="2873" spans="1:23" x14ac:dyDescent="0.3">
      <c r="A2873" t="s">
        <v>1477</v>
      </c>
      <c r="B2873" t="s">
        <v>2724</v>
      </c>
      <c r="C2873" t="s">
        <v>12</v>
      </c>
      <c r="D2873" t="s">
        <v>13</v>
      </c>
      <c r="E2873">
        <v>4760</v>
      </c>
      <c r="F2873">
        <v>155.9</v>
      </c>
      <c r="G2873">
        <v>159.80000000000001</v>
      </c>
      <c r="H2873">
        <v>155.9</v>
      </c>
      <c r="I2873">
        <v>2698</v>
      </c>
      <c r="J2873">
        <v>7</v>
      </c>
      <c r="K2873" s="17">
        <f t="shared" si="353"/>
        <v>629.5333333333333</v>
      </c>
      <c r="L2873" t="str">
        <f t="shared" si="354"/>
        <v>Sufficuent Stock</v>
      </c>
      <c r="P2873" s="19">
        <f t="shared" si="355"/>
        <v>0</v>
      </c>
      <c r="R2873" s="19">
        <f t="shared" si="352"/>
        <v>0</v>
      </c>
      <c r="T2873" s="19">
        <f t="shared" si="356"/>
        <v>431140.4</v>
      </c>
      <c r="U2873" s="19">
        <f t="shared" si="357"/>
        <v>420618.2</v>
      </c>
      <c r="V2873" s="21">
        <f t="shared" si="358"/>
        <v>-10522.200000000012</v>
      </c>
      <c r="W2873" s="18">
        <f t="shared" si="359"/>
        <v>-2.440550688360453E-2</v>
      </c>
    </row>
    <row r="2874" spans="1:23" x14ac:dyDescent="0.3">
      <c r="A2874" t="s">
        <v>709</v>
      </c>
      <c r="B2874" t="s">
        <v>2631</v>
      </c>
      <c r="C2874" t="s">
        <v>16</v>
      </c>
      <c r="D2874" t="s">
        <v>20</v>
      </c>
      <c r="E2874">
        <v>4761</v>
      </c>
      <c r="F2874">
        <v>47.82</v>
      </c>
      <c r="G2874">
        <v>42.08</v>
      </c>
      <c r="H2874">
        <v>47.82</v>
      </c>
      <c r="I2874">
        <v>2020</v>
      </c>
      <c r="J2874">
        <v>54</v>
      </c>
      <c r="K2874" s="17">
        <f t="shared" si="353"/>
        <v>3635.9999999999995</v>
      </c>
      <c r="L2874" t="str">
        <f t="shared" si="354"/>
        <v>Sufficuent Stock</v>
      </c>
      <c r="P2874" s="19">
        <f t="shared" si="355"/>
        <v>0</v>
      </c>
      <c r="R2874" s="19">
        <f t="shared" si="352"/>
        <v>0</v>
      </c>
      <c r="T2874" s="19">
        <f t="shared" si="356"/>
        <v>85001.599999999991</v>
      </c>
      <c r="U2874" s="19">
        <f t="shared" si="357"/>
        <v>96596.4</v>
      </c>
      <c r="V2874" s="21">
        <f t="shared" si="358"/>
        <v>11594.800000000003</v>
      </c>
      <c r="W2874" s="18">
        <f t="shared" si="359"/>
        <v>0.13640684410646392</v>
      </c>
    </row>
    <row r="2875" spans="1:23" x14ac:dyDescent="0.3">
      <c r="A2875" t="s">
        <v>314</v>
      </c>
      <c r="B2875" t="s">
        <v>1180</v>
      </c>
      <c r="C2875" t="s">
        <v>37</v>
      </c>
      <c r="D2875" t="s">
        <v>26</v>
      </c>
      <c r="E2875">
        <v>4762</v>
      </c>
      <c r="F2875">
        <v>99.77</v>
      </c>
      <c r="G2875">
        <v>92.24</v>
      </c>
      <c r="H2875">
        <v>99.77</v>
      </c>
      <c r="I2875">
        <v>611</v>
      </c>
      <c r="J2875">
        <v>56</v>
      </c>
      <c r="K2875" s="17">
        <f t="shared" si="353"/>
        <v>1140.5333333333333</v>
      </c>
      <c r="L2875" t="str">
        <f t="shared" si="354"/>
        <v>Sufficuent Stock</v>
      </c>
      <c r="P2875" s="19">
        <f t="shared" si="355"/>
        <v>0</v>
      </c>
      <c r="R2875" s="19">
        <f t="shared" si="352"/>
        <v>0</v>
      </c>
      <c r="T2875" s="19">
        <f t="shared" si="356"/>
        <v>56358.64</v>
      </c>
      <c r="U2875" s="19">
        <f t="shared" si="357"/>
        <v>60959.47</v>
      </c>
      <c r="V2875" s="21">
        <f t="shared" si="358"/>
        <v>4600.8300000000017</v>
      </c>
      <c r="W2875" s="18">
        <f t="shared" si="359"/>
        <v>8.163486556808329E-2</v>
      </c>
    </row>
    <row r="2876" spans="1:23" x14ac:dyDescent="0.3">
      <c r="A2876" t="s">
        <v>803</v>
      </c>
      <c r="B2876" t="s">
        <v>3344</v>
      </c>
      <c r="C2876" t="s">
        <v>37</v>
      </c>
      <c r="D2876" t="s">
        <v>17</v>
      </c>
      <c r="E2876">
        <v>4768</v>
      </c>
      <c r="F2876">
        <v>252.09</v>
      </c>
      <c r="G2876">
        <v>264.74</v>
      </c>
      <c r="H2876">
        <v>252.09</v>
      </c>
      <c r="I2876">
        <v>3510</v>
      </c>
      <c r="J2876">
        <v>27</v>
      </c>
      <c r="K2876" s="17">
        <f t="shared" si="353"/>
        <v>3159</v>
      </c>
      <c r="L2876" t="str">
        <f t="shared" si="354"/>
        <v>Sufficuent Stock</v>
      </c>
      <c r="P2876" s="19">
        <f t="shared" si="355"/>
        <v>0</v>
      </c>
      <c r="R2876" s="19">
        <f t="shared" si="352"/>
        <v>0</v>
      </c>
      <c r="T2876" s="19">
        <f t="shared" si="356"/>
        <v>929237.4</v>
      </c>
      <c r="U2876" s="19">
        <f t="shared" si="357"/>
        <v>884835.9</v>
      </c>
      <c r="V2876" s="21">
        <f t="shared" si="358"/>
        <v>-44401.5</v>
      </c>
      <c r="W2876" s="18">
        <f t="shared" si="359"/>
        <v>-4.7782730225881996E-2</v>
      </c>
    </row>
    <row r="2877" spans="1:23" x14ac:dyDescent="0.3">
      <c r="A2877" t="s">
        <v>1673</v>
      </c>
      <c r="B2877" t="s">
        <v>1674</v>
      </c>
      <c r="C2877" t="s">
        <v>37</v>
      </c>
      <c r="D2877" t="s">
        <v>17</v>
      </c>
      <c r="E2877">
        <v>4769</v>
      </c>
      <c r="F2877">
        <v>58.3</v>
      </c>
      <c r="G2877">
        <v>57.63</v>
      </c>
      <c r="H2877">
        <v>58.3</v>
      </c>
      <c r="I2877">
        <v>2443</v>
      </c>
      <c r="J2877">
        <v>21</v>
      </c>
      <c r="K2877" s="17">
        <f t="shared" si="353"/>
        <v>1710.1000000000001</v>
      </c>
      <c r="L2877" t="str">
        <f t="shared" si="354"/>
        <v>Sufficuent Stock</v>
      </c>
      <c r="P2877" s="19">
        <f t="shared" si="355"/>
        <v>0</v>
      </c>
      <c r="R2877" s="19">
        <f t="shared" si="352"/>
        <v>0</v>
      </c>
      <c r="T2877" s="19">
        <f t="shared" si="356"/>
        <v>140790.09</v>
      </c>
      <c r="U2877" s="19">
        <f t="shared" si="357"/>
        <v>142426.9</v>
      </c>
      <c r="V2877" s="21">
        <f t="shared" si="358"/>
        <v>1636.8099999999977</v>
      </c>
      <c r="W2877" s="18">
        <f t="shared" si="359"/>
        <v>1.162588929377059E-2</v>
      </c>
    </row>
    <row r="2878" spans="1:23" x14ac:dyDescent="0.3">
      <c r="A2878" t="s">
        <v>1113</v>
      </c>
      <c r="B2878" t="s">
        <v>3103</v>
      </c>
      <c r="C2878" t="s">
        <v>37</v>
      </c>
      <c r="D2878" t="s">
        <v>69</v>
      </c>
      <c r="E2878">
        <v>4769</v>
      </c>
      <c r="F2878">
        <v>479.89</v>
      </c>
      <c r="G2878">
        <v>419.4</v>
      </c>
      <c r="H2878">
        <v>479.89</v>
      </c>
      <c r="I2878">
        <v>1525</v>
      </c>
      <c r="J2878">
        <v>26</v>
      </c>
      <c r="K2878" s="17">
        <f t="shared" si="353"/>
        <v>1321.6666666666667</v>
      </c>
      <c r="L2878" t="str">
        <f t="shared" si="354"/>
        <v>Sufficuent Stock</v>
      </c>
      <c r="P2878" s="19">
        <f t="shared" si="355"/>
        <v>0</v>
      </c>
      <c r="R2878" s="19">
        <f t="shared" si="352"/>
        <v>0</v>
      </c>
      <c r="T2878" s="19">
        <f t="shared" si="356"/>
        <v>639585</v>
      </c>
      <c r="U2878" s="19">
        <f t="shared" si="357"/>
        <v>731832.25</v>
      </c>
      <c r="V2878" s="21">
        <f t="shared" si="358"/>
        <v>92247.25</v>
      </c>
      <c r="W2878" s="18">
        <f t="shared" si="359"/>
        <v>0.14422985216976633</v>
      </c>
    </row>
    <row r="2879" spans="1:23" x14ac:dyDescent="0.3">
      <c r="A2879" t="s">
        <v>605</v>
      </c>
      <c r="B2879" t="s">
        <v>2561</v>
      </c>
      <c r="C2879" t="s">
        <v>23</v>
      </c>
      <c r="D2879" t="s">
        <v>69</v>
      </c>
      <c r="E2879">
        <v>4770</v>
      </c>
      <c r="F2879">
        <v>100.56</v>
      </c>
      <c r="G2879">
        <v>98.37</v>
      </c>
      <c r="H2879">
        <v>100.56</v>
      </c>
      <c r="I2879">
        <v>1081</v>
      </c>
      <c r="J2879">
        <v>65</v>
      </c>
      <c r="K2879" s="17">
        <f t="shared" si="353"/>
        <v>2342.1666666666665</v>
      </c>
      <c r="L2879" t="str">
        <f t="shared" si="354"/>
        <v>Sufficuent Stock</v>
      </c>
      <c r="P2879" s="19">
        <f t="shared" si="355"/>
        <v>0</v>
      </c>
      <c r="R2879" s="19">
        <f t="shared" si="352"/>
        <v>0</v>
      </c>
      <c r="T2879" s="19">
        <f t="shared" si="356"/>
        <v>106337.97</v>
      </c>
      <c r="U2879" s="19">
        <f t="shared" si="357"/>
        <v>108705.36</v>
      </c>
      <c r="V2879" s="21">
        <f t="shared" si="358"/>
        <v>2367.3899999999994</v>
      </c>
      <c r="W2879" s="18">
        <f t="shared" si="359"/>
        <v>2.2262885025922531E-2</v>
      </c>
    </row>
    <row r="2880" spans="1:23" x14ac:dyDescent="0.3">
      <c r="A2880" t="s">
        <v>838</v>
      </c>
      <c r="B2880" t="s">
        <v>1109</v>
      </c>
      <c r="C2880" t="s">
        <v>23</v>
      </c>
      <c r="D2880" t="s">
        <v>26</v>
      </c>
      <c r="E2880">
        <v>4771</v>
      </c>
      <c r="F2880">
        <v>107.11</v>
      </c>
      <c r="G2880">
        <v>96.6</v>
      </c>
      <c r="H2880">
        <v>107.11</v>
      </c>
      <c r="I2880">
        <v>1852</v>
      </c>
      <c r="J2880">
        <v>74</v>
      </c>
      <c r="K2880" s="17">
        <f t="shared" si="353"/>
        <v>4568.2666666666664</v>
      </c>
      <c r="L2880" t="str">
        <f t="shared" si="354"/>
        <v>Sufficuent Stock</v>
      </c>
      <c r="P2880" s="19">
        <f t="shared" si="355"/>
        <v>0</v>
      </c>
      <c r="R2880" s="19">
        <f t="shared" si="352"/>
        <v>0</v>
      </c>
      <c r="T2880" s="19">
        <f t="shared" si="356"/>
        <v>178903.19999999998</v>
      </c>
      <c r="U2880" s="19">
        <f t="shared" si="357"/>
        <v>198367.72</v>
      </c>
      <c r="V2880" s="21">
        <f t="shared" si="358"/>
        <v>19464.520000000019</v>
      </c>
      <c r="W2880" s="18">
        <f t="shared" si="359"/>
        <v>0.10879917184265021</v>
      </c>
    </row>
    <row r="2881" spans="1:23" x14ac:dyDescent="0.3">
      <c r="A2881" t="s">
        <v>692</v>
      </c>
      <c r="B2881" t="s">
        <v>2477</v>
      </c>
      <c r="C2881" t="s">
        <v>50</v>
      </c>
      <c r="D2881" t="s">
        <v>26</v>
      </c>
      <c r="E2881">
        <v>4771</v>
      </c>
      <c r="F2881">
        <v>549.64</v>
      </c>
      <c r="G2881">
        <v>480.36</v>
      </c>
      <c r="H2881">
        <v>549.64</v>
      </c>
      <c r="I2881">
        <v>3209</v>
      </c>
      <c r="J2881">
        <v>16</v>
      </c>
      <c r="K2881" s="17">
        <f t="shared" si="353"/>
        <v>1711.4666666666667</v>
      </c>
      <c r="L2881" t="str">
        <f t="shared" si="354"/>
        <v>Sufficuent Stock</v>
      </c>
      <c r="P2881" s="19">
        <f t="shared" si="355"/>
        <v>0</v>
      </c>
      <c r="R2881" s="19">
        <f t="shared" si="352"/>
        <v>0</v>
      </c>
      <c r="T2881" s="19">
        <f t="shared" si="356"/>
        <v>1541475.24</v>
      </c>
      <c r="U2881" s="19">
        <f t="shared" si="357"/>
        <v>1763794.76</v>
      </c>
      <c r="V2881" s="21">
        <f t="shared" si="358"/>
        <v>222319.52000000002</v>
      </c>
      <c r="W2881" s="18">
        <f t="shared" si="359"/>
        <v>0.14422516445998834</v>
      </c>
    </row>
    <row r="2882" spans="1:23" x14ac:dyDescent="0.3">
      <c r="A2882" t="s">
        <v>1019</v>
      </c>
      <c r="B2882" t="s">
        <v>1320</v>
      </c>
      <c r="C2882" t="s">
        <v>37</v>
      </c>
      <c r="D2882" t="s">
        <v>17</v>
      </c>
      <c r="E2882">
        <v>4773</v>
      </c>
      <c r="F2882">
        <v>252.35</v>
      </c>
      <c r="G2882">
        <v>241.13</v>
      </c>
      <c r="H2882">
        <v>252.35</v>
      </c>
      <c r="I2882">
        <v>3629</v>
      </c>
      <c r="J2882">
        <v>38</v>
      </c>
      <c r="K2882" s="17">
        <f t="shared" si="353"/>
        <v>4596.7333333333336</v>
      </c>
      <c r="L2882" t="str">
        <f t="shared" si="354"/>
        <v>Sufficuent Stock</v>
      </c>
      <c r="P2882" s="19">
        <f t="shared" si="355"/>
        <v>0</v>
      </c>
      <c r="R2882" s="19">
        <f t="shared" ref="R2882:R2945" si="360">P2882*H2882</f>
        <v>0</v>
      </c>
      <c r="T2882" s="19">
        <f t="shared" si="356"/>
        <v>875060.77</v>
      </c>
      <c r="U2882" s="19">
        <f t="shared" si="357"/>
        <v>915778.15</v>
      </c>
      <c r="V2882" s="21">
        <f t="shared" si="358"/>
        <v>40717.380000000005</v>
      </c>
      <c r="W2882" s="18">
        <f t="shared" si="359"/>
        <v>4.6530916932774856E-2</v>
      </c>
    </row>
    <row r="2883" spans="1:23" x14ac:dyDescent="0.3">
      <c r="A2883" t="s">
        <v>442</v>
      </c>
      <c r="B2883" t="s">
        <v>443</v>
      </c>
      <c r="C2883" t="s">
        <v>37</v>
      </c>
      <c r="D2883" t="s">
        <v>20</v>
      </c>
      <c r="E2883">
        <v>4774</v>
      </c>
      <c r="F2883">
        <v>273.08</v>
      </c>
      <c r="G2883">
        <v>252.43</v>
      </c>
      <c r="H2883">
        <v>273.08</v>
      </c>
      <c r="I2883">
        <v>3650</v>
      </c>
      <c r="J2883">
        <v>83</v>
      </c>
      <c r="K2883" s="17">
        <f t="shared" ref="K2883:K2946" si="361">(I2883/30)*J2883</f>
        <v>10098.333333333334</v>
      </c>
      <c r="L2883" t="str">
        <f t="shared" ref="L2883:L2946" si="362">IF(E2883&lt;K2883,"High Risk","Sufficuent Stock")</f>
        <v>High Risk</v>
      </c>
      <c r="P2883" s="19">
        <f t="shared" ref="P2883:P2946" si="363">ROUNDUP(MAX(0,K2883-E2883),0)</f>
        <v>5325</v>
      </c>
      <c r="R2883" s="19">
        <f t="shared" si="360"/>
        <v>1454151</v>
      </c>
      <c r="T2883" s="19">
        <f t="shared" ref="T2883:T2946" si="364">I2883*G2883</f>
        <v>921369.5</v>
      </c>
      <c r="U2883" s="19">
        <f t="shared" ref="U2883:U2946" si="365">I2883*H2883</f>
        <v>996742</v>
      </c>
      <c r="V2883" s="21">
        <f t="shared" ref="V2883:V2946" si="366">U2883-T2883</f>
        <v>75372.5</v>
      </c>
      <c r="W2883" s="18">
        <f t="shared" ref="W2883:W2946" si="367">IFERROR(V2883/T2883,0)</f>
        <v>8.1804856791981934E-2</v>
      </c>
    </row>
    <row r="2884" spans="1:23" x14ac:dyDescent="0.3">
      <c r="A2884" t="s">
        <v>474</v>
      </c>
      <c r="B2884" t="s">
        <v>2858</v>
      </c>
      <c r="C2884" t="s">
        <v>16</v>
      </c>
      <c r="D2884" t="s">
        <v>13</v>
      </c>
      <c r="E2884">
        <v>4775</v>
      </c>
      <c r="F2884">
        <v>266.55</v>
      </c>
      <c r="G2884">
        <v>241.79</v>
      </c>
      <c r="H2884">
        <v>266.55</v>
      </c>
      <c r="I2884">
        <v>1410</v>
      </c>
      <c r="J2884">
        <v>27</v>
      </c>
      <c r="K2884" s="17">
        <f t="shared" si="361"/>
        <v>1269</v>
      </c>
      <c r="L2884" t="str">
        <f t="shared" si="362"/>
        <v>Sufficuent Stock</v>
      </c>
      <c r="P2884" s="19">
        <f t="shared" si="363"/>
        <v>0</v>
      </c>
      <c r="R2884" s="19">
        <f t="shared" si="360"/>
        <v>0</v>
      </c>
      <c r="T2884" s="19">
        <f t="shared" si="364"/>
        <v>340923.89999999997</v>
      </c>
      <c r="U2884" s="19">
        <f t="shared" si="365"/>
        <v>375835.5</v>
      </c>
      <c r="V2884" s="21">
        <f t="shared" si="366"/>
        <v>34911.600000000035</v>
      </c>
      <c r="W2884" s="18">
        <f t="shared" si="367"/>
        <v>0.10240291161751945</v>
      </c>
    </row>
    <row r="2885" spans="1:23" x14ac:dyDescent="0.3">
      <c r="A2885" t="s">
        <v>123</v>
      </c>
      <c r="B2885" t="s">
        <v>3211</v>
      </c>
      <c r="C2885" t="s">
        <v>12</v>
      </c>
      <c r="D2885" t="s">
        <v>69</v>
      </c>
      <c r="E2885">
        <v>4779</v>
      </c>
      <c r="F2885">
        <v>522.45000000000005</v>
      </c>
      <c r="G2885">
        <v>458.13</v>
      </c>
      <c r="H2885">
        <v>522.45000000000005</v>
      </c>
      <c r="I2885">
        <v>294</v>
      </c>
      <c r="J2885">
        <v>64</v>
      </c>
      <c r="K2885" s="17">
        <f t="shared" si="361"/>
        <v>627.20000000000005</v>
      </c>
      <c r="L2885" t="str">
        <f t="shared" si="362"/>
        <v>Sufficuent Stock</v>
      </c>
      <c r="P2885" s="19">
        <f t="shared" si="363"/>
        <v>0</v>
      </c>
      <c r="R2885" s="19">
        <f t="shared" si="360"/>
        <v>0</v>
      </c>
      <c r="T2885" s="19">
        <f t="shared" si="364"/>
        <v>134690.22</v>
      </c>
      <c r="U2885" s="19">
        <f t="shared" si="365"/>
        <v>153600.30000000002</v>
      </c>
      <c r="V2885" s="21">
        <f t="shared" si="366"/>
        <v>18910.080000000016</v>
      </c>
      <c r="W2885" s="18">
        <f t="shared" si="367"/>
        <v>0.14039683059393634</v>
      </c>
    </row>
    <row r="2886" spans="1:23" x14ac:dyDescent="0.3">
      <c r="A2886" t="s">
        <v>751</v>
      </c>
      <c r="B2886" t="s">
        <v>2759</v>
      </c>
      <c r="C2886" t="s">
        <v>12</v>
      </c>
      <c r="D2886" t="s">
        <v>13</v>
      </c>
      <c r="E2886">
        <v>4782</v>
      </c>
      <c r="F2886">
        <v>59.53</v>
      </c>
      <c r="G2886">
        <v>51.43</v>
      </c>
      <c r="H2886">
        <v>59.53</v>
      </c>
      <c r="I2886">
        <v>3612</v>
      </c>
      <c r="J2886">
        <v>64</v>
      </c>
      <c r="K2886" s="17">
        <f t="shared" si="361"/>
        <v>7705.6</v>
      </c>
      <c r="L2886" t="str">
        <f t="shared" si="362"/>
        <v>High Risk</v>
      </c>
      <c r="P2886" s="19">
        <f t="shared" si="363"/>
        <v>2924</v>
      </c>
      <c r="R2886" s="19">
        <f t="shared" si="360"/>
        <v>174065.72</v>
      </c>
      <c r="T2886" s="19">
        <f t="shared" si="364"/>
        <v>185765.16</v>
      </c>
      <c r="U2886" s="19">
        <f t="shared" si="365"/>
        <v>215022.36000000002</v>
      </c>
      <c r="V2886" s="21">
        <f t="shared" si="366"/>
        <v>29257.200000000012</v>
      </c>
      <c r="W2886" s="18">
        <f t="shared" si="367"/>
        <v>0.15749562512152446</v>
      </c>
    </row>
    <row r="2887" spans="1:23" x14ac:dyDescent="0.3">
      <c r="A2887" t="s">
        <v>511</v>
      </c>
      <c r="B2887" t="s">
        <v>1802</v>
      </c>
      <c r="C2887" t="s">
        <v>37</v>
      </c>
      <c r="D2887" t="s">
        <v>20</v>
      </c>
      <c r="E2887">
        <v>4783</v>
      </c>
      <c r="F2887">
        <v>416.9</v>
      </c>
      <c r="G2887">
        <v>393.69</v>
      </c>
      <c r="H2887">
        <v>416.9</v>
      </c>
      <c r="I2887">
        <v>3688</v>
      </c>
      <c r="J2887">
        <v>18</v>
      </c>
      <c r="K2887" s="17">
        <f t="shared" si="361"/>
        <v>2212.8000000000002</v>
      </c>
      <c r="L2887" t="str">
        <f t="shared" si="362"/>
        <v>Sufficuent Stock</v>
      </c>
      <c r="P2887" s="19">
        <f t="shared" si="363"/>
        <v>0</v>
      </c>
      <c r="R2887" s="19">
        <f t="shared" si="360"/>
        <v>0</v>
      </c>
      <c r="T2887" s="19">
        <f t="shared" si="364"/>
        <v>1451928.72</v>
      </c>
      <c r="U2887" s="19">
        <f t="shared" si="365"/>
        <v>1537527.2</v>
      </c>
      <c r="V2887" s="21">
        <f t="shared" si="366"/>
        <v>85598.479999999981</v>
      </c>
      <c r="W2887" s="18">
        <f t="shared" si="367"/>
        <v>5.8955015367421058E-2</v>
      </c>
    </row>
    <row r="2888" spans="1:23" x14ac:dyDescent="0.3">
      <c r="A2888" t="s">
        <v>1132</v>
      </c>
      <c r="B2888" t="s">
        <v>1745</v>
      </c>
      <c r="C2888" t="s">
        <v>50</v>
      </c>
      <c r="D2888" t="s">
        <v>17</v>
      </c>
      <c r="E2888">
        <v>4785</v>
      </c>
      <c r="F2888">
        <v>314.42</v>
      </c>
      <c r="G2888">
        <v>290.83</v>
      </c>
      <c r="H2888">
        <v>314.42</v>
      </c>
      <c r="I2888">
        <v>766</v>
      </c>
      <c r="J2888">
        <v>83</v>
      </c>
      <c r="K2888" s="17">
        <f t="shared" si="361"/>
        <v>2119.2666666666669</v>
      </c>
      <c r="L2888" t="str">
        <f t="shared" si="362"/>
        <v>Sufficuent Stock</v>
      </c>
      <c r="P2888" s="19">
        <f t="shared" si="363"/>
        <v>0</v>
      </c>
      <c r="R2888" s="19">
        <f t="shared" si="360"/>
        <v>0</v>
      </c>
      <c r="T2888" s="19">
        <f t="shared" si="364"/>
        <v>222775.78</v>
      </c>
      <c r="U2888" s="19">
        <f t="shared" si="365"/>
        <v>240845.72</v>
      </c>
      <c r="V2888" s="21">
        <f t="shared" si="366"/>
        <v>18069.940000000002</v>
      </c>
      <c r="W2888" s="18">
        <f t="shared" si="367"/>
        <v>8.1112677509197831E-2</v>
      </c>
    </row>
    <row r="2889" spans="1:23" x14ac:dyDescent="0.3">
      <c r="A2889" t="s">
        <v>803</v>
      </c>
      <c r="B2889" t="s">
        <v>2989</v>
      </c>
      <c r="C2889" t="s">
        <v>50</v>
      </c>
      <c r="D2889" t="s">
        <v>17</v>
      </c>
      <c r="E2889">
        <v>4787</v>
      </c>
      <c r="F2889">
        <v>118.17</v>
      </c>
      <c r="G2889">
        <v>107.69</v>
      </c>
      <c r="H2889">
        <v>118.17</v>
      </c>
      <c r="I2889">
        <v>1430</v>
      </c>
      <c r="J2889">
        <v>52</v>
      </c>
      <c r="K2889" s="17">
        <f t="shared" si="361"/>
        <v>2478.6666666666665</v>
      </c>
      <c r="L2889" t="str">
        <f t="shared" si="362"/>
        <v>Sufficuent Stock</v>
      </c>
      <c r="P2889" s="19">
        <f t="shared" si="363"/>
        <v>0</v>
      </c>
      <c r="R2889" s="19">
        <f t="shared" si="360"/>
        <v>0</v>
      </c>
      <c r="T2889" s="19">
        <f t="shared" si="364"/>
        <v>153996.69999999998</v>
      </c>
      <c r="U2889" s="19">
        <f t="shared" si="365"/>
        <v>168983.1</v>
      </c>
      <c r="V2889" s="21">
        <f t="shared" si="366"/>
        <v>14986.400000000023</v>
      </c>
      <c r="W2889" s="18">
        <f t="shared" si="367"/>
        <v>9.7316371065094415E-2</v>
      </c>
    </row>
    <row r="2890" spans="1:23" x14ac:dyDescent="0.3">
      <c r="A2890" t="s">
        <v>988</v>
      </c>
      <c r="B2890" t="s">
        <v>989</v>
      </c>
      <c r="C2890" t="s">
        <v>50</v>
      </c>
      <c r="D2890" t="s">
        <v>20</v>
      </c>
      <c r="E2890">
        <v>4787</v>
      </c>
      <c r="F2890">
        <v>382.87</v>
      </c>
      <c r="G2890">
        <v>332.45</v>
      </c>
      <c r="H2890">
        <v>382.87</v>
      </c>
      <c r="I2890">
        <v>3694</v>
      </c>
      <c r="J2890">
        <v>77</v>
      </c>
      <c r="K2890" s="17">
        <f t="shared" si="361"/>
        <v>9481.2666666666664</v>
      </c>
      <c r="L2890" t="str">
        <f t="shared" si="362"/>
        <v>High Risk</v>
      </c>
      <c r="P2890" s="19">
        <f t="shared" si="363"/>
        <v>4695</v>
      </c>
      <c r="R2890" s="19">
        <f t="shared" si="360"/>
        <v>1797574.65</v>
      </c>
      <c r="T2890" s="19">
        <f t="shared" si="364"/>
        <v>1228070.3</v>
      </c>
      <c r="U2890" s="19">
        <f t="shared" si="365"/>
        <v>1414321.78</v>
      </c>
      <c r="V2890" s="21">
        <f t="shared" si="366"/>
        <v>186251.47999999998</v>
      </c>
      <c r="W2890" s="18">
        <f t="shared" si="367"/>
        <v>0.15166190404572114</v>
      </c>
    </row>
    <row r="2891" spans="1:23" x14ac:dyDescent="0.3">
      <c r="A2891" t="s">
        <v>67</v>
      </c>
      <c r="B2891" t="s">
        <v>3079</v>
      </c>
      <c r="C2891" t="s">
        <v>50</v>
      </c>
      <c r="D2891" t="s">
        <v>26</v>
      </c>
      <c r="E2891">
        <v>4791</v>
      </c>
      <c r="F2891">
        <v>399.96</v>
      </c>
      <c r="G2891">
        <v>357.62</v>
      </c>
      <c r="H2891">
        <v>399.96</v>
      </c>
      <c r="I2891">
        <v>2933</v>
      </c>
      <c r="J2891">
        <v>13</v>
      </c>
      <c r="K2891" s="17">
        <f t="shared" si="361"/>
        <v>1270.9666666666667</v>
      </c>
      <c r="L2891" t="str">
        <f t="shared" si="362"/>
        <v>Sufficuent Stock</v>
      </c>
      <c r="P2891" s="19">
        <f t="shared" si="363"/>
        <v>0</v>
      </c>
      <c r="R2891" s="19">
        <f t="shared" si="360"/>
        <v>0</v>
      </c>
      <c r="T2891" s="19">
        <f t="shared" si="364"/>
        <v>1048899.46</v>
      </c>
      <c r="U2891" s="19">
        <f t="shared" si="365"/>
        <v>1173082.68</v>
      </c>
      <c r="V2891" s="21">
        <f t="shared" si="366"/>
        <v>124183.21999999997</v>
      </c>
      <c r="W2891" s="18">
        <f t="shared" si="367"/>
        <v>0.11839382584866616</v>
      </c>
    </row>
    <row r="2892" spans="1:23" x14ac:dyDescent="0.3">
      <c r="A2892" t="s">
        <v>686</v>
      </c>
      <c r="B2892" t="s">
        <v>2000</v>
      </c>
      <c r="C2892" t="s">
        <v>50</v>
      </c>
      <c r="D2892" t="s">
        <v>69</v>
      </c>
      <c r="E2892">
        <v>4792</v>
      </c>
      <c r="F2892">
        <v>277.13</v>
      </c>
      <c r="G2892">
        <v>240.42</v>
      </c>
      <c r="H2892">
        <v>277.13</v>
      </c>
      <c r="I2892">
        <v>925</v>
      </c>
      <c r="J2892">
        <v>46</v>
      </c>
      <c r="K2892" s="17">
        <f t="shared" si="361"/>
        <v>1418.3333333333333</v>
      </c>
      <c r="L2892" t="str">
        <f t="shared" si="362"/>
        <v>Sufficuent Stock</v>
      </c>
      <c r="P2892" s="19">
        <f t="shared" si="363"/>
        <v>0</v>
      </c>
      <c r="R2892" s="19">
        <f t="shared" si="360"/>
        <v>0</v>
      </c>
      <c r="T2892" s="19">
        <f t="shared" si="364"/>
        <v>222388.5</v>
      </c>
      <c r="U2892" s="19">
        <f t="shared" si="365"/>
        <v>256345.25</v>
      </c>
      <c r="V2892" s="21">
        <f t="shared" si="366"/>
        <v>33956.75</v>
      </c>
      <c r="W2892" s="18">
        <f t="shared" si="367"/>
        <v>0.15269112386656683</v>
      </c>
    </row>
    <row r="2893" spans="1:23" x14ac:dyDescent="0.3">
      <c r="A2893" t="s">
        <v>1148</v>
      </c>
      <c r="B2893" t="s">
        <v>1466</v>
      </c>
      <c r="C2893" t="s">
        <v>50</v>
      </c>
      <c r="D2893" t="s">
        <v>20</v>
      </c>
      <c r="E2893">
        <v>4794</v>
      </c>
      <c r="F2893">
        <v>373.64</v>
      </c>
      <c r="G2893">
        <v>356.9</v>
      </c>
      <c r="H2893">
        <v>373.64</v>
      </c>
      <c r="I2893">
        <v>2184</v>
      </c>
      <c r="J2893">
        <v>36</v>
      </c>
      <c r="K2893" s="17">
        <f t="shared" si="361"/>
        <v>2620.7999999999997</v>
      </c>
      <c r="L2893" t="str">
        <f t="shared" si="362"/>
        <v>Sufficuent Stock</v>
      </c>
      <c r="P2893" s="19">
        <f t="shared" si="363"/>
        <v>0</v>
      </c>
      <c r="R2893" s="19">
        <f t="shared" si="360"/>
        <v>0</v>
      </c>
      <c r="T2893" s="19">
        <f t="shared" si="364"/>
        <v>779469.6</v>
      </c>
      <c r="U2893" s="19">
        <f t="shared" si="365"/>
        <v>816029.76</v>
      </c>
      <c r="V2893" s="21">
        <f t="shared" si="366"/>
        <v>36560.160000000033</v>
      </c>
      <c r="W2893" s="18">
        <f t="shared" si="367"/>
        <v>4.6903894648360929E-2</v>
      </c>
    </row>
    <row r="2894" spans="1:23" x14ac:dyDescent="0.3">
      <c r="A2894" t="s">
        <v>136</v>
      </c>
      <c r="B2894" t="s">
        <v>3186</v>
      </c>
      <c r="C2894" t="s">
        <v>37</v>
      </c>
      <c r="D2894" t="s">
        <v>26</v>
      </c>
      <c r="E2894">
        <v>4795</v>
      </c>
      <c r="F2894">
        <v>439.86</v>
      </c>
      <c r="G2894">
        <v>418.81</v>
      </c>
      <c r="H2894">
        <v>439.86</v>
      </c>
      <c r="I2894">
        <v>462</v>
      </c>
      <c r="J2894">
        <v>8</v>
      </c>
      <c r="K2894" s="17">
        <f t="shared" si="361"/>
        <v>123.2</v>
      </c>
      <c r="L2894" t="str">
        <f t="shared" si="362"/>
        <v>Sufficuent Stock</v>
      </c>
      <c r="P2894" s="19">
        <f t="shared" si="363"/>
        <v>0</v>
      </c>
      <c r="R2894" s="19">
        <f t="shared" si="360"/>
        <v>0</v>
      </c>
      <c r="T2894" s="19">
        <f t="shared" si="364"/>
        <v>193490.22</v>
      </c>
      <c r="U2894" s="19">
        <f t="shared" si="365"/>
        <v>203215.32</v>
      </c>
      <c r="V2894" s="21">
        <f t="shared" si="366"/>
        <v>9725.1000000000058</v>
      </c>
      <c r="W2894" s="18">
        <f t="shared" si="367"/>
        <v>5.0261455075093747E-2</v>
      </c>
    </row>
    <row r="2895" spans="1:23" x14ac:dyDescent="0.3">
      <c r="A2895" t="s">
        <v>103</v>
      </c>
      <c r="B2895" t="s">
        <v>1455</v>
      </c>
      <c r="C2895" t="s">
        <v>23</v>
      </c>
      <c r="D2895" t="s">
        <v>17</v>
      </c>
      <c r="E2895">
        <v>4795</v>
      </c>
      <c r="F2895">
        <v>432.92</v>
      </c>
      <c r="G2895">
        <v>477.41</v>
      </c>
      <c r="H2895">
        <v>432.92</v>
      </c>
      <c r="I2895">
        <v>1894</v>
      </c>
      <c r="J2895">
        <v>6</v>
      </c>
      <c r="K2895" s="17">
        <f t="shared" si="361"/>
        <v>378.8</v>
      </c>
      <c r="L2895" t="str">
        <f t="shared" si="362"/>
        <v>Sufficuent Stock</v>
      </c>
      <c r="P2895" s="19">
        <f t="shared" si="363"/>
        <v>0</v>
      </c>
      <c r="R2895" s="19">
        <f t="shared" si="360"/>
        <v>0</v>
      </c>
      <c r="T2895" s="19">
        <f t="shared" si="364"/>
        <v>904214.54</v>
      </c>
      <c r="U2895" s="19">
        <f t="shared" si="365"/>
        <v>819950.48</v>
      </c>
      <c r="V2895" s="21">
        <f t="shared" si="366"/>
        <v>-84264.060000000056</v>
      </c>
      <c r="W2895" s="18">
        <f t="shared" si="367"/>
        <v>-9.3190339540436998E-2</v>
      </c>
    </row>
    <row r="2896" spans="1:23" x14ac:dyDescent="0.3">
      <c r="A2896" t="s">
        <v>995</v>
      </c>
      <c r="B2896" t="s">
        <v>3001</v>
      </c>
      <c r="C2896" t="s">
        <v>37</v>
      </c>
      <c r="D2896" t="s">
        <v>26</v>
      </c>
      <c r="E2896">
        <v>4798</v>
      </c>
      <c r="F2896">
        <v>88.26</v>
      </c>
      <c r="G2896">
        <v>74.86</v>
      </c>
      <c r="H2896">
        <v>88.26</v>
      </c>
      <c r="I2896">
        <v>357</v>
      </c>
      <c r="J2896">
        <v>58</v>
      </c>
      <c r="K2896" s="17">
        <f t="shared" si="361"/>
        <v>690.2</v>
      </c>
      <c r="L2896" t="str">
        <f t="shared" si="362"/>
        <v>Sufficuent Stock</v>
      </c>
      <c r="P2896" s="19">
        <f t="shared" si="363"/>
        <v>0</v>
      </c>
      <c r="R2896" s="19">
        <f t="shared" si="360"/>
        <v>0</v>
      </c>
      <c r="T2896" s="19">
        <f t="shared" si="364"/>
        <v>26725.02</v>
      </c>
      <c r="U2896" s="19">
        <f t="shared" si="365"/>
        <v>31508.820000000003</v>
      </c>
      <c r="V2896" s="21">
        <f t="shared" si="366"/>
        <v>4783.8000000000029</v>
      </c>
      <c r="W2896" s="18">
        <f t="shared" si="367"/>
        <v>0.17900080149612621</v>
      </c>
    </row>
    <row r="2897" spans="1:23" x14ac:dyDescent="0.3">
      <c r="A2897" t="s">
        <v>147</v>
      </c>
      <c r="B2897" t="s">
        <v>1070</v>
      </c>
      <c r="C2897" t="s">
        <v>12</v>
      </c>
      <c r="D2897" t="s">
        <v>17</v>
      </c>
      <c r="E2897">
        <v>4798</v>
      </c>
      <c r="F2897">
        <v>297.97000000000003</v>
      </c>
      <c r="G2897">
        <v>278.60000000000002</v>
      </c>
      <c r="H2897">
        <v>297.97000000000003</v>
      </c>
      <c r="I2897">
        <v>55</v>
      </c>
      <c r="J2897">
        <v>63</v>
      </c>
      <c r="K2897" s="17">
        <f t="shared" si="361"/>
        <v>115.5</v>
      </c>
      <c r="L2897" t="str">
        <f t="shared" si="362"/>
        <v>Sufficuent Stock</v>
      </c>
      <c r="P2897" s="19">
        <f t="shared" si="363"/>
        <v>0</v>
      </c>
      <c r="R2897" s="19">
        <f t="shared" si="360"/>
        <v>0</v>
      </c>
      <c r="T2897" s="19">
        <f t="shared" si="364"/>
        <v>15323.000000000002</v>
      </c>
      <c r="U2897" s="19">
        <f t="shared" si="365"/>
        <v>16388.350000000002</v>
      </c>
      <c r="V2897" s="21">
        <f t="shared" si="366"/>
        <v>1065.3500000000004</v>
      </c>
      <c r="W2897" s="18">
        <f t="shared" si="367"/>
        <v>6.9526202440775314E-2</v>
      </c>
    </row>
    <row r="2898" spans="1:23" x14ac:dyDescent="0.3">
      <c r="A2898" t="s">
        <v>430</v>
      </c>
      <c r="B2898" t="s">
        <v>431</v>
      </c>
      <c r="C2898" t="s">
        <v>16</v>
      </c>
      <c r="D2898" t="s">
        <v>26</v>
      </c>
      <c r="E2898">
        <v>4800</v>
      </c>
      <c r="F2898">
        <v>370.58</v>
      </c>
      <c r="G2898">
        <v>349.31</v>
      </c>
      <c r="H2898">
        <v>370.58</v>
      </c>
      <c r="I2898">
        <v>3828</v>
      </c>
      <c r="J2898">
        <v>44</v>
      </c>
      <c r="K2898" s="17">
        <f t="shared" si="361"/>
        <v>5614.4</v>
      </c>
      <c r="L2898" t="str">
        <f t="shared" si="362"/>
        <v>High Risk</v>
      </c>
      <c r="P2898" s="19">
        <f t="shared" si="363"/>
        <v>815</v>
      </c>
      <c r="R2898" s="19">
        <f t="shared" si="360"/>
        <v>302022.7</v>
      </c>
      <c r="T2898" s="19">
        <f t="shared" si="364"/>
        <v>1337158.68</v>
      </c>
      <c r="U2898" s="19">
        <f t="shared" si="365"/>
        <v>1418580.24</v>
      </c>
      <c r="V2898" s="21">
        <f t="shared" si="366"/>
        <v>81421.560000000056</v>
      </c>
      <c r="W2898" s="18">
        <f t="shared" si="367"/>
        <v>6.0891471758609879E-2</v>
      </c>
    </row>
    <row r="2899" spans="1:23" x14ac:dyDescent="0.3">
      <c r="A2899" t="s">
        <v>600</v>
      </c>
      <c r="B2899" t="s">
        <v>1270</v>
      </c>
      <c r="C2899" t="s">
        <v>23</v>
      </c>
      <c r="D2899" t="s">
        <v>20</v>
      </c>
      <c r="E2899">
        <v>4800</v>
      </c>
      <c r="F2899">
        <v>479.11</v>
      </c>
      <c r="G2899">
        <v>467.73</v>
      </c>
      <c r="H2899">
        <v>479.11</v>
      </c>
      <c r="I2899">
        <v>2218</v>
      </c>
      <c r="J2899">
        <v>18</v>
      </c>
      <c r="K2899" s="17">
        <f t="shared" si="361"/>
        <v>1330.8000000000002</v>
      </c>
      <c r="L2899" t="str">
        <f t="shared" si="362"/>
        <v>Sufficuent Stock</v>
      </c>
      <c r="P2899" s="19">
        <f t="shared" si="363"/>
        <v>0</v>
      </c>
      <c r="R2899" s="19">
        <f t="shared" si="360"/>
        <v>0</v>
      </c>
      <c r="T2899" s="19">
        <f t="shared" si="364"/>
        <v>1037425.14</v>
      </c>
      <c r="U2899" s="19">
        <f t="shared" si="365"/>
        <v>1062665.98</v>
      </c>
      <c r="V2899" s="21">
        <f t="shared" si="366"/>
        <v>25240.839999999967</v>
      </c>
      <c r="W2899" s="18">
        <f t="shared" si="367"/>
        <v>2.4330276013939636E-2</v>
      </c>
    </row>
    <row r="2900" spans="1:23" x14ac:dyDescent="0.3">
      <c r="A2900" t="s">
        <v>424</v>
      </c>
      <c r="B2900" t="s">
        <v>792</v>
      </c>
      <c r="C2900" t="s">
        <v>37</v>
      </c>
      <c r="D2900" t="s">
        <v>20</v>
      </c>
      <c r="E2900">
        <v>4800</v>
      </c>
      <c r="F2900">
        <v>446.41</v>
      </c>
      <c r="G2900">
        <v>427.7</v>
      </c>
      <c r="H2900">
        <v>446.41</v>
      </c>
      <c r="I2900">
        <v>766</v>
      </c>
      <c r="J2900">
        <v>58</v>
      </c>
      <c r="K2900" s="17">
        <f t="shared" si="361"/>
        <v>1480.9333333333334</v>
      </c>
      <c r="L2900" t="str">
        <f t="shared" si="362"/>
        <v>Sufficuent Stock</v>
      </c>
      <c r="P2900" s="19">
        <f t="shared" si="363"/>
        <v>0</v>
      </c>
      <c r="R2900" s="19">
        <f t="shared" si="360"/>
        <v>0</v>
      </c>
      <c r="T2900" s="19">
        <f t="shared" si="364"/>
        <v>327618.2</v>
      </c>
      <c r="U2900" s="19">
        <f t="shared" si="365"/>
        <v>341950.06</v>
      </c>
      <c r="V2900" s="21">
        <f t="shared" si="366"/>
        <v>14331.859999999986</v>
      </c>
      <c r="W2900" s="18">
        <f t="shared" si="367"/>
        <v>4.3745616086041571E-2</v>
      </c>
    </row>
    <row r="2901" spans="1:23" x14ac:dyDescent="0.3">
      <c r="A2901" t="s">
        <v>88</v>
      </c>
      <c r="B2901" t="s">
        <v>89</v>
      </c>
      <c r="C2901" t="s">
        <v>12</v>
      </c>
      <c r="D2901" t="s">
        <v>20</v>
      </c>
      <c r="E2901">
        <v>4801</v>
      </c>
      <c r="F2901">
        <v>565.87</v>
      </c>
      <c r="G2901">
        <v>487.33</v>
      </c>
      <c r="H2901">
        <v>565.87</v>
      </c>
      <c r="I2901">
        <v>3146</v>
      </c>
      <c r="J2901">
        <v>84</v>
      </c>
      <c r="K2901" s="17">
        <f t="shared" si="361"/>
        <v>8808.7999999999993</v>
      </c>
      <c r="L2901" t="str">
        <f t="shared" si="362"/>
        <v>High Risk</v>
      </c>
      <c r="P2901" s="19">
        <f t="shared" si="363"/>
        <v>4008</v>
      </c>
      <c r="R2901" s="19">
        <f t="shared" si="360"/>
        <v>2268006.96</v>
      </c>
      <c r="T2901" s="19">
        <f t="shared" si="364"/>
        <v>1533140.18</v>
      </c>
      <c r="U2901" s="19">
        <f t="shared" si="365"/>
        <v>1780227.02</v>
      </c>
      <c r="V2901" s="21">
        <f t="shared" si="366"/>
        <v>247086.84000000008</v>
      </c>
      <c r="W2901" s="18">
        <f t="shared" si="367"/>
        <v>0.16116389304988413</v>
      </c>
    </row>
    <row r="2902" spans="1:23" x14ac:dyDescent="0.3">
      <c r="A2902" t="s">
        <v>876</v>
      </c>
      <c r="B2902" t="s">
        <v>2904</v>
      </c>
      <c r="C2902" t="s">
        <v>37</v>
      </c>
      <c r="D2902" t="s">
        <v>13</v>
      </c>
      <c r="E2902">
        <v>4804</v>
      </c>
      <c r="F2902">
        <v>465.69</v>
      </c>
      <c r="G2902">
        <v>438.99</v>
      </c>
      <c r="H2902">
        <v>465.69</v>
      </c>
      <c r="I2902">
        <v>120</v>
      </c>
      <c r="J2902">
        <v>65</v>
      </c>
      <c r="K2902" s="17">
        <f t="shared" si="361"/>
        <v>260</v>
      </c>
      <c r="L2902" t="str">
        <f t="shared" si="362"/>
        <v>Sufficuent Stock</v>
      </c>
      <c r="P2902" s="19">
        <f t="shared" si="363"/>
        <v>0</v>
      </c>
      <c r="R2902" s="19">
        <f t="shared" si="360"/>
        <v>0</v>
      </c>
      <c r="T2902" s="19">
        <f t="shared" si="364"/>
        <v>52678.8</v>
      </c>
      <c r="U2902" s="19">
        <f t="shared" si="365"/>
        <v>55882.8</v>
      </c>
      <c r="V2902" s="21">
        <f t="shared" si="366"/>
        <v>3204</v>
      </c>
      <c r="W2902" s="18">
        <f t="shared" si="367"/>
        <v>6.0821431012095944E-2</v>
      </c>
    </row>
    <row r="2903" spans="1:23" x14ac:dyDescent="0.3">
      <c r="A2903" t="s">
        <v>940</v>
      </c>
      <c r="B2903" t="s">
        <v>1898</v>
      </c>
      <c r="C2903" t="s">
        <v>16</v>
      </c>
      <c r="D2903" t="s">
        <v>13</v>
      </c>
      <c r="E2903">
        <v>4806</v>
      </c>
      <c r="F2903">
        <v>87.57</v>
      </c>
      <c r="G2903">
        <v>94.81</v>
      </c>
      <c r="H2903">
        <v>87.57</v>
      </c>
      <c r="I2903">
        <v>3891</v>
      </c>
      <c r="J2903">
        <v>74</v>
      </c>
      <c r="K2903" s="17">
        <f t="shared" si="361"/>
        <v>9597.7999999999993</v>
      </c>
      <c r="L2903" t="str">
        <f t="shared" si="362"/>
        <v>High Risk</v>
      </c>
      <c r="P2903" s="19">
        <f t="shared" si="363"/>
        <v>4792</v>
      </c>
      <c r="R2903" s="19">
        <f t="shared" si="360"/>
        <v>419635.43999999994</v>
      </c>
      <c r="T2903" s="19">
        <f t="shared" si="364"/>
        <v>368905.71</v>
      </c>
      <c r="U2903" s="19">
        <f t="shared" si="365"/>
        <v>340734.87</v>
      </c>
      <c r="V2903" s="21">
        <f t="shared" si="366"/>
        <v>-28170.840000000026</v>
      </c>
      <c r="W2903" s="18">
        <f t="shared" si="367"/>
        <v>-7.6363252821432401E-2</v>
      </c>
    </row>
    <row r="2904" spans="1:23" x14ac:dyDescent="0.3">
      <c r="A2904" t="s">
        <v>368</v>
      </c>
      <c r="B2904" t="s">
        <v>1735</v>
      </c>
      <c r="C2904" t="s">
        <v>50</v>
      </c>
      <c r="D2904" t="s">
        <v>69</v>
      </c>
      <c r="E2904">
        <v>4806</v>
      </c>
      <c r="F2904">
        <v>13.18</v>
      </c>
      <c r="G2904">
        <v>14.04</v>
      </c>
      <c r="H2904">
        <v>13.18</v>
      </c>
      <c r="I2904">
        <v>2138</v>
      </c>
      <c r="J2904">
        <v>40</v>
      </c>
      <c r="K2904" s="17">
        <f t="shared" si="361"/>
        <v>2850.6666666666665</v>
      </c>
      <c r="L2904" t="str">
        <f t="shared" si="362"/>
        <v>Sufficuent Stock</v>
      </c>
      <c r="P2904" s="19">
        <f t="shared" si="363"/>
        <v>0</v>
      </c>
      <c r="R2904" s="19">
        <f t="shared" si="360"/>
        <v>0</v>
      </c>
      <c r="T2904" s="19">
        <f t="shared" si="364"/>
        <v>30017.519999999997</v>
      </c>
      <c r="U2904" s="19">
        <f t="shared" si="365"/>
        <v>28178.84</v>
      </c>
      <c r="V2904" s="21">
        <f t="shared" si="366"/>
        <v>-1838.6799999999967</v>
      </c>
      <c r="W2904" s="18">
        <f t="shared" si="367"/>
        <v>-6.1253561253561149E-2</v>
      </c>
    </row>
    <row r="2905" spans="1:23" x14ac:dyDescent="0.3">
      <c r="A2905" t="s">
        <v>82</v>
      </c>
      <c r="B2905" t="s">
        <v>3116</v>
      </c>
      <c r="C2905" t="s">
        <v>37</v>
      </c>
      <c r="D2905" t="s">
        <v>13</v>
      </c>
      <c r="E2905">
        <v>4807</v>
      </c>
      <c r="F2905">
        <v>20.67</v>
      </c>
      <c r="G2905">
        <v>17.27</v>
      </c>
      <c r="H2905">
        <v>20.67</v>
      </c>
      <c r="I2905">
        <v>3531</v>
      </c>
      <c r="J2905">
        <v>87</v>
      </c>
      <c r="K2905" s="17">
        <f t="shared" si="361"/>
        <v>10239.9</v>
      </c>
      <c r="L2905" t="str">
        <f t="shared" si="362"/>
        <v>High Risk</v>
      </c>
      <c r="P2905" s="19">
        <f t="shared" si="363"/>
        <v>5433</v>
      </c>
      <c r="R2905" s="19">
        <f t="shared" si="360"/>
        <v>112300.11000000002</v>
      </c>
      <c r="T2905" s="19">
        <f t="shared" si="364"/>
        <v>60980.369999999995</v>
      </c>
      <c r="U2905" s="19">
        <f t="shared" si="365"/>
        <v>72985.77</v>
      </c>
      <c r="V2905" s="21">
        <f t="shared" si="366"/>
        <v>12005.400000000009</v>
      </c>
      <c r="W2905" s="18">
        <f t="shared" si="367"/>
        <v>0.19687319050376392</v>
      </c>
    </row>
    <row r="2906" spans="1:23" x14ac:dyDescent="0.3">
      <c r="A2906" t="s">
        <v>141</v>
      </c>
      <c r="B2906" t="s">
        <v>1991</v>
      </c>
      <c r="C2906" t="s">
        <v>16</v>
      </c>
      <c r="D2906" t="s">
        <v>69</v>
      </c>
      <c r="E2906">
        <v>4817</v>
      </c>
      <c r="F2906">
        <v>400.78</v>
      </c>
      <c r="G2906">
        <v>345.5</v>
      </c>
      <c r="H2906">
        <v>400.78</v>
      </c>
      <c r="I2906">
        <v>1621</v>
      </c>
      <c r="J2906">
        <v>23</v>
      </c>
      <c r="K2906" s="17">
        <f t="shared" si="361"/>
        <v>1242.7666666666667</v>
      </c>
      <c r="L2906" t="str">
        <f t="shared" si="362"/>
        <v>Sufficuent Stock</v>
      </c>
      <c r="P2906" s="19">
        <f t="shared" si="363"/>
        <v>0</v>
      </c>
      <c r="R2906" s="19">
        <f t="shared" si="360"/>
        <v>0</v>
      </c>
      <c r="T2906" s="19">
        <f t="shared" si="364"/>
        <v>560055.5</v>
      </c>
      <c r="U2906" s="19">
        <f t="shared" si="365"/>
        <v>649664.38</v>
      </c>
      <c r="V2906" s="21">
        <f t="shared" si="366"/>
        <v>89608.88</v>
      </c>
      <c r="W2906" s="18">
        <f t="shared" si="367"/>
        <v>0.16</v>
      </c>
    </row>
    <row r="2907" spans="1:23" x14ac:dyDescent="0.3">
      <c r="A2907" t="s">
        <v>226</v>
      </c>
      <c r="B2907" t="s">
        <v>1782</v>
      </c>
      <c r="C2907" t="s">
        <v>16</v>
      </c>
      <c r="D2907" t="s">
        <v>20</v>
      </c>
      <c r="E2907">
        <v>4819</v>
      </c>
      <c r="F2907">
        <v>199.81</v>
      </c>
      <c r="G2907">
        <v>218.77</v>
      </c>
      <c r="H2907">
        <v>199.81</v>
      </c>
      <c r="I2907">
        <v>2264</v>
      </c>
      <c r="J2907">
        <v>59</v>
      </c>
      <c r="K2907" s="17">
        <f t="shared" si="361"/>
        <v>4452.5333333333338</v>
      </c>
      <c r="L2907" t="str">
        <f t="shared" si="362"/>
        <v>Sufficuent Stock</v>
      </c>
      <c r="P2907" s="19">
        <f t="shared" si="363"/>
        <v>0</v>
      </c>
      <c r="R2907" s="19">
        <f t="shared" si="360"/>
        <v>0</v>
      </c>
      <c r="T2907" s="19">
        <f t="shared" si="364"/>
        <v>495295.28</v>
      </c>
      <c r="U2907" s="19">
        <f t="shared" si="365"/>
        <v>452369.84</v>
      </c>
      <c r="V2907" s="21">
        <f t="shared" si="366"/>
        <v>-42925.440000000002</v>
      </c>
      <c r="W2907" s="18">
        <f t="shared" si="367"/>
        <v>-8.6666361932623309E-2</v>
      </c>
    </row>
    <row r="2908" spans="1:23" x14ac:dyDescent="0.3">
      <c r="A2908" t="s">
        <v>382</v>
      </c>
      <c r="B2908" t="s">
        <v>3180</v>
      </c>
      <c r="C2908" t="s">
        <v>37</v>
      </c>
      <c r="D2908" t="s">
        <v>26</v>
      </c>
      <c r="E2908">
        <v>4821</v>
      </c>
      <c r="F2908">
        <v>375.62</v>
      </c>
      <c r="G2908">
        <v>325.39</v>
      </c>
      <c r="H2908">
        <v>375.62</v>
      </c>
      <c r="I2908">
        <v>2299</v>
      </c>
      <c r="J2908">
        <v>8</v>
      </c>
      <c r="K2908" s="17">
        <f t="shared" si="361"/>
        <v>613.06666666666672</v>
      </c>
      <c r="L2908" t="str">
        <f t="shared" si="362"/>
        <v>Sufficuent Stock</v>
      </c>
      <c r="P2908" s="19">
        <f t="shared" si="363"/>
        <v>0</v>
      </c>
      <c r="R2908" s="19">
        <f t="shared" si="360"/>
        <v>0</v>
      </c>
      <c r="T2908" s="19">
        <f t="shared" si="364"/>
        <v>748071.61</v>
      </c>
      <c r="U2908" s="19">
        <f t="shared" si="365"/>
        <v>863550.38</v>
      </c>
      <c r="V2908" s="21">
        <f t="shared" si="366"/>
        <v>115478.77000000002</v>
      </c>
      <c r="W2908" s="18">
        <f t="shared" si="367"/>
        <v>0.15436860382925108</v>
      </c>
    </row>
    <row r="2909" spans="1:23" x14ac:dyDescent="0.3">
      <c r="A2909" t="s">
        <v>605</v>
      </c>
      <c r="B2909" t="s">
        <v>2497</v>
      </c>
      <c r="C2909" t="s">
        <v>12</v>
      </c>
      <c r="D2909" t="s">
        <v>13</v>
      </c>
      <c r="E2909">
        <v>4821</v>
      </c>
      <c r="F2909">
        <v>163.19999999999999</v>
      </c>
      <c r="G2909">
        <v>163.37</v>
      </c>
      <c r="H2909">
        <v>163.19999999999999</v>
      </c>
      <c r="I2909">
        <v>2515</v>
      </c>
      <c r="J2909">
        <v>83</v>
      </c>
      <c r="K2909" s="17">
        <f t="shared" si="361"/>
        <v>6958.1666666666661</v>
      </c>
      <c r="L2909" t="str">
        <f t="shared" si="362"/>
        <v>High Risk</v>
      </c>
      <c r="P2909" s="19">
        <f t="shared" si="363"/>
        <v>2138</v>
      </c>
      <c r="R2909" s="19">
        <f t="shared" si="360"/>
        <v>348921.59999999998</v>
      </c>
      <c r="T2909" s="19">
        <f t="shared" si="364"/>
        <v>410875.55</v>
      </c>
      <c r="U2909" s="19">
        <f t="shared" si="365"/>
        <v>410448</v>
      </c>
      <c r="V2909" s="21">
        <f t="shared" si="366"/>
        <v>-427.54999999998836</v>
      </c>
      <c r="W2909" s="18">
        <f t="shared" si="367"/>
        <v>-1.0405827263267147E-3</v>
      </c>
    </row>
    <row r="2910" spans="1:23" x14ac:dyDescent="0.3">
      <c r="A2910" t="s">
        <v>1240</v>
      </c>
      <c r="B2910" t="s">
        <v>1241</v>
      </c>
      <c r="C2910" t="s">
        <v>16</v>
      </c>
      <c r="D2910" t="s">
        <v>20</v>
      </c>
      <c r="E2910">
        <v>4824</v>
      </c>
      <c r="F2910">
        <v>316.51</v>
      </c>
      <c r="G2910">
        <v>309.86</v>
      </c>
      <c r="H2910">
        <v>316.51</v>
      </c>
      <c r="I2910">
        <v>3819</v>
      </c>
      <c r="J2910">
        <v>70</v>
      </c>
      <c r="K2910" s="17">
        <f t="shared" si="361"/>
        <v>8911</v>
      </c>
      <c r="L2910" t="str">
        <f t="shared" si="362"/>
        <v>High Risk</v>
      </c>
      <c r="P2910" s="19">
        <f t="shared" si="363"/>
        <v>4087</v>
      </c>
      <c r="R2910" s="19">
        <f t="shared" si="360"/>
        <v>1293576.3699999999</v>
      </c>
      <c r="T2910" s="19">
        <f t="shared" si="364"/>
        <v>1183355.3400000001</v>
      </c>
      <c r="U2910" s="19">
        <f t="shared" si="365"/>
        <v>1208751.69</v>
      </c>
      <c r="V2910" s="21">
        <f t="shared" si="366"/>
        <v>25396.34999999986</v>
      </c>
      <c r="W2910" s="18">
        <f t="shared" si="367"/>
        <v>2.146130510553141E-2</v>
      </c>
    </row>
    <row r="2911" spans="1:23" x14ac:dyDescent="0.3">
      <c r="A2911" t="s">
        <v>1014</v>
      </c>
      <c r="B2911" t="s">
        <v>2758</v>
      </c>
      <c r="C2911" t="s">
        <v>37</v>
      </c>
      <c r="D2911" t="s">
        <v>17</v>
      </c>
      <c r="E2911">
        <v>4825</v>
      </c>
      <c r="F2911">
        <v>310.07</v>
      </c>
      <c r="G2911">
        <v>258.99</v>
      </c>
      <c r="H2911">
        <v>310.07</v>
      </c>
      <c r="I2911">
        <v>3666</v>
      </c>
      <c r="J2911">
        <v>86</v>
      </c>
      <c r="K2911" s="17">
        <f t="shared" si="361"/>
        <v>10509.2</v>
      </c>
      <c r="L2911" t="str">
        <f t="shared" si="362"/>
        <v>High Risk</v>
      </c>
      <c r="P2911" s="19">
        <f t="shared" si="363"/>
        <v>5685</v>
      </c>
      <c r="R2911" s="19">
        <f t="shared" si="360"/>
        <v>1762747.95</v>
      </c>
      <c r="T2911" s="19">
        <f t="shared" si="364"/>
        <v>949457.34000000008</v>
      </c>
      <c r="U2911" s="19">
        <f t="shared" si="365"/>
        <v>1136716.6199999999</v>
      </c>
      <c r="V2911" s="21">
        <f t="shared" si="366"/>
        <v>187259.2799999998</v>
      </c>
      <c r="W2911" s="18">
        <f t="shared" si="367"/>
        <v>0.19722769218888736</v>
      </c>
    </row>
    <row r="2912" spans="1:23" x14ac:dyDescent="0.3">
      <c r="A2912" t="s">
        <v>121</v>
      </c>
      <c r="B2912" t="s">
        <v>3371</v>
      </c>
      <c r="C2912" t="s">
        <v>23</v>
      </c>
      <c r="D2912" t="s">
        <v>20</v>
      </c>
      <c r="E2912">
        <v>4825</v>
      </c>
      <c r="F2912">
        <v>321.45999999999998</v>
      </c>
      <c r="G2912">
        <v>291.64999999999998</v>
      </c>
      <c r="H2912">
        <v>321.45999999999998</v>
      </c>
      <c r="I2912">
        <v>3314</v>
      </c>
      <c r="J2912">
        <v>22</v>
      </c>
      <c r="K2912" s="17">
        <f t="shared" si="361"/>
        <v>2430.2666666666669</v>
      </c>
      <c r="L2912" t="str">
        <f t="shared" si="362"/>
        <v>Sufficuent Stock</v>
      </c>
      <c r="P2912" s="19">
        <f t="shared" si="363"/>
        <v>0</v>
      </c>
      <c r="R2912" s="19">
        <f t="shared" si="360"/>
        <v>0</v>
      </c>
      <c r="T2912" s="19">
        <f t="shared" si="364"/>
        <v>966528.1</v>
      </c>
      <c r="U2912" s="19">
        <f t="shared" si="365"/>
        <v>1065318.44</v>
      </c>
      <c r="V2912" s="21">
        <f t="shared" si="366"/>
        <v>98790.339999999967</v>
      </c>
      <c r="W2912" s="18">
        <f t="shared" si="367"/>
        <v>0.10221155494599689</v>
      </c>
    </row>
    <row r="2913" spans="1:23" x14ac:dyDescent="0.3">
      <c r="A2913" t="s">
        <v>1076</v>
      </c>
      <c r="B2913" t="s">
        <v>3324</v>
      </c>
      <c r="C2913" t="s">
        <v>16</v>
      </c>
      <c r="D2913" t="s">
        <v>26</v>
      </c>
      <c r="E2913">
        <v>4828</v>
      </c>
      <c r="F2913">
        <v>259.58</v>
      </c>
      <c r="G2913">
        <v>238.98</v>
      </c>
      <c r="H2913">
        <v>259.58</v>
      </c>
      <c r="I2913">
        <v>2459</v>
      </c>
      <c r="J2913">
        <v>21</v>
      </c>
      <c r="K2913" s="17">
        <f t="shared" si="361"/>
        <v>1721.3</v>
      </c>
      <c r="L2913" t="str">
        <f t="shared" si="362"/>
        <v>Sufficuent Stock</v>
      </c>
      <c r="P2913" s="19">
        <f t="shared" si="363"/>
        <v>0</v>
      </c>
      <c r="R2913" s="19">
        <f t="shared" si="360"/>
        <v>0</v>
      </c>
      <c r="T2913" s="19">
        <f t="shared" si="364"/>
        <v>587651.81999999995</v>
      </c>
      <c r="U2913" s="19">
        <f t="shared" si="365"/>
        <v>638307.22</v>
      </c>
      <c r="V2913" s="21">
        <f t="shared" si="366"/>
        <v>50655.400000000023</v>
      </c>
      <c r="W2913" s="18">
        <f t="shared" si="367"/>
        <v>8.6199681981755844E-2</v>
      </c>
    </row>
    <row r="2914" spans="1:23" x14ac:dyDescent="0.3">
      <c r="A2914" t="s">
        <v>374</v>
      </c>
      <c r="B2914" t="s">
        <v>1514</v>
      </c>
      <c r="C2914" t="s">
        <v>37</v>
      </c>
      <c r="D2914" t="s">
        <v>13</v>
      </c>
      <c r="E2914">
        <v>4831</v>
      </c>
      <c r="F2914">
        <v>299.35000000000002</v>
      </c>
      <c r="G2914">
        <v>312.36</v>
      </c>
      <c r="H2914">
        <v>299.35000000000002</v>
      </c>
      <c r="I2914">
        <v>2789</v>
      </c>
      <c r="J2914">
        <v>29</v>
      </c>
      <c r="K2914" s="17">
        <f t="shared" si="361"/>
        <v>2696.0333333333333</v>
      </c>
      <c r="L2914" t="str">
        <f t="shared" si="362"/>
        <v>Sufficuent Stock</v>
      </c>
      <c r="P2914" s="19">
        <f t="shared" si="363"/>
        <v>0</v>
      </c>
      <c r="R2914" s="19">
        <f t="shared" si="360"/>
        <v>0</v>
      </c>
      <c r="T2914" s="19">
        <f t="shared" si="364"/>
        <v>871172.04</v>
      </c>
      <c r="U2914" s="19">
        <f t="shared" si="365"/>
        <v>834887.15</v>
      </c>
      <c r="V2914" s="21">
        <f t="shared" si="366"/>
        <v>-36284.890000000014</v>
      </c>
      <c r="W2914" s="18">
        <f t="shared" si="367"/>
        <v>-4.1650659495453976E-2</v>
      </c>
    </row>
    <row r="2915" spans="1:23" x14ac:dyDescent="0.3">
      <c r="A2915" t="s">
        <v>80</v>
      </c>
      <c r="B2915" t="s">
        <v>2264</v>
      </c>
      <c r="C2915" t="s">
        <v>50</v>
      </c>
      <c r="D2915" t="s">
        <v>17</v>
      </c>
      <c r="E2915">
        <v>4833</v>
      </c>
      <c r="F2915">
        <v>448.85</v>
      </c>
      <c r="G2915">
        <v>427.09</v>
      </c>
      <c r="H2915">
        <v>448.85</v>
      </c>
      <c r="I2915">
        <v>97</v>
      </c>
      <c r="J2915">
        <v>57</v>
      </c>
      <c r="K2915" s="17">
        <f t="shared" si="361"/>
        <v>184.3</v>
      </c>
      <c r="L2915" t="str">
        <f t="shared" si="362"/>
        <v>Sufficuent Stock</v>
      </c>
      <c r="P2915" s="19">
        <f t="shared" si="363"/>
        <v>0</v>
      </c>
      <c r="R2915" s="19">
        <f t="shared" si="360"/>
        <v>0</v>
      </c>
      <c r="T2915" s="19">
        <f t="shared" si="364"/>
        <v>41427.729999999996</v>
      </c>
      <c r="U2915" s="19">
        <f t="shared" si="365"/>
        <v>43538.450000000004</v>
      </c>
      <c r="V2915" s="21">
        <f t="shared" si="366"/>
        <v>2110.7200000000084</v>
      </c>
      <c r="W2915" s="18">
        <f t="shared" si="367"/>
        <v>5.0949448593973379E-2</v>
      </c>
    </row>
    <row r="2916" spans="1:23" x14ac:dyDescent="0.3">
      <c r="A2916" t="s">
        <v>266</v>
      </c>
      <c r="B2916" t="s">
        <v>267</v>
      </c>
      <c r="C2916" t="s">
        <v>50</v>
      </c>
      <c r="D2916" t="s">
        <v>69</v>
      </c>
      <c r="E2916">
        <v>4833</v>
      </c>
      <c r="F2916">
        <v>500.19</v>
      </c>
      <c r="G2916">
        <v>497.79</v>
      </c>
      <c r="H2916">
        <v>500.19</v>
      </c>
      <c r="I2916">
        <v>726</v>
      </c>
      <c r="J2916">
        <v>54</v>
      </c>
      <c r="K2916" s="17">
        <f t="shared" si="361"/>
        <v>1306.8</v>
      </c>
      <c r="L2916" t="str">
        <f t="shared" si="362"/>
        <v>Sufficuent Stock</v>
      </c>
      <c r="P2916" s="19">
        <f t="shared" si="363"/>
        <v>0</v>
      </c>
      <c r="R2916" s="19">
        <f t="shared" si="360"/>
        <v>0</v>
      </c>
      <c r="T2916" s="19">
        <f t="shared" si="364"/>
        <v>361395.54000000004</v>
      </c>
      <c r="U2916" s="19">
        <f t="shared" si="365"/>
        <v>363137.94</v>
      </c>
      <c r="V2916" s="21">
        <f t="shared" si="366"/>
        <v>1742.3999999999651</v>
      </c>
      <c r="W2916" s="18">
        <f t="shared" si="367"/>
        <v>4.8213101910443189E-3</v>
      </c>
    </row>
    <row r="2917" spans="1:23" x14ac:dyDescent="0.3">
      <c r="A2917" t="s">
        <v>949</v>
      </c>
      <c r="B2917" t="s">
        <v>2924</v>
      </c>
      <c r="C2917" t="s">
        <v>12</v>
      </c>
      <c r="D2917" t="s">
        <v>69</v>
      </c>
      <c r="E2917">
        <v>4833</v>
      </c>
      <c r="F2917">
        <v>85.89</v>
      </c>
      <c r="G2917">
        <v>81.58</v>
      </c>
      <c r="H2917">
        <v>85.89</v>
      </c>
      <c r="I2917">
        <v>3138</v>
      </c>
      <c r="J2917">
        <v>89</v>
      </c>
      <c r="K2917" s="17">
        <f t="shared" si="361"/>
        <v>9309.4</v>
      </c>
      <c r="L2917" t="str">
        <f t="shared" si="362"/>
        <v>High Risk</v>
      </c>
      <c r="P2917" s="19">
        <f t="shared" si="363"/>
        <v>4477</v>
      </c>
      <c r="R2917" s="19">
        <f t="shared" si="360"/>
        <v>384529.53</v>
      </c>
      <c r="T2917" s="19">
        <f t="shared" si="364"/>
        <v>255998.04</v>
      </c>
      <c r="U2917" s="19">
        <f t="shared" si="365"/>
        <v>269522.82</v>
      </c>
      <c r="V2917" s="21">
        <f t="shared" si="366"/>
        <v>13524.779999999999</v>
      </c>
      <c r="W2917" s="18">
        <f t="shared" si="367"/>
        <v>5.2831576366756554E-2</v>
      </c>
    </row>
    <row r="2918" spans="1:23" x14ac:dyDescent="0.3">
      <c r="A2918" t="s">
        <v>193</v>
      </c>
      <c r="B2918" t="s">
        <v>3251</v>
      </c>
      <c r="C2918" t="s">
        <v>12</v>
      </c>
      <c r="D2918" t="s">
        <v>17</v>
      </c>
      <c r="E2918">
        <v>4835</v>
      </c>
      <c r="F2918">
        <v>396.73</v>
      </c>
      <c r="G2918">
        <v>405.42</v>
      </c>
      <c r="H2918">
        <v>396.73</v>
      </c>
      <c r="I2918">
        <v>2261</v>
      </c>
      <c r="J2918">
        <v>63</v>
      </c>
      <c r="K2918" s="17">
        <f t="shared" si="361"/>
        <v>4748.0999999999995</v>
      </c>
      <c r="L2918" t="str">
        <f t="shared" si="362"/>
        <v>Sufficuent Stock</v>
      </c>
      <c r="P2918" s="19">
        <f t="shared" si="363"/>
        <v>0</v>
      </c>
      <c r="R2918" s="19">
        <f t="shared" si="360"/>
        <v>0</v>
      </c>
      <c r="T2918" s="19">
        <f t="shared" si="364"/>
        <v>916654.62</v>
      </c>
      <c r="U2918" s="19">
        <f t="shared" si="365"/>
        <v>897006.53</v>
      </c>
      <c r="V2918" s="21">
        <f t="shared" si="366"/>
        <v>-19648.089999999967</v>
      </c>
      <c r="W2918" s="18">
        <f t="shared" si="367"/>
        <v>-2.1434561689112491E-2</v>
      </c>
    </row>
    <row r="2919" spans="1:23" x14ac:dyDescent="0.3">
      <c r="A2919" t="s">
        <v>391</v>
      </c>
      <c r="B2919" t="s">
        <v>1992</v>
      </c>
      <c r="C2919" t="s">
        <v>50</v>
      </c>
      <c r="D2919" t="s">
        <v>17</v>
      </c>
      <c r="E2919">
        <v>4838</v>
      </c>
      <c r="F2919">
        <v>390.37</v>
      </c>
      <c r="G2919">
        <v>432.73</v>
      </c>
      <c r="H2919">
        <v>390.37</v>
      </c>
      <c r="I2919">
        <v>1664</v>
      </c>
      <c r="J2919">
        <v>20</v>
      </c>
      <c r="K2919" s="17">
        <f t="shared" si="361"/>
        <v>1109.3333333333335</v>
      </c>
      <c r="L2919" t="str">
        <f t="shared" si="362"/>
        <v>Sufficuent Stock</v>
      </c>
      <c r="P2919" s="19">
        <f t="shared" si="363"/>
        <v>0</v>
      </c>
      <c r="R2919" s="19">
        <f t="shared" si="360"/>
        <v>0</v>
      </c>
      <c r="T2919" s="19">
        <f t="shared" si="364"/>
        <v>720062.72</v>
      </c>
      <c r="U2919" s="19">
        <f t="shared" si="365"/>
        <v>649575.68000000005</v>
      </c>
      <c r="V2919" s="21">
        <f t="shared" si="366"/>
        <v>-70487.039999999921</v>
      </c>
      <c r="W2919" s="18">
        <f t="shared" si="367"/>
        <v>-9.7890139347861144E-2</v>
      </c>
    </row>
    <row r="2920" spans="1:23" x14ac:dyDescent="0.3">
      <c r="A2920" t="s">
        <v>759</v>
      </c>
      <c r="B2920" t="s">
        <v>1454</v>
      </c>
      <c r="C2920" t="s">
        <v>16</v>
      </c>
      <c r="D2920" t="s">
        <v>26</v>
      </c>
      <c r="E2920">
        <v>4843</v>
      </c>
      <c r="F2920">
        <v>204.83</v>
      </c>
      <c r="G2920">
        <v>212.37</v>
      </c>
      <c r="H2920">
        <v>204.83</v>
      </c>
      <c r="I2920">
        <v>3317</v>
      </c>
      <c r="J2920">
        <v>7</v>
      </c>
      <c r="K2920" s="17">
        <f t="shared" si="361"/>
        <v>773.9666666666667</v>
      </c>
      <c r="L2920" t="str">
        <f t="shared" si="362"/>
        <v>Sufficuent Stock</v>
      </c>
      <c r="P2920" s="19">
        <f t="shared" si="363"/>
        <v>0</v>
      </c>
      <c r="R2920" s="19">
        <f t="shared" si="360"/>
        <v>0</v>
      </c>
      <c r="T2920" s="19">
        <f t="shared" si="364"/>
        <v>704431.29</v>
      </c>
      <c r="U2920" s="19">
        <f t="shared" si="365"/>
        <v>679421.11</v>
      </c>
      <c r="V2920" s="21">
        <f t="shared" si="366"/>
        <v>-25010.180000000051</v>
      </c>
      <c r="W2920" s="18">
        <f t="shared" si="367"/>
        <v>-3.5504073080001954E-2</v>
      </c>
    </row>
    <row r="2921" spans="1:23" x14ac:dyDescent="0.3">
      <c r="A2921" t="s">
        <v>331</v>
      </c>
      <c r="B2921" t="s">
        <v>2310</v>
      </c>
      <c r="C2921" t="s">
        <v>23</v>
      </c>
      <c r="D2921" t="s">
        <v>17</v>
      </c>
      <c r="E2921">
        <v>4847</v>
      </c>
      <c r="F2921">
        <v>263.85000000000002</v>
      </c>
      <c r="G2921">
        <v>286.70999999999998</v>
      </c>
      <c r="H2921">
        <v>263.85000000000002</v>
      </c>
      <c r="I2921">
        <v>2641</v>
      </c>
      <c r="J2921">
        <v>66</v>
      </c>
      <c r="K2921" s="17">
        <f t="shared" si="361"/>
        <v>5810.2</v>
      </c>
      <c r="L2921" t="str">
        <f t="shared" si="362"/>
        <v>High Risk</v>
      </c>
      <c r="P2921" s="19">
        <f t="shared" si="363"/>
        <v>964</v>
      </c>
      <c r="R2921" s="19">
        <f t="shared" si="360"/>
        <v>254351.40000000002</v>
      </c>
      <c r="T2921" s="19">
        <f t="shared" si="364"/>
        <v>757201.11</v>
      </c>
      <c r="U2921" s="19">
        <f t="shared" si="365"/>
        <v>696827.85000000009</v>
      </c>
      <c r="V2921" s="21">
        <f t="shared" si="366"/>
        <v>-60373.259999999893</v>
      </c>
      <c r="W2921" s="18">
        <f t="shared" si="367"/>
        <v>-7.9732133514701126E-2</v>
      </c>
    </row>
    <row r="2922" spans="1:23" x14ac:dyDescent="0.3">
      <c r="A2922" t="s">
        <v>209</v>
      </c>
      <c r="B2922" t="s">
        <v>2027</v>
      </c>
      <c r="C2922" t="s">
        <v>12</v>
      </c>
      <c r="D2922" t="s">
        <v>26</v>
      </c>
      <c r="E2922">
        <v>4848</v>
      </c>
      <c r="F2922">
        <v>547.91</v>
      </c>
      <c r="G2922">
        <v>498.13</v>
      </c>
      <c r="H2922">
        <v>547.91</v>
      </c>
      <c r="I2922">
        <v>1260</v>
      </c>
      <c r="J2922">
        <v>45</v>
      </c>
      <c r="K2922" s="17">
        <f t="shared" si="361"/>
        <v>1890</v>
      </c>
      <c r="L2922" t="str">
        <f t="shared" si="362"/>
        <v>Sufficuent Stock</v>
      </c>
      <c r="P2922" s="19">
        <f t="shared" si="363"/>
        <v>0</v>
      </c>
      <c r="R2922" s="19">
        <f t="shared" si="360"/>
        <v>0</v>
      </c>
      <c r="T2922" s="19">
        <f t="shared" si="364"/>
        <v>627643.80000000005</v>
      </c>
      <c r="U2922" s="19">
        <f t="shared" si="365"/>
        <v>690366.6</v>
      </c>
      <c r="V2922" s="21">
        <f t="shared" si="366"/>
        <v>62722.79999999993</v>
      </c>
      <c r="W2922" s="18">
        <f t="shared" si="367"/>
        <v>9.9933752233352616E-2</v>
      </c>
    </row>
    <row r="2923" spans="1:23" x14ac:dyDescent="0.3">
      <c r="A2923" t="s">
        <v>218</v>
      </c>
      <c r="B2923" t="s">
        <v>670</v>
      </c>
      <c r="C2923" t="s">
        <v>12</v>
      </c>
      <c r="D2923" t="s">
        <v>17</v>
      </c>
      <c r="E2923">
        <v>4848</v>
      </c>
      <c r="F2923">
        <v>439.15</v>
      </c>
      <c r="G2923">
        <v>379.95</v>
      </c>
      <c r="H2923">
        <v>439.15</v>
      </c>
      <c r="I2923">
        <v>3311</v>
      </c>
      <c r="J2923">
        <v>6</v>
      </c>
      <c r="K2923" s="17">
        <f t="shared" si="361"/>
        <v>662.19999999999993</v>
      </c>
      <c r="L2923" t="str">
        <f t="shared" si="362"/>
        <v>Sufficuent Stock</v>
      </c>
      <c r="P2923" s="19">
        <f t="shared" si="363"/>
        <v>0</v>
      </c>
      <c r="R2923" s="19">
        <f t="shared" si="360"/>
        <v>0</v>
      </c>
      <c r="T2923" s="19">
        <f t="shared" si="364"/>
        <v>1258014.45</v>
      </c>
      <c r="U2923" s="19">
        <f t="shared" si="365"/>
        <v>1454025.65</v>
      </c>
      <c r="V2923" s="21">
        <f t="shared" si="366"/>
        <v>196011.19999999995</v>
      </c>
      <c r="W2923" s="18">
        <f t="shared" si="367"/>
        <v>0.15580997499671007</v>
      </c>
    </row>
    <row r="2924" spans="1:23" x14ac:dyDescent="0.3">
      <c r="A2924" t="s">
        <v>600</v>
      </c>
      <c r="B2924" t="s">
        <v>1668</v>
      </c>
      <c r="C2924" t="s">
        <v>37</v>
      </c>
      <c r="D2924" t="s">
        <v>69</v>
      </c>
      <c r="E2924">
        <v>4849</v>
      </c>
      <c r="F2924">
        <v>70.06</v>
      </c>
      <c r="G2924">
        <v>75.989999999999995</v>
      </c>
      <c r="H2924">
        <v>70.06</v>
      </c>
      <c r="I2924">
        <v>3015</v>
      </c>
      <c r="J2924">
        <v>79</v>
      </c>
      <c r="K2924" s="17">
        <f t="shared" si="361"/>
        <v>7939.5</v>
      </c>
      <c r="L2924" t="str">
        <f t="shared" si="362"/>
        <v>High Risk</v>
      </c>
      <c r="P2924" s="19">
        <f t="shared" si="363"/>
        <v>3091</v>
      </c>
      <c r="R2924" s="19">
        <f t="shared" si="360"/>
        <v>216555.46000000002</v>
      </c>
      <c r="T2924" s="19">
        <f t="shared" si="364"/>
        <v>229109.84999999998</v>
      </c>
      <c r="U2924" s="19">
        <f t="shared" si="365"/>
        <v>211230.9</v>
      </c>
      <c r="V2924" s="21">
        <f t="shared" si="366"/>
        <v>-17878.949999999983</v>
      </c>
      <c r="W2924" s="18">
        <f t="shared" si="367"/>
        <v>-7.8036583761021114E-2</v>
      </c>
    </row>
    <row r="2925" spans="1:23" x14ac:dyDescent="0.3">
      <c r="A2925" t="s">
        <v>434</v>
      </c>
      <c r="B2925" t="s">
        <v>1654</v>
      </c>
      <c r="C2925" t="s">
        <v>37</v>
      </c>
      <c r="D2925" t="s">
        <v>13</v>
      </c>
      <c r="E2925">
        <v>4850</v>
      </c>
      <c r="F2925">
        <v>368.54</v>
      </c>
      <c r="G2925">
        <v>407.67</v>
      </c>
      <c r="H2925">
        <v>368.54</v>
      </c>
      <c r="I2925">
        <v>2002</v>
      </c>
      <c r="J2925">
        <v>35</v>
      </c>
      <c r="K2925" s="17">
        <f t="shared" si="361"/>
        <v>2335.6666666666665</v>
      </c>
      <c r="L2925" t="str">
        <f t="shared" si="362"/>
        <v>Sufficuent Stock</v>
      </c>
      <c r="P2925" s="19">
        <f t="shared" si="363"/>
        <v>0</v>
      </c>
      <c r="R2925" s="19">
        <f t="shared" si="360"/>
        <v>0</v>
      </c>
      <c r="T2925" s="19">
        <f t="shared" si="364"/>
        <v>816155.34000000008</v>
      </c>
      <c r="U2925" s="19">
        <f t="shared" si="365"/>
        <v>737817.08000000007</v>
      </c>
      <c r="V2925" s="21">
        <f t="shared" si="366"/>
        <v>-78338.260000000009</v>
      </c>
      <c r="W2925" s="18">
        <f t="shared" si="367"/>
        <v>-9.5984497264944693E-2</v>
      </c>
    </row>
    <row r="2926" spans="1:23" x14ac:dyDescent="0.3">
      <c r="A2926" t="s">
        <v>671</v>
      </c>
      <c r="B2926" t="s">
        <v>1195</v>
      </c>
      <c r="C2926" t="s">
        <v>12</v>
      </c>
      <c r="D2926" t="s">
        <v>13</v>
      </c>
      <c r="E2926">
        <v>4851</v>
      </c>
      <c r="F2926">
        <v>11.32</v>
      </c>
      <c r="G2926">
        <v>10.119999999999999</v>
      </c>
      <c r="H2926">
        <v>11.32</v>
      </c>
      <c r="I2926">
        <v>3528</v>
      </c>
      <c r="J2926">
        <v>18</v>
      </c>
      <c r="K2926" s="17">
        <f t="shared" si="361"/>
        <v>2116.7999999999997</v>
      </c>
      <c r="L2926" t="str">
        <f t="shared" si="362"/>
        <v>Sufficuent Stock</v>
      </c>
      <c r="P2926" s="19">
        <f t="shared" si="363"/>
        <v>0</v>
      </c>
      <c r="R2926" s="19">
        <f t="shared" si="360"/>
        <v>0</v>
      </c>
      <c r="T2926" s="19">
        <f t="shared" si="364"/>
        <v>35703.360000000001</v>
      </c>
      <c r="U2926" s="19">
        <f t="shared" si="365"/>
        <v>39936.959999999999</v>
      </c>
      <c r="V2926" s="21">
        <f t="shared" si="366"/>
        <v>4233.5999999999985</v>
      </c>
      <c r="W2926" s="18">
        <f t="shared" si="367"/>
        <v>0.11857707509881418</v>
      </c>
    </row>
    <row r="2927" spans="1:23" x14ac:dyDescent="0.3">
      <c r="A2927" t="s">
        <v>335</v>
      </c>
      <c r="B2927" t="s">
        <v>2503</v>
      </c>
      <c r="C2927" t="s">
        <v>12</v>
      </c>
      <c r="D2927" t="s">
        <v>17</v>
      </c>
      <c r="E2927">
        <v>4852</v>
      </c>
      <c r="F2927">
        <v>514.57000000000005</v>
      </c>
      <c r="G2927">
        <v>467.54</v>
      </c>
      <c r="H2927">
        <v>514.57000000000005</v>
      </c>
      <c r="I2927">
        <v>2538</v>
      </c>
      <c r="J2927">
        <v>48</v>
      </c>
      <c r="K2927" s="17">
        <f t="shared" si="361"/>
        <v>4060.7999999999997</v>
      </c>
      <c r="L2927" t="str">
        <f t="shared" si="362"/>
        <v>Sufficuent Stock</v>
      </c>
      <c r="P2927" s="19">
        <f t="shared" si="363"/>
        <v>0</v>
      </c>
      <c r="R2927" s="19">
        <f t="shared" si="360"/>
        <v>0</v>
      </c>
      <c r="T2927" s="19">
        <f t="shared" si="364"/>
        <v>1186616.52</v>
      </c>
      <c r="U2927" s="19">
        <f t="shared" si="365"/>
        <v>1305978.6600000001</v>
      </c>
      <c r="V2927" s="21">
        <f t="shared" si="366"/>
        <v>119362.14000000013</v>
      </c>
      <c r="W2927" s="18">
        <f t="shared" si="367"/>
        <v>0.10059032382256075</v>
      </c>
    </row>
    <row r="2928" spans="1:23" x14ac:dyDescent="0.3">
      <c r="A2928" t="s">
        <v>1866</v>
      </c>
      <c r="B2928" t="s">
        <v>2093</v>
      </c>
      <c r="C2928" t="s">
        <v>12</v>
      </c>
      <c r="D2928" t="s">
        <v>20</v>
      </c>
      <c r="E2928">
        <v>4853</v>
      </c>
      <c r="F2928">
        <v>229.3</v>
      </c>
      <c r="G2928">
        <v>220.92</v>
      </c>
      <c r="H2928">
        <v>229.3</v>
      </c>
      <c r="I2928">
        <v>3328</v>
      </c>
      <c r="J2928">
        <v>25</v>
      </c>
      <c r="K2928" s="17">
        <f t="shared" si="361"/>
        <v>2773.3333333333335</v>
      </c>
      <c r="L2928" t="str">
        <f t="shared" si="362"/>
        <v>Sufficuent Stock</v>
      </c>
      <c r="P2928" s="19">
        <f t="shared" si="363"/>
        <v>0</v>
      </c>
      <c r="R2928" s="19">
        <f t="shared" si="360"/>
        <v>0</v>
      </c>
      <c r="T2928" s="19">
        <f t="shared" si="364"/>
        <v>735221.76000000001</v>
      </c>
      <c r="U2928" s="19">
        <f t="shared" si="365"/>
        <v>763110.40000000002</v>
      </c>
      <c r="V2928" s="21">
        <f t="shared" si="366"/>
        <v>27888.640000000014</v>
      </c>
      <c r="W2928" s="18">
        <f t="shared" si="367"/>
        <v>3.7932283179431488E-2</v>
      </c>
    </row>
    <row r="2929" spans="1:23" x14ac:dyDescent="0.3">
      <c r="A2929" t="s">
        <v>143</v>
      </c>
      <c r="B2929" t="s">
        <v>984</v>
      </c>
      <c r="C2929" t="s">
        <v>16</v>
      </c>
      <c r="D2929" t="s">
        <v>13</v>
      </c>
      <c r="E2929">
        <v>4855</v>
      </c>
      <c r="F2929">
        <v>82.51</v>
      </c>
      <c r="G2929">
        <v>76.819999999999993</v>
      </c>
      <c r="H2929">
        <v>82.51</v>
      </c>
      <c r="I2929">
        <v>2264</v>
      </c>
      <c r="J2929">
        <v>27</v>
      </c>
      <c r="K2929" s="17">
        <f t="shared" si="361"/>
        <v>2037.6000000000001</v>
      </c>
      <c r="L2929" t="str">
        <f t="shared" si="362"/>
        <v>Sufficuent Stock</v>
      </c>
      <c r="P2929" s="19">
        <f t="shared" si="363"/>
        <v>0</v>
      </c>
      <c r="R2929" s="19">
        <f t="shared" si="360"/>
        <v>0</v>
      </c>
      <c r="T2929" s="19">
        <f t="shared" si="364"/>
        <v>173920.47999999998</v>
      </c>
      <c r="U2929" s="19">
        <f t="shared" si="365"/>
        <v>186802.64</v>
      </c>
      <c r="V2929" s="21">
        <f t="shared" si="366"/>
        <v>12882.160000000033</v>
      </c>
      <c r="W2929" s="18">
        <f t="shared" si="367"/>
        <v>7.4069252798750526E-2</v>
      </c>
    </row>
    <row r="2930" spans="1:23" x14ac:dyDescent="0.3">
      <c r="A2930" t="s">
        <v>159</v>
      </c>
      <c r="B2930" t="s">
        <v>1372</v>
      </c>
      <c r="C2930" t="s">
        <v>50</v>
      </c>
      <c r="D2930" t="s">
        <v>20</v>
      </c>
      <c r="E2930">
        <v>4856</v>
      </c>
      <c r="F2930">
        <v>219.01</v>
      </c>
      <c r="G2930">
        <v>233.69</v>
      </c>
      <c r="H2930">
        <v>219.01</v>
      </c>
      <c r="I2930">
        <v>220</v>
      </c>
      <c r="J2930">
        <v>12</v>
      </c>
      <c r="K2930" s="17">
        <f t="shared" si="361"/>
        <v>88</v>
      </c>
      <c r="L2930" t="str">
        <f t="shared" si="362"/>
        <v>Sufficuent Stock</v>
      </c>
      <c r="P2930" s="19">
        <f t="shared" si="363"/>
        <v>0</v>
      </c>
      <c r="R2930" s="19">
        <f t="shared" si="360"/>
        <v>0</v>
      </c>
      <c r="T2930" s="19">
        <f t="shared" si="364"/>
        <v>51411.8</v>
      </c>
      <c r="U2930" s="19">
        <f t="shared" si="365"/>
        <v>48182.2</v>
      </c>
      <c r="V2930" s="21">
        <f t="shared" si="366"/>
        <v>-3229.6000000000058</v>
      </c>
      <c r="W2930" s="18">
        <f t="shared" si="367"/>
        <v>-6.2818263511489683E-2</v>
      </c>
    </row>
    <row r="2931" spans="1:23" x14ac:dyDescent="0.3">
      <c r="A2931" t="s">
        <v>231</v>
      </c>
      <c r="B2931" t="s">
        <v>1702</v>
      </c>
      <c r="C2931" t="s">
        <v>37</v>
      </c>
      <c r="D2931" t="s">
        <v>17</v>
      </c>
      <c r="E2931">
        <v>4856</v>
      </c>
      <c r="F2931">
        <v>384.11</v>
      </c>
      <c r="G2931">
        <v>388.29</v>
      </c>
      <c r="H2931">
        <v>384.11</v>
      </c>
      <c r="I2931">
        <v>1624</v>
      </c>
      <c r="J2931">
        <v>29</v>
      </c>
      <c r="K2931" s="17">
        <f t="shared" si="361"/>
        <v>1569.8666666666666</v>
      </c>
      <c r="L2931" t="str">
        <f t="shared" si="362"/>
        <v>Sufficuent Stock</v>
      </c>
      <c r="P2931" s="19">
        <f t="shared" si="363"/>
        <v>0</v>
      </c>
      <c r="R2931" s="19">
        <f t="shared" si="360"/>
        <v>0</v>
      </c>
      <c r="T2931" s="19">
        <f t="shared" si="364"/>
        <v>630582.96000000008</v>
      </c>
      <c r="U2931" s="19">
        <f t="shared" si="365"/>
        <v>623794.64</v>
      </c>
      <c r="V2931" s="21">
        <f t="shared" si="366"/>
        <v>-6788.3200000000652</v>
      </c>
      <c r="W2931" s="18">
        <f t="shared" si="367"/>
        <v>-1.0765149759200699E-2</v>
      </c>
    </row>
    <row r="2932" spans="1:23" x14ac:dyDescent="0.3">
      <c r="A2932" t="s">
        <v>436</v>
      </c>
      <c r="B2932" t="s">
        <v>3281</v>
      </c>
      <c r="C2932" t="s">
        <v>50</v>
      </c>
      <c r="D2932" t="s">
        <v>20</v>
      </c>
      <c r="E2932">
        <v>4857</v>
      </c>
      <c r="F2932">
        <v>521.74</v>
      </c>
      <c r="G2932">
        <v>442.4</v>
      </c>
      <c r="H2932">
        <v>521.74</v>
      </c>
      <c r="I2932">
        <v>1766</v>
      </c>
      <c r="J2932">
        <v>79</v>
      </c>
      <c r="K2932" s="17">
        <f t="shared" si="361"/>
        <v>4650.4666666666672</v>
      </c>
      <c r="L2932" t="str">
        <f t="shared" si="362"/>
        <v>Sufficuent Stock</v>
      </c>
      <c r="P2932" s="19">
        <f t="shared" si="363"/>
        <v>0</v>
      </c>
      <c r="R2932" s="19">
        <f t="shared" si="360"/>
        <v>0</v>
      </c>
      <c r="T2932" s="19">
        <f t="shared" si="364"/>
        <v>781278.39999999991</v>
      </c>
      <c r="U2932" s="19">
        <f t="shared" si="365"/>
        <v>921392.84</v>
      </c>
      <c r="V2932" s="21">
        <f t="shared" si="366"/>
        <v>140114.44000000006</v>
      </c>
      <c r="W2932" s="18">
        <f t="shared" si="367"/>
        <v>0.17933996383363482</v>
      </c>
    </row>
    <row r="2933" spans="1:23" x14ac:dyDescent="0.3">
      <c r="A2933" t="s">
        <v>203</v>
      </c>
      <c r="B2933" t="s">
        <v>2419</v>
      </c>
      <c r="C2933" t="s">
        <v>50</v>
      </c>
      <c r="D2933" t="s">
        <v>17</v>
      </c>
      <c r="E2933">
        <v>4859</v>
      </c>
      <c r="F2933">
        <v>171.52</v>
      </c>
      <c r="G2933">
        <v>163.92</v>
      </c>
      <c r="H2933">
        <v>171.52</v>
      </c>
      <c r="I2933">
        <v>3766</v>
      </c>
      <c r="J2933">
        <v>89</v>
      </c>
      <c r="K2933" s="17">
        <f t="shared" si="361"/>
        <v>11172.466666666667</v>
      </c>
      <c r="L2933" t="str">
        <f t="shared" si="362"/>
        <v>High Risk</v>
      </c>
      <c r="P2933" s="19">
        <f t="shared" si="363"/>
        <v>6314</v>
      </c>
      <c r="R2933" s="19">
        <f t="shared" si="360"/>
        <v>1082977.28</v>
      </c>
      <c r="T2933" s="19">
        <f t="shared" si="364"/>
        <v>617322.72</v>
      </c>
      <c r="U2933" s="19">
        <f t="shared" si="365"/>
        <v>645944.32000000007</v>
      </c>
      <c r="V2933" s="21">
        <f t="shared" si="366"/>
        <v>28621.600000000093</v>
      </c>
      <c r="W2933" s="18">
        <f t="shared" si="367"/>
        <v>4.636408003904359E-2</v>
      </c>
    </row>
    <row r="2934" spans="1:23" x14ac:dyDescent="0.3">
      <c r="A2934" t="s">
        <v>333</v>
      </c>
      <c r="B2934" t="s">
        <v>1862</v>
      </c>
      <c r="C2934" t="s">
        <v>12</v>
      </c>
      <c r="D2934" t="s">
        <v>69</v>
      </c>
      <c r="E2934">
        <v>4859</v>
      </c>
      <c r="F2934">
        <v>165.18</v>
      </c>
      <c r="G2934">
        <v>147.91</v>
      </c>
      <c r="H2934">
        <v>165.18</v>
      </c>
      <c r="I2934">
        <v>1714</v>
      </c>
      <c r="J2934">
        <v>88</v>
      </c>
      <c r="K2934" s="17">
        <f t="shared" si="361"/>
        <v>5027.7333333333336</v>
      </c>
      <c r="L2934" t="str">
        <f t="shared" si="362"/>
        <v>High Risk</v>
      </c>
      <c r="P2934" s="19">
        <f t="shared" si="363"/>
        <v>169</v>
      </c>
      <c r="R2934" s="19">
        <f t="shared" si="360"/>
        <v>27915.420000000002</v>
      </c>
      <c r="T2934" s="19">
        <f t="shared" si="364"/>
        <v>253517.74</v>
      </c>
      <c r="U2934" s="19">
        <f t="shared" si="365"/>
        <v>283118.52</v>
      </c>
      <c r="V2934" s="21">
        <f t="shared" si="366"/>
        <v>29600.780000000028</v>
      </c>
      <c r="W2934" s="18">
        <f t="shared" si="367"/>
        <v>0.11676019200865402</v>
      </c>
    </row>
    <row r="2935" spans="1:23" x14ac:dyDescent="0.3">
      <c r="A2935" t="s">
        <v>1542</v>
      </c>
      <c r="B2935" t="s">
        <v>2356</v>
      </c>
      <c r="C2935" t="s">
        <v>12</v>
      </c>
      <c r="D2935" t="s">
        <v>13</v>
      </c>
      <c r="E2935">
        <v>4860</v>
      </c>
      <c r="F2935">
        <v>112.52</v>
      </c>
      <c r="G2935">
        <v>115.58</v>
      </c>
      <c r="H2935">
        <v>112.52</v>
      </c>
      <c r="I2935">
        <v>1176</v>
      </c>
      <c r="J2935">
        <v>61</v>
      </c>
      <c r="K2935" s="17">
        <f t="shared" si="361"/>
        <v>2391.2000000000003</v>
      </c>
      <c r="L2935" t="str">
        <f t="shared" si="362"/>
        <v>Sufficuent Stock</v>
      </c>
      <c r="P2935" s="19">
        <f t="shared" si="363"/>
        <v>0</v>
      </c>
      <c r="R2935" s="19">
        <f t="shared" si="360"/>
        <v>0</v>
      </c>
      <c r="T2935" s="19">
        <f t="shared" si="364"/>
        <v>135922.07999999999</v>
      </c>
      <c r="U2935" s="19">
        <f t="shared" si="365"/>
        <v>132323.51999999999</v>
      </c>
      <c r="V2935" s="21">
        <f t="shared" si="366"/>
        <v>-3598.5599999999977</v>
      </c>
      <c r="W2935" s="18">
        <f t="shared" si="367"/>
        <v>-2.647516871431042E-2</v>
      </c>
    </row>
    <row r="2936" spans="1:23" x14ac:dyDescent="0.3">
      <c r="A2936" t="s">
        <v>125</v>
      </c>
      <c r="B2936" t="s">
        <v>2992</v>
      </c>
      <c r="C2936" t="s">
        <v>16</v>
      </c>
      <c r="D2936" t="s">
        <v>13</v>
      </c>
      <c r="E2936">
        <v>4862</v>
      </c>
      <c r="F2936">
        <v>22.61</v>
      </c>
      <c r="G2936">
        <v>24.07</v>
      </c>
      <c r="H2936">
        <v>22.61</v>
      </c>
      <c r="I2936">
        <v>1017</v>
      </c>
      <c r="J2936">
        <v>10</v>
      </c>
      <c r="K2936" s="17">
        <f t="shared" si="361"/>
        <v>339</v>
      </c>
      <c r="L2936" t="str">
        <f t="shared" si="362"/>
        <v>Sufficuent Stock</v>
      </c>
      <c r="P2936" s="19">
        <f t="shared" si="363"/>
        <v>0</v>
      </c>
      <c r="R2936" s="19">
        <f t="shared" si="360"/>
        <v>0</v>
      </c>
      <c r="T2936" s="19">
        <f t="shared" si="364"/>
        <v>24479.19</v>
      </c>
      <c r="U2936" s="19">
        <f t="shared" si="365"/>
        <v>22994.37</v>
      </c>
      <c r="V2936" s="21">
        <f t="shared" si="366"/>
        <v>-1484.8199999999997</v>
      </c>
      <c r="W2936" s="18">
        <f t="shared" si="367"/>
        <v>-6.0656418778562517E-2</v>
      </c>
    </row>
    <row r="2937" spans="1:23" x14ac:dyDescent="0.3">
      <c r="A2937" t="s">
        <v>751</v>
      </c>
      <c r="B2937" t="s">
        <v>752</v>
      </c>
      <c r="C2937" t="s">
        <v>16</v>
      </c>
      <c r="D2937" t="s">
        <v>17</v>
      </c>
      <c r="E2937">
        <v>4866</v>
      </c>
      <c r="F2937">
        <v>296.14999999999998</v>
      </c>
      <c r="G2937">
        <v>319.55</v>
      </c>
      <c r="H2937">
        <v>296.14999999999998</v>
      </c>
      <c r="I2937">
        <v>1413</v>
      </c>
      <c r="J2937">
        <v>41</v>
      </c>
      <c r="K2937" s="17">
        <f t="shared" si="361"/>
        <v>1931.1000000000001</v>
      </c>
      <c r="L2937" t="str">
        <f t="shared" si="362"/>
        <v>Sufficuent Stock</v>
      </c>
      <c r="P2937" s="19">
        <f t="shared" si="363"/>
        <v>0</v>
      </c>
      <c r="R2937" s="19">
        <f t="shared" si="360"/>
        <v>0</v>
      </c>
      <c r="T2937" s="19">
        <f t="shared" si="364"/>
        <v>451524.15</v>
      </c>
      <c r="U2937" s="19">
        <f t="shared" si="365"/>
        <v>418459.94999999995</v>
      </c>
      <c r="V2937" s="21">
        <f t="shared" si="366"/>
        <v>-33064.20000000007</v>
      </c>
      <c r="W2937" s="18">
        <f t="shared" si="367"/>
        <v>-7.322797684243483E-2</v>
      </c>
    </row>
    <row r="2938" spans="1:23" x14ac:dyDescent="0.3">
      <c r="A2938" t="s">
        <v>631</v>
      </c>
      <c r="B2938" t="s">
        <v>863</v>
      </c>
      <c r="C2938" t="s">
        <v>12</v>
      </c>
      <c r="D2938" t="s">
        <v>13</v>
      </c>
      <c r="E2938">
        <v>4867</v>
      </c>
      <c r="F2938">
        <v>122.76</v>
      </c>
      <c r="G2938">
        <v>103.66</v>
      </c>
      <c r="H2938">
        <v>122.76</v>
      </c>
      <c r="I2938">
        <v>225</v>
      </c>
      <c r="J2938">
        <v>47</v>
      </c>
      <c r="K2938" s="17">
        <f t="shared" si="361"/>
        <v>352.5</v>
      </c>
      <c r="L2938" t="str">
        <f t="shared" si="362"/>
        <v>Sufficuent Stock</v>
      </c>
      <c r="P2938" s="19">
        <f t="shared" si="363"/>
        <v>0</v>
      </c>
      <c r="R2938" s="19">
        <f t="shared" si="360"/>
        <v>0</v>
      </c>
      <c r="T2938" s="19">
        <f t="shared" si="364"/>
        <v>23323.5</v>
      </c>
      <c r="U2938" s="19">
        <f t="shared" si="365"/>
        <v>27621</v>
      </c>
      <c r="V2938" s="21">
        <f t="shared" si="366"/>
        <v>4297.5</v>
      </c>
      <c r="W2938" s="18">
        <f t="shared" si="367"/>
        <v>0.18425622226509744</v>
      </c>
    </row>
    <row r="2939" spans="1:23" x14ac:dyDescent="0.3">
      <c r="A2939" t="s">
        <v>500</v>
      </c>
      <c r="B2939" t="s">
        <v>2442</v>
      </c>
      <c r="C2939" t="s">
        <v>23</v>
      </c>
      <c r="D2939" t="s">
        <v>13</v>
      </c>
      <c r="E2939">
        <v>4869</v>
      </c>
      <c r="F2939">
        <v>480.43</v>
      </c>
      <c r="G2939">
        <v>471.67</v>
      </c>
      <c r="H2939">
        <v>480.43</v>
      </c>
      <c r="I2939">
        <v>3906</v>
      </c>
      <c r="J2939">
        <v>11</v>
      </c>
      <c r="K2939" s="17">
        <f t="shared" si="361"/>
        <v>1432.1999999999998</v>
      </c>
      <c r="L2939" t="str">
        <f t="shared" si="362"/>
        <v>Sufficuent Stock</v>
      </c>
      <c r="P2939" s="19">
        <f t="shared" si="363"/>
        <v>0</v>
      </c>
      <c r="R2939" s="19">
        <f t="shared" si="360"/>
        <v>0</v>
      </c>
      <c r="T2939" s="19">
        <f t="shared" si="364"/>
        <v>1842343.02</v>
      </c>
      <c r="U2939" s="19">
        <f t="shared" si="365"/>
        <v>1876559.58</v>
      </c>
      <c r="V2939" s="21">
        <f t="shared" si="366"/>
        <v>34216.560000000056</v>
      </c>
      <c r="W2939" s="18">
        <f t="shared" si="367"/>
        <v>1.8572306909491836E-2</v>
      </c>
    </row>
    <row r="2940" spans="1:23" x14ac:dyDescent="0.3">
      <c r="A2940" t="s">
        <v>76</v>
      </c>
      <c r="B2940" t="s">
        <v>3283</v>
      </c>
      <c r="C2940" t="s">
        <v>37</v>
      </c>
      <c r="D2940" t="s">
        <v>20</v>
      </c>
      <c r="E2940">
        <v>4870</v>
      </c>
      <c r="F2940">
        <v>17.559999999999999</v>
      </c>
      <c r="G2940">
        <v>16.690000000000001</v>
      </c>
      <c r="H2940">
        <v>17.559999999999999</v>
      </c>
      <c r="I2940">
        <v>1431</v>
      </c>
      <c r="J2940">
        <v>24</v>
      </c>
      <c r="K2940" s="17">
        <f t="shared" si="361"/>
        <v>1144.8000000000002</v>
      </c>
      <c r="L2940" t="str">
        <f t="shared" si="362"/>
        <v>Sufficuent Stock</v>
      </c>
      <c r="P2940" s="19">
        <f t="shared" si="363"/>
        <v>0</v>
      </c>
      <c r="R2940" s="19">
        <f t="shared" si="360"/>
        <v>0</v>
      </c>
      <c r="T2940" s="19">
        <f t="shared" si="364"/>
        <v>23883.390000000003</v>
      </c>
      <c r="U2940" s="19">
        <f t="shared" si="365"/>
        <v>25128.359999999997</v>
      </c>
      <c r="V2940" s="21">
        <f t="shared" si="366"/>
        <v>1244.9699999999939</v>
      </c>
      <c r="W2940" s="18">
        <f t="shared" si="367"/>
        <v>5.2127022168963186E-2</v>
      </c>
    </row>
    <row r="2941" spans="1:23" x14ac:dyDescent="0.3">
      <c r="A2941" t="s">
        <v>376</v>
      </c>
      <c r="B2941" t="s">
        <v>2333</v>
      </c>
      <c r="C2941" t="s">
        <v>12</v>
      </c>
      <c r="D2941" t="s">
        <v>26</v>
      </c>
      <c r="E2941">
        <v>4870</v>
      </c>
      <c r="F2941">
        <v>464.75</v>
      </c>
      <c r="G2941">
        <v>406.07</v>
      </c>
      <c r="H2941">
        <v>464.75</v>
      </c>
      <c r="I2941">
        <v>1282</v>
      </c>
      <c r="J2941">
        <v>51</v>
      </c>
      <c r="K2941" s="17">
        <f t="shared" si="361"/>
        <v>2179.4</v>
      </c>
      <c r="L2941" t="str">
        <f t="shared" si="362"/>
        <v>Sufficuent Stock</v>
      </c>
      <c r="P2941" s="19">
        <f t="shared" si="363"/>
        <v>0</v>
      </c>
      <c r="R2941" s="19">
        <f t="shared" si="360"/>
        <v>0</v>
      </c>
      <c r="T2941" s="19">
        <f t="shared" si="364"/>
        <v>520581.74</v>
      </c>
      <c r="U2941" s="19">
        <f t="shared" si="365"/>
        <v>595809.5</v>
      </c>
      <c r="V2941" s="21">
        <f t="shared" si="366"/>
        <v>75227.760000000009</v>
      </c>
      <c r="W2941" s="18">
        <f t="shared" si="367"/>
        <v>0.14450710468638414</v>
      </c>
    </row>
    <row r="2942" spans="1:23" x14ac:dyDescent="0.3">
      <c r="A2942" t="s">
        <v>1071</v>
      </c>
      <c r="B2942" t="s">
        <v>1231</v>
      </c>
      <c r="C2942" t="s">
        <v>37</v>
      </c>
      <c r="D2942" t="s">
        <v>17</v>
      </c>
      <c r="E2942">
        <v>4874</v>
      </c>
      <c r="F2942">
        <v>245.83</v>
      </c>
      <c r="G2942">
        <v>208.66</v>
      </c>
      <c r="H2942">
        <v>245.83</v>
      </c>
      <c r="I2942">
        <v>1663</v>
      </c>
      <c r="J2942">
        <v>34</v>
      </c>
      <c r="K2942" s="17">
        <f t="shared" si="361"/>
        <v>1884.7333333333331</v>
      </c>
      <c r="L2942" t="str">
        <f t="shared" si="362"/>
        <v>Sufficuent Stock</v>
      </c>
      <c r="P2942" s="19">
        <f t="shared" si="363"/>
        <v>0</v>
      </c>
      <c r="R2942" s="19">
        <f t="shared" si="360"/>
        <v>0</v>
      </c>
      <c r="T2942" s="19">
        <f t="shared" si="364"/>
        <v>347001.58</v>
      </c>
      <c r="U2942" s="19">
        <f t="shared" si="365"/>
        <v>408815.29000000004</v>
      </c>
      <c r="V2942" s="21">
        <f t="shared" si="366"/>
        <v>61813.710000000021</v>
      </c>
      <c r="W2942" s="18">
        <f t="shared" si="367"/>
        <v>0.17813668168312091</v>
      </c>
    </row>
    <row r="2943" spans="1:23" x14ac:dyDescent="0.3">
      <c r="A2943" t="s">
        <v>422</v>
      </c>
      <c r="B2943" t="s">
        <v>3370</v>
      </c>
      <c r="C2943" t="s">
        <v>16</v>
      </c>
      <c r="D2943" t="s">
        <v>69</v>
      </c>
      <c r="E2943">
        <v>4874</v>
      </c>
      <c r="F2943">
        <v>377.71</v>
      </c>
      <c r="G2943">
        <v>342.74</v>
      </c>
      <c r="H2943">
        <v>377.71</v>
      </c>
      <c r="I2943">
        <v>1808</v>
      </c>
      <c r="J2943">
        <v>23</v>
      </c>
      <c r="K2943" s="17">
        <f t="shared" si="361"/>
        <v>1386.1333333333332</v>
      </c>
      <c r="L2943" t="str">
        <f t="shared" si="362"/>
        <v>Sufficuent Stock</v>
      </c>
      <c r="P2943" s="19">
        <f t="shared" si="363"/>
        <v>0</v>
      </c>
      <c r="R2943" s="19">
        <f t="shared" si="360"/>
        <v>0</v>
      </c>
      <c r="T2943" s="19">
        <f t="shared" si="364"/>
        <v>619673.92000000004</v>
      </c>
      <c r="U2943" s="19">
        <f t="shared" si="365"/>
        <v>682899.67999999993</v>
      </c>
      <c r="V2943" s="21">
        <f t="shared" si="366"/>
        <v>63225.759999999893</v>
      </c>
      <c r="W2943" s="18">
        <f t="shared" si="367"/>
        <v>0.10203069382038846</v>
      </c>
    </row>
    <row r="2944" spans="1:23" x14ac:dyDescent="0.3">
      <c r="A2944" t="s">
        <v>1096</v>
      </c>
      <c r="B2944" t="s">
        <v>1343</v>
      </c>
      <c r="C2944" t="s">
        <v>50</v>
      </c>
      <c r="D2944" t="s">
        <v>69</v>
      </c>
      <c r="E2944">
        <v>4875</v>
      </c>
      <c r="F2944">
        <v>312.3</v>
      </c>
      <c r="G2944">
        <v>310.23</v>
      </c>
      <c r="H2944">
        <v>312.3</v>
      </c>
      <c r="I2944">
        <v>2891</v>
      </c>
      <c r="J2944">
        <v>69</v>
      </c>
      <c r="K2944" s="17">
        <f t="shared" si="361"/>
        <v>6649.2999999999993</v>
      </c>
      <c r="L2944" t="str">
        <f t="shared" si="362"/>
        <v>High Risk</v>
      </c>
      <c r="P2944" s="19">
        <f t="shared" si="363"/>
        <v>1775</v>
      </c>
      <c r="R2944" s="19">
        <f t="shared" si="360"/>
        <v>554332.5</v>
      </c>
      <c r="T2944" s="19">
        <f t="shared" si="364"/>
        <v>896874.93</v>
      </c>
      <c r="U2944" s="19">
        <f t="shared" si="365"/>
        <v>902859.3</v>
      </c>
      <c r="V2944" s="21">
        <f t="shared" si="366"/>
        <v>5984.3699999999953</v>
      </c>
      <c r="W2944" s="18">
        <f t="shared" si="367"/>
        <v>6.6724688134609748E-3</v>
      </c>
    </row>
    <row r="2945" spans="1:23" x14ac:dyDescent="0.3">
      <c r="A2945" t="s">
        <v>349</v>
      </c>
      <c r="B2945" t="s">
        <v>1503</v>
      </c>
      <c r="C2945" t="s">
        <v>23</v>
      </c>
      <c r="D2945" t="s">
        <v>20</v>
      </c>
      <c r="E2945">
        <v>4875</v>
      </c>
      <c r="F2945">
        <v>337</v>
      </c>
      <c r="G2945">
        <v>296.64</v>
      </c>
      <c r="H2945">
        <v>337</v>
      </c>
      <c r="I2945">
        <v>467</v>
      </c>
      <c r="J2945">
        <v>54</v>
      </c>
      <c r="K2945" s="17">
        <f t="shared" si="361"/>
        <v>840.6</v>
      </c>
      <c r="L2945" t="str">
        <f t="shared" si="362"/>
        <v>Sufficuent Stock</v>
      </c>
      <c r="P2945" s="19">
        <f t="shared" si="363"/>
        <v>0</v>
      </c>
      <c r="R2945" s="19">
        <f t="shared" si="360"/>
        <v>0</v>
      </c>
      <c r="T2945" s="19">
        <f t="shared" si="364"/>
        <v>138530.88</v>
      </c>
      <c r="U2945" s="19">
        <f t="shared" si="365"/>
        <v>157379</v>
      </c>
      <c r="V2945" s="21">
        <f t="shared" si="366"/>
        <v>18848.119999999995</v>
      </c>
      <c r="W2945" s="18">
        <f t="shared" si="367"/>
        <v>0.13605717367853287</v>
      </c>
    </row>
    <row r="2946" spans="1:23" x14ac:dyDescent="0.3">
      <c r="A2946" t="s">
        <v>472</v>
      </c>
      <c r="B2946" t="s">
        <v>1401</v>
      </c>
      <c r="C2946" t="s">
        <v>16</v>
      </c>
      <c r="D2946" t="s">
        <v>17</v>
      </c>
      <c r="E2946">
        <v>4876</v>
      </c>
      <c r="F2946">
        <v>21.58</v>
      </c>
      <c r="G2946">
        <v>22.59</v>
      </c>
      <c r="H2946">
        <v>21.58</v>
      </c>
      <c r="I2946">
        <v>3362</v>
      </c>
      <c r="J2946">
        <v>88</v>
      </c>
      <c r="K2946" s="17">
        <f t="shared" si="361"/>
        <v>9861.8666666666668</v>
      </c>
      <c r="L2946" t="str">
        <f t="shared" si="362"/>
        <v>High Risk</v>
      </c>
      <c r="P2946" s="19">
        <f t="shared" si="363"/>
        <v>4986</v>
      </c>
      <c r="R2946" s="19">
        <f t="shared" ref="R2946:R3001" si="368">P2946*H2946</f>
        <v>107597.87999999999</v>
      </c>
      <c r="T2946" s="19">
        <f t="shared" si="364"/>
        <v>75947.58</v>
      </c>
      <c r="U2946" s="19">
        <f t="shared" si="365"/>
        <v>72551.959999999992</v>
      </c>
      <c r="V2946" s="21">
        <f t="shared" si="366"/>
        <v>-3395.6200000000099</v>
      </c>
      <c r="W2946" s="18">
        <f t="shared" si="367"/>
        <v>-4.4710048694112568E-2</v>
      </c>
    </row>
    <row r="2947" spans="1:23" x14ac:dyDescent="0.3">
      <c r="A2947" t="s">
        <v>434</v>
      </c>
      <c r="B2947" t="s">
        <v>435</v>
      </c>
      <c r="C2947" t="s">
        <v>12</v>
      </c>
      <c r="D2947" t="s">
        <v>13</v>
      </c>
      <c r="E2947">
        <v>4877</v>
      </c>
      <c r="F2947">
        <v>258.93</v>
      </c>
      <c r="G2947">
        <v>216.59</v>
      </c>
      <c r="H2947">
        <v>258.93</v>
      </c>
      <c r="I2947">
        <v>146</v>
      </c>
      <c r="J2947">
        <v>77</v>
      </c>
      <c r="K2947" s="17">
        <f t="shared" ref="K2947:K3001" si="369">(I2947/30)*J2947</f>
        <v>374.73333333333329</v>
      </c>
      <c r="L2947" t="str">
        <f t="shared" ref="L2947:L3001" si="370">IF(E2947&lt;K2947,"High Risk","Sufficuent Stock")</f>
        <v>Sufficuent Stock</v>
      </c>
      <c r="P2947" s="19">
        <f t="shared" ref="P2947:P3001" si="371">ROUNDUP(MAX(0,K2947-E2947),0)</f>
        <v>0</v>
      </c>
      <c r="R2947" s="19">
        <f t="shared" si="368"/>
        <v>0</v>
      </c>
      <c r="T2947" s="19">
        <f t="shared" ref="T2947:T3001" si="372">I2947*G2947</f>
        <v>31622.14</v>
      </c>
      <c r="U2947" s="19">
        <f t="shared" ref="U2947:U3001" si="373">I2947*H2947</f>
        <v>37803.78</v>
      </c>
      <c r="V2947" s="21">
        <f t="shared" ref="V2947:V3001" si="374">U2947-T2947</f>
        <v>6181.6399999999994</v>
      </c>
      <c r="W2947" s="18">
        <f t="shared" ref="W2947:W3001" si="375">IFERROR(V2947/T2947,0)</f>
        <v>0.19548455607368759</v>
      </c>
    </row>
    <row r="2948" spans="1:23" x14ac:dyDescent="0.3">
      <c r="A2948" t="s">
        <v>303</v>
      </c>
      <c r="B2948" t="s">
        <v>3305</v>
      </c>
      <c r="C2948" t="s">
        <v>12</v>
      </c>
      <c r="D2948" t="s">
        <v>69</v>
      </c>
      <c r="E2948">
        <v>4878</v>
      </c>
      <c r="F2948">
        <v>37.619999999999997</v>
      </c>
      <c r="G2948">
        <v>32.06</v>
      </c>
      <c r="H2948">
        <v>37.619999999999997</v>
      </c>
      <c r="I2948">
        <v>908</v>
      </c>
      <c r="J2948">
        <v>66</v>
      </c>
      <c r="K2948" s="17">
        <f t="shared" si="369"/>
        <v>1997.6</v>
      </c>
      <c r="L2948" t="str">
        <f t="shared" si="370"/>
        <v>Sufficuent Stock</v>
      </c>
      <c r="P2948" s="19">
        <f t="shared" si="371"/>
        <v>0</v>
      </c>
      <c r="R2948" s="19">
        <f t="shared" si="368"/>
        <v>0</v>
      </c>
      <c r="T2948" s="19">
        <f t="shared" si="372"/>
        <v>29110.480000000003</v>
      </c>
      <c r="U2948" s="19">
        <f t="shared" si="373"/>
        <v>34158.959999999999</v>
      </c>
      <c r="V2948" s="21">
        <f t="shared" si="374"/>
        <v>5048.4799999999959</v>
      </c>
      <c r="W2948" s="18">
        <f t="shared" si="375"/>
        <v>0.17342482844666235</v>
      </c>
    </row>
    <row r="2949" spans="1:23" x14ac:dyDescent="0.3">
      <c r="A2949" t="s">
        <v>820</v>
      </c>
      <c r="B2949" t="s">
        <v>2302</v>
      </c>
      <c r="C2949" t="s">
        <v>16</v>
      </c>
      <c r="D2949" t="s">
        <v>69</v>
      </c>
      <c r="E2949">
        <v>4880</v>
      </c>
      <c r="F2949">
        <v>422.07</v>
      </c>
      <c r="G2949">
        <v>398.3</v>
      </c>
      <c r="H2949">
        <v>422.07</v>
      </c>
      <c r="I2949">
        <v>2897</v>
      </c>
      <c r="J2949">
        <v>7</v>
      </c>
      <c r="K2949" s="17">
        <f t="shared" si="369"/>
        <v>675.9666666666667</v>
      </c>
      <c r="L2949" t="str">
        <f t="shared" si="370"/>
        <v>Sufficuent Stock</v>
      </c>
      <c r="P2949" s="19">
        <f t="shared" si="371"/>
        <v>0</v>
      </c>
      <c r="R2949" s="19">
        <f t="shared" si="368"/>
        <v>0</v>
      </c>
      <c r="T2949" s="19">
        <f t="shared" si="372"/>
        <v>1153875.1000000001</v>
      </c>
      <c r="U2949" s="19">
        <f t="shared" si="373"/>
        <v>1222736.79</v>
      </c>
      <c r="V2949" s="21">
        <f t="shared" si="374"/>
        <v>68861.689999999944</v>
      </c>
      <c r="W2949" s="18">
        <f t="shared" si="375"/>
        <v>5.9678634195330101E-2</v>
      </c>
    </row>
    <row r="2950" spans="1:23" x14ac:dyDescent="0.3">
      <c r="A2950" t="s">
        <v>59</v>
      </c>
      <c r="B2950" t="s">
        <v>3144</v>
      </c>
      <c r="C2950" t="s">
        <v>16</v>
      </c>
      <c r="D2950" t="s">
        <v>13</v>
      </c>
      <c r="E2950">
        <v>4880</v>
      </c>
      <c r="F2950">
        <v>199.37</v>
      </c>
      <c r="G2950">
        <v>187.79</v>
      </c>
      <c r="H2950">
        <v>199.37</v>
      </c>
      <c r="I2950">
        <v>1422</v>
      </c>
      <c r="J2950">
        <v>61</v>
      </c>
      <c r="K2950" s="17">
        <f t="shared" si="369"/>
        <v>2891.4</v>
      </c>
      <c r="L2950" t="str">
        <f t="shared" si="370"/>
        <v>Sufficuent Stock</v>
      </c>
      <c r="P2950" s="19">
        <f t="shared" si="371"/>
        <v>0</v>
      </c>
      <c r="R2950" s="19">
        <f t="shared" si="368"/>
        <v>0</v>
      </c>
      <c r="T2950" s="19">
        <f t="shared" si="372"/>
        <v>267037.38</v>
      </c>
      <c r="U2950" s="19">
        <f t="shared" si="373"/>
        <v>283504.14</v>
      </c>
      <c r="V2950" s="21">
        <f t="shared" si="374"/>
        <v>16466.760000000009</v>
      </c>
      <c r="W2950" s="18">
        <f t="shared" si="375"/>
        <v>6.166462537941321E-2</v>
      </c>
    </row>
    <row r="2951" spans="1:23" x14ac:dyDescent="0.3">
      <c r="A2951" t="s">
        <v>915</v>
      </c>
      <c r="B2951" t="s">
        <v>916</v>
      </c>
      <c r="C2951" t="s">
        <v>23</v>
      </c>
      <c r="D2951" t="s">
        <v>13</v>
      </c>
      <c r="E2951">
        <v>4881</v>
      </c>
      <c r="F2951">
        <v>274.72000000000003</v>
      </c>
      <c r="G2951">
        <v>300.13</v>
      </c>
      <c r="H2951">
        <v>274.72000000000003</v>
      </c>
      <c r="I2951">
        <v>642</v>
      </c>
      <c r="J2951">
        <v>54</v>
      </c>
      <c r="K2951" s="17">
        <f t="shared" si="369"/>
        <v>1155.5999999999999</v>
      </c>
      <c r="L2951" t="str">
        <f t="shared" si="370"/>
        <v>Sufficuent Stock</v>
      </c>
      <c r="P2951" s="19">
        <f t="shared" si="371"/>
        <v>0</v>
      </c>
      <c r="R2951" s="19">
        <f t="shared" si="368"/>
        <v>0</v>
      </c>
      <c r="T2951" s="19">
        <f t="shared" si="372"/>
        <v>192683.46</v>
      </c>
      <c r="U2951" s="19">
        <f t="shared" si="373"/>
        <v>176370.24000000002</v>
      </c>
      <c r="V2951" s="21">
        <f t="shared" si="374"/>
        <v>-16313.219999999972</v>
      </c>
      <c r="W2951" s="18">
        <f t="shared" si="375"/>
        <v>-8.4663312564555213E-2</v>
      </c>
    </row>
    <row r="2952" spans="1:23" x14ac:dyDescent="0.3">
      <c r="A2952" t="s">
        <v>312</v>
      </c>
      <c r="B2952" t="s">
        <v>2519</v>
      </c>
      <c r="C2952" t="s">
        <v>50</v>
      </c>
      <c r="D2952" t="s">
        <v>26</v>
      </c>
      <c r="E2952">
        <v>4881</v>
      </c>
      <c r="F2952">
        <v>381.08</v>
      </c>
      <c r="G2952">
        <v>387.4</v>
      </c>
      <c r="H2952">
        <v>381.08</v>
      </c>
      <c r="I2952">
        <v>158</v>
      </c>
      <c r="J2952">
        <v>29</v>
      </c>
      <c r="K2952" s="17">
        <f t="shared" si="369"/>
        <v>152.73333333333332</v>
      </c>
      <c r="L2952" t="str">
        <f t="shared" si="370"/>
        <v>Sufficuent Stock</v>
      </c>
      <c r="P2952" s="19">
        <f t="shared" si="371"/>
        <v>0</v>
      </c>
      <c r="R2952" s="19">
        <f t="shared" si="368"/>
        <v>0</v>
      </c>
      <c r="T2952" s="19">
        <f t="shared" si="372"/>
        <v>61209.2</v>
      </c>
      <c r="U2952" s="19">
        <f t="shared" si="373"/>
        <v>60210.64</v>
      </c>
      <c r="V2952" s="21">
        <f t="shared" si="374"/>
        <v>-998.55999999999767</v>
      </c>
      <c r="W2952" s="18">
        <f t="shared" si="375"/>
        <v>-1.6313887454827015E-2</v>
      </c>
    </row>
    <row r="2953" spans="1:23" x14ac:dyDescent="0.3">
      <c r="A2953" t="s">
        <v>134</v>
      </c>
      <c r="B2953" t="s">
        <v>1986</v>
      </c>
      <c r="C2953" t="s">
        <v>23</v>
      </c>
      <c r="D2953" t="s">
        <v>26</v>
      </c>
      <c r="E2953">
        <v>4884</v>
      </c>
      <c r="F2953">
        <v>327.43</v>
      </c>
      <c r="G2953">
        <v>302.58</v>
      </c>
      <c r="H2953">
        <v>327.43</v>
      </c>
      <c r="I2953">
        <v>832</v>
      </c>
      <c r="J2953">
        <v>14</v>
      </c>
      <c r="K2953" s="17">
        <f t="shared" si="369"/>
        <v>388.26666666666665</v>
      </c>
      <c r="L2953" t="str">
        <f t="shared" si="370"/>
        <v>Sufficuent Stock</v>
      </c>
      <c r="P2953" s="19">
        <f t="shared" si="371"/>
        <v>0</v>
      </c>
      <c r="R2953" s="19">
        <f t="shared" si="368"/>
        <v>0</v>
      </c>
      <c r="T2953" s="19">
        <f t="shared" si="372"/>
        <v>251746.56</v>
      </c>
      <c r="U2953" s="19">
        <f t="shared" si="373"/>
        <v>272421.76000000001</v>
      </c>
      <c r="V2953" s="21">
        <f t="shared" si="374"/>
        <v>20675.200000000012</v>
      </c>
      <c r="W2953" s="18">
        <f t="shared" si="375"/>
        <v>8.2127040782602995E-2</v>
      </c>
    </row>
    <row r="2954" spans="1:23" x14ac:dyDescent="0.3">
      <c r="A2954" t="s">
        <v>1333</v>
      </c>
      <c r="B2954" t="s">
        <v>1334</v>
      </c>
      <c r="C2954" t="s">
        <v>50</v>
      </c>
      <c r="D2954" t="s">
        <v>20</v>
      </c>
      <c r="E2954">
        <v>4888</v>
      </c>
      <c r="F2954">
        <v>141.02000000000001</v>
      </c>
      <c r="G2954">
        <v>127.36</v>
      </c>
      <c r="H2954">
        <v>141.02000000000001</v>
      </c>
      <c r="I2954">
        <v>3423</v>
      </c>
      <c r="J2954">
        <v>80</v>
      </c>
      <c r="K2954" s="17">
        <f t="shared" si="369"/>
        <v>9128</v>
      </c>
      <c r="L2954" t="str">
        <f t="shared" si="370"/>
        <v>High Risk</v>
      </c>
      <c r="P2954" s="19">
        <f t="shared" si="371"/>
        <v>4240</v>
      </c>
      <c r="R2954" s="19">
        <f t="shared" si="368"/>
        <v>597924.80000000005</v>
      </c>
      <c r="T2954" s="19">
        <f t="shared" si="372"/>
        <v>435953.27999999997</v>
      </c>
      <c r="U2954" s="19">
        <f t="shared" si="373"/>
        <v>482711.46</v>
      </c>
      <c r="V2954" s="21">
        <f t="shared" si="374"/>
        <v>46758.180000000051</v>
      </c>
      <c r="W2954" s="18">
        <f t="shared" si="375"/>
        <v>0.10725502512562826</v>
      </c>
    </row>
    <row r="2955" spans="1:23" x14ac:dyDescent="0.3">
      <c r="A2955" t="s">
        <v>113</v>
      </c>
      <c r="B2955" t="s">
        <v>3328</v>
      </c>
      <c r="C2955" t="s">
        <v>37</v>
      </c>
      <c r="D2955" t="s">
        <v>26</v>
      </c>
      <c r="E2955">
        <v>4897</v>
      </c>
      <c r="F2955">
        <v>12.17</v>
      </c>
      <c r="G2955">
        <v>12.34</v>
      </c>
      <c r="H2955">
        <v>12.17</v>
      </c>
      <c r="I2955">
        <v>1180</v>
      </c>
      <c r="J2955">
        <v>62</v>
      </c>
      <c r="K2955" s="17">
        <f t="shared" si="369"/>
        <v>2438.666666666667</v>
      </c>
      <c r="L2955" t="str">
        <f t="shared" si="370"/>
        <v>Sufficuent Stock</v>
      </c>
      <c r="P2955" s="19">
        <f t="shared" si="371"/>
        <v>0</v>
      </c>
      <c r="R2955" s="19">
        <f t="shared" si="368"/>
        <v>0</v>
      </c>
      <c r="T2955" s="19">
        <f t="shared" si="372"/>
        <v>14561.2</v>
      </c>
      <c r="U2955" s="19">
        <f t="shared" si="373"/>
        <v>14360.6</v>
      </c>
      <c r="V2955" s="21">
        <f t="shared" si="374"/>
        <v>-200.60000000000036</v>
      </c>
      <c r="W2955" s="18">
        <f t="shared" si="375"/>
        <v>-1.3776337115072958E-2</v>
      </c>
    </row>
    <row r="2956" spans="1:23" x14ac:dyDescent="0.3">
      <c r="A2956" t="s">
        <v>90</v>
      </c>
      <c r="B2956" t="s">
        <v>1160</v>
      </c>
      <c r="C2956" t="s">
        <v>23</v>
      </c>
      <c r="D2956" t="s">
        <v>69</v>
      </c>
      <c r="E2956">
        <v>4899</v>
      </c>
      <c r="F2956">
        <v>85.73</v>
      </c>
      <c r="G2956">
        <v>89.71</v>
      </c>
      <c r="H2956">
        <v>85.73</v>
      </c>
      <c r="I2956">
        <v>2979</v>
      </c>
      <c r="J2956">
        <v>40</v>
      </c>
      <c r="K2956" s="17">
        <f t="shared" si="369"/>
        <v>3972</v>
      </c>
      <c r="L2956" t="str">
        <f t="shared" si="370"/>
        <v>Sufficuent Stock</v>
      </c>
      <c r="P2956" s="19">
        <f t="shared" si="371"/>
        <v>0</v>
      </c>
      <c r="R2956" s="19">
        <f t="shared" si="368"/>
        <v>0</v>
      </c>
      <c r="T2956" s="19">
        <f t="shared" si="372"/>
        <v>267246.08999999997</v>
      </c>
      <c r="U2956" s="19">
        <f t="shared" si="373"/>
        <v>255389.67</v>
      </c>
      <c r="V2956" s="21">
        <f t="shared" si="374"/>
        <v>-11856.419999999955</v>
      </c>
      <c r="W2956" s="18">
        <f t="shared" si="375"/>
        <v>-4.4365176680414502E-2</v>
      </c>
    </row>
    <row r="2957" spans="1:23" x14ac:dyDescent="0.3">
      <c r="A2957" t="s">
        <v>40</v>
      </c>
      <c r="B2957" t="s">
        <v>2399</v>
      </c>
      <c r="C2957" t="s">
        <v>50</v>
      </c>
      <c r="D2957" t="s">
        <v>17</v>
      </c>
      <c r="E2957">
        <v>4900</v>
      </c>
      <c r="F2957">
        <v>242.54</v>
      </c>
      <c r="G2957">
        <v>211.44</v>
      </c>
      <c r="H2957">
        <v>242.54</v>
      </c>
      <c r="I2957">
        <v>3664</v>
      </c>
      <c r="J2957">
        <v>56</v>
      </c>
      <c r="K2957" s="17">
        <f t="shared" si="369"/>
        <v>6839.4666666666672</v>
      </c>
      <c r="L2957" t="str">
        <f t="shared" si="370"/>
        <v>High Risk</v>
      </c>
      <c r="P2957" s="19">
        <f t="shared" si="371"/>
        <v>1940</v>
      </c>
      <c r="R2957" s="19">
        <f t="shared" si="368"/>
        <v>470527.6</v>
      </c>
      <c r="T2957" s="19">
        <f t="shared" si="372"/>
        <v>774716.16</v>
      </c>
      <c r="U2957" s="19">
        <f t="shared" si="373"/>
        <v>888666.55999999994</v>
      </c>
      <c r="V2957" s="21">
        <f t="shared" si="374"/>
        <v>113950.39999999991</v>
      </c>
      <c r="W2957" s="18">
        <f t="shared" si="375"/>
        <v>0.14708664396519094</v>
      </c>
    </row>
    <row r="2958" spans="1:23" x14ac:dyDescent="0.3">
      <c r="A2958" t="s">
        <v>44</v>
      </c>
      <c r="B2958" t="s">
        <v>1732</v>
      </c>
      <c r="C2958" t="s">
        <v>50</v>
      </c>
      <c r="D2958" t="s">
        <v>69</v>
      </c>
      <c r="E2958">
        <v>4908</v>
      </c>
      <c r="F2958">
        <v>105.88</v>
      </c>
      <c r="G2958">
        <v>113.99</v>
      </c>
      <c r="H2958">
        <v>105.88</v>
      </c>
      <c r="I2958">
        <v>831</v>
      </c>
      <c r="J2958">
        <v>30</v>
      </c>
      <c r="K2958" s="17">
        <f t="shared" si="369"/>
        <v>831</v>
      </c>
      <c r="L2958" t="str">
        <f t="shared" si="370"/>
        <v>Sufficuent Stock</v>
      </c>
      <c r="P2958" s="19">
        <f t="shared" si="371"/>
        <v>0</v>
      </c>
      <c r="R2958" s="19">
        <f t="shared" si="368"/>
        <v>0</v>
      </c>
      <c r="T2958" s="19">
        <f t="shared" si="372"/>
        <v>94725.69</v>
      </c>
      <c r="U2958" s="19">
        <f t="shared" si="373"/>
        <v>87986.28</v>
      </c>
      <c r="V2958" s="21">
        <f t="shared" si="374"/>
        <v>-6739.4100000000035</v>
      </c>
      <c r="W2958" s="18">
        <f t="shared" si="375"/>
        <v>-7.1146591806298828E-2</v>
      </c>
    </row>
    <row r="2959" spans="1:23" x14ac:dyDescent="0.3">
      <c r="A2959" t="s">
        <v>1467</v>
      </c>
      <c r="B2959" t="s">
        <v>3074</v>
      </c>
      <c r="C2959" t="s">
        <v>12</v>
      </c>
      <c r="D2959" t="s">
        <v>17</v>
      </c>
      <c r="E2959">
        <v>4910</v>
      </c>
      <c r="F2959">
        <v>57.35</v>
      </c>
      <c r="G2959">
        <v>62.8</v>
      </c>
      <c r="H2959">
        <v>57.35</v>
      </c>
      <c r="I2959">
        <v>792</v>
      </c>
      <c r="J2959">
        <v>18</v>
      </c>
      <c r="K2959" s="17">
        <f t="shared" si="369"/>
        <v>475.2</v>
      </c>
      <c r="L2959" t="str">
        <f t="shared" si="370"/>
        <v>Sufficuent Stock</v>
      </c>
      <c r="P2959" s="19">
        <f t="shared" si="371"/>
        <v>0</v>
      </c>
      <c r="R2959" s="19">
        <f t="shared" si="368"/>
        <v>0</v>
      </c>
      <c r="T2959" s="19">
        <f t="shared" si="372"/>
        <v>49737.599999999999</v>
      </c>
      <c r="U2959" s="19">
        <f t="shared" si="373"/>
        <v>45421.200000000004</v>
      </c>
      <c r="V2959" s="21">
        <f t="shared" si="374"/>
        <v>-4316.3999999999942</v>
      </c>
      <c r="W2959" s="18">
        <f t="shared" si="375"/>
        <v>-8.6783439490445743E-2</v>
      </c>
    </row>
    <row r="2960" spans="1:23" x14ac:dyDescent="0.3">
      <c r="A2960" t="s">
        <v>27</v>
      </c>
      <c r="B2960" t="s">
        <v>3096</v>
      </c>
      <c r="C2960" t="s">
        <v>37</v>
      </c>
      <c r="D2960" t="s">
        <v>20</v>
      </c>
      <c r="E2960">
        <v>4911</v>
      </c>
      <c r="F2960">
        <v>208.49</v>
      </c>
      <c r="G2960">
        <v>201</v>
      </c>
      <c r="H2960">
        <v>208.49</v>
      </c>
      <c r="I2960">
        <v>3251</v>
      </c>
      <c r="J2960">
        <v>74</v>
      </c>
      <c r="K2960" s="17">
        <f t="shared" si="369"/>
        <v>8019.1333333333332</v>
      </c>
      <c r="L2960" t="str">
        <f t="shared" si="370"/>
        <v>High Risk</v>
      </c>
      <c r="P2960" s="19">
        <f t="shared" si="371"/>
        <v>3109</v>
      </c>
      <c r="R2960" s="19">
        <f t="shared" si="368"/>
        <v>648195.41</v>
      </c>
      <c r="T2960" s="19">
        <f t="shared" si="372"/>
        <v>653451</v>
      </c>
      <c r="U2960" s="19">
        <f t="shared" si="373"/>
        <v>677800.99</v>
      </c>
      <c r="V2960" s="21">
        <f t="shared" si="374"/>
        <v>24349.989999999991</v>
      </c>
      <c r="W2960" s="18">
        <f t="shared" si="375"/>
        <v>3.7263681592039785E-2</v>
      </c>
    </row>
    <row r="2961" spans="1:23" x14ac:dyDescent="0.3">
      <c r="A2961" t="s">
        <v>246</v>
      </c>
      <c r="B2961" t="s">
        <v>776</v>
      </c>
      <c r="C2961" t="s">
        <v>50</v>
      </c>
      <c r="D2961" t="s">
        <v>17</v>
      </c>
      <c r="E2961">
        <v>4913</v>
      </c>
      <c r="F2961">
        <v>58.07</v>
      </c>
      <c r="G2961">
        <v>58.61</v>
      </c>
      <c r="H2961">
        <v>58.07</v>
      </c>
      <c r="I2961">
        <v>1425</v>
      </c>
      <c r="J2961">
        <v>61</v>
      </c>
      <c r="K2961" s="17">
        <f t="shared" si="369"/>
        <v>2897.5</v>
      </c>
      <c r="L2961" t="str">
        <f t="shared" si="370"/>
        <v>Sufficuent Stock</v>
      </c>
      <c r="P2961" s="19">
        <f t="shared" si="371"/>
        <v>0</v>
      </c>
      <c r="R2961" s="19">
        <f t="shared" si="368"/>
        <v>0</v>
      </c>
      <c r="T2961" s="19">
        <f t="shared" si="372"/>
        <v>83519.25</v>
      </c>
      <c r="U2961" s="19">
        <f t="shared" si="373"/>
        <v>82749.75</v>
      </c>
      <c r="V2961" s="21">
        <f t="shared" si="374"/>
        <v>-769.5</v>
      </c>
      <c r="W2961" s="18">
        <f t="shared" si="375"/>
        <v>-9.2134448046408465E-3</v>
      </c>
    </row>
    <row r="2962" spans="1:23" x14ac:dyDescent="0.3">
      <c r="A2962" t="s">
        <v>404</v>
      </c>
      <c r="B2962" t="s">
        <v>1025</v>
      </c>
      <c r="C2962" t="s">
        <v>37</v>
      </c>
      <c r="D2962" t="s">
        <v>20</v>
      </c>
      <c r="E2962">
        <v>4917</v>
      </c>
      <c r="F2962">
        <v>76.34</v>
      </c>
      <c r="G2962">
        <v>67.87</v>
      </c>
      <c r="H2962">
        <v>76.34</v>
      </c>
      <c r="I2962">
        <v>3671</v>
      </c>
      <c r="J2962">
        <v>23</v>
      </c>
      <c r="K2962" s="17">
        <f t="shared" si="369"/>
        <v>2814.4333333333334</v>
      </c>
      <c r="L2962" t="str">
        <f t="shared" si="370"/>
        <v>Sufficuent Stock</v>
      </c>
      <c r="P2962" s="19">
        <f t="shared" si="371"/>
        <v>0</v>
      </c>
      <c r="R2962" s="19">
        <f t="shared" si="368"/>
        <v>0</v>
      </c>
      <c r="T2962" s="19">
        <f t="shared" si="372"/>
        <v>249150.77000000002</v>
      </c>
      <c r="U2962" s="19">
        <f t="shared" si="373"/>
        <v>280244.14</v>
      </c>
      <c r="V2962" s="21">
        <f t="shared" si="374"/>
        <v>31093.369999999995</v>
      </c>
      <c r="W2962" s="18">
        <f t="shared" si="375"/>
        <v>0.12479740680713125</v>
      </c>
    </row>
    <row r="2963" spans="1:23" x14ac:dyDescent="0.3">
      <c r="A2963" t="s">
        <v>393</v>
      </c>
      <c r="B2963" t="s">
        <v>610</v>
      </c>
      <c r="C2963" t="s">
        <v>37</v>
      </c>
      <c r="D2963" t="s">
        <v>20</v>
      </c>
      <c r="E2963">
        <v>4918</v>
      </c>
      <c r="F2963">
        <v>95.86</v>
      </c>
      <c r="G2963">
        <v>84.83</v>
      </c>
      <c r="H2963">
        <v>95.86</v>
      </c>
      <c r="I2963">
        <v>909</v>
      </c>
      <c r="J2963">
        <v>14</v>
      </c>
      <c r="K2963" s="17">
        <f t="shared" si="369"/>
        <v>424.2</v>
      </c>
      <c r="L2963" t="str">
        <f t="shared" si="370"/>
        <v>Sufficuent Stock</v>
      </c>
      <c r="P2963" s="19">
        <f t="shared" si="371"/>
        <v>0</v>
      </c>
      <c r="R2963" s="19">
        <f t="shared" si="368"/>
        <v>0</v>
      </c>
      <c r="T2963" s="19">
        <f t="shared" si="372"/>
        <v>77110.47</v>
      </c>
      <c r="U2963" s="19">
        <f t="shared" si="373"/>
        <v>87136.74</v>
      </c>
      <c r="V2963" s="21">
        <f t="shared" si="374"/>
        <v>10026.270000000004</v>
      </c>
      <c r="W2963" s="18">
        <f t="shared" si="375"/>
        <v>0.13002475539313926</v>
      </c>
    </row>
    <row r="2964" spans="1:23" x14ac:dyDescent="0.3">
      <c r="A2964" t="s">
        <v>70</v>
      </c>
      <c r="B2964" t="s">
        <v>228</v>
      </c>
      <c r="C2964" t="s">
        <v>23</v>
      </c>
      <c r="D2964" t="s">
        <v>26</v>
      </c>
      <c r="E2964">
        <v>4920</v>
      </c>
      <c r="F2964">
        <v>392.48</v>
      </c>
      <c r="G2964">
        <v>371.02</v>
      </c>
      <c r="H2964">
        <v>392.48</v>
      </c>
      <c r="I2964">
        <v>3560</v>
      </c>
      <c r="J2964">
        <v>38</v>
      </c>
      <c r="K2964" s="17">
        <f t="shared" si="369"/>
        <v>4509.3333333333339</v>
      </c>
      <c r="L2964" t="str">
        <f t="shared" si="370"/>
        <v>Sufficuent Stock</v>
      </c>
      <c r="P2964" s="19">
        <f t="shared" si="371"/>
        <v>0</v>
      </c>
      <c r="R2964" s="19">
        <f t="shared" si="368"/>
        <v>0</v>
      </c>
      <c r="T2964" s="19">
        <f t="shared" si="372"/>
        <v>1320831.2</v>
      </c>
      <c r="U2964" s="19">
        <f t="shared" si="373"/>
        <v>1397228.8</v>
      </c>
      <c r="V2964" s="21">
        <f t="shared" si="374"/>
        <v>76397.600000000093</v>
      </c>
      <c r="W2964" s="18">
        <f t="shared" si="375"/>
        <v>5.7840547679370455E-2</v>
      </c>
    </row>
    <row r="2965" spans="1:23" x14ac:dyDescent="0.3">
      <c r="A2965" t="s">
        <v>70</v>
      </c>
      <c r="B2965" t="s">
        <v>461</v>
      </c>
      <c r="C2965" t="s">
        <v>12</v>
      </c>
      <c r="D2965" t="s">
        <v>69</v>
      </c>
      <c r="E2965">
        <v>4920</v>
      </c>
      <c r="F2965">
        <v>180.49</v>
      </c>
      <c r="G2965">
        <v>162.22</v>
      </c>
      <c r="H2965">
        <v>180.49</v>
      </c>
      <c r="I2965">
        <v>1165</v>
      </c>
      <c r="J2965">
        <v>29</v>
      </c>
      <c r="K2965" s="17">
        <f t="shared" si="369"/>
        <v>1126.1666666666667</v>
      </c>
      <c r="L2965" t="str">
        <f t="shared" si="370"/>
        <v>Sufficuent Stock</v>
      </c>
      <c r="P2965" s="19">
        <f t="shared" si="371"/>
        <v>0</v>
      </c>
      <c r="R2965" s="19">
        <f t="shared" si="368"/>
        <v>0</v>
      </c>
      <c r="T2965" s="19">
        <f t="shared" si="372"/>
        <v>188986.3</v>
      </c>
      <c r="U2965" s="19">
        <f t="shared" si="373"/>
        <v>210270.85</v>
      </c>
      <c r="V2965" s="21">
        <f t="shared" si="374"/>
        <v>21284.550000000017</v>
      </c>
      <c r="W2965" s="18">
        <f t="shared" si="375"/>
        <v>0.11262483047712993</v>
      </c>
    </row>
    <row r="2966" spans="1:23" x14ac:dyDescent="0.3">
      <c r="A2966" t="s">
        <v>2107</v>
      </c>
      <c r="B2966" t="s">
        <v>2423</v>
      </c>
      <c r="C2966" t="s">
        <v>23</v>
      </c>
      <c r="D2966" t="s">
        <v>69</v>
      </c>
      <c r="E2966">
        <v>4923</v>
      </c>
      <c r="F2966">
        <v>35.15</v>
      </c>
      <c r="G2966">
        <v>35.42</v>
      </c>
      <c r="H2966">
        <v>35.15</v>
      </c>
      <c r="I2966">
        <v>982</v>
      </c>
      <c r="J2966">
        <v>73</v>
      </c>
      <c r="K2966" s="17">
        <f t="shared" si="369"/>
        <v>2389.5333333333333</v>
      </c>
      <c r="L2966" t="str">
        <f t="shared" si="370"/>
        <v>Sufficuent Stock</v>
      </c>
      <c r="P2966" s="19">
        <f t="shared" si="371"/>
        <v>0</v>
      </c>
      <c r="R2966" s="19">
        <f t="shared" si="368"/>
        <v>0</v>
      </c>
      <c r="T2966" s="19">
        <f t="shared" si="372"/>
        <v>34782.44</v>
      </c>
      <c r="U2966" s="19">
        <f t="shared" si="373"/>
        <v>34517.299999999996</v>
      </c>
      <c r="V2966" s="21">
        <f t="shared" si="374"/>
        <v>-265.14000000000669</v>
      </c>
      <c r="W2966" s="18">
        <f t="shared" si="375"/>
        <v>-7.6228119706382496E-3</v>
      </c>
    </row>
    <row r="2967" spans="1:23" x14ac:dyDescent="0.3">
      <c r="A2967" t="s">
        <v>434</v>
      </c>
      <c r="B2967" t="s">
        <v>1665</v>
      </c>
      <c r="C2967" t="s">
        <v>37</v>
      </c>
      <c r="D2967" t="s">
        <v>17</v>
      </c>
      <c r="E2967">
        <v>4924</v>
      </c>
      <c r="F2967">
        <v>78.58</v>
      </c>
      <c r="G2967">
        <v>84.28</v>
      </c>
      <c r="H2967">
        <v>78.58</v>
      </c>
      <c r="I2967">
        <v>3050</v>
      </c>
      <c r="J2967">
        <v>27</v>
      </c>
      <c r="K2967" s="17">
        <f t="shared" si="369"/>
        <v>2745</v>
      </c>
      <c r="L2967" t="str">
        <f t="shared" si="370"/>
        <v>Sufficuent Stock</v>
      </c>
      <c r="P2967" s="19">
        <f t="shared" si="371"/>
        <v>0</v>
      </c>
      <c r="R2967" s="19">
        <f t="shared" si="368"/>
        <v>0</v>
      </c>
      <c r="T2967" s="19">
        <f t="shared" si="372"/>
        <v>257054</v>
      </c>
      <c r="U2967" s="19">
        <f t="shared" si="373"/>
        <v>239669</v>
      </c>
      <c r="V2967" s="21">
        <f t="shared" si="374"/>
        <v>-17385</v>
      </c>
      <c r="W2967" s="18">
        <f t="shared" si="375"/>
        <v>-6.7631703844328428E-2</v>
      </c>
    </row>
    <row r="2968" spans="1:23" x14ac:dyDescent="0.3">
      <c r="A2968" t="s">
        <v>113</v>
      </c>
      <c r="B2968" t="s">
        <v>2775</v>
      </c>
      <c r="C2968" t="s">
        <v>12</v>
      </c>
      <c r="D2968" t="s">
        <v>17</v>
      </c>
      <c r="E2968">
        <v>4925</v>
      </c>
      <c r="F2968">
        <v>231.71</v>
      </c>
      <c r="G2968">
        <v>246.43</v>
      </c>
      <c r="H2968">
        <v>231.71</v>
      </c>
      <c r="I2968">
        <v>297</v>
      </c>
      <c r="J2968">
        <v>24</v>
      </c>
      <c r="K2968" s="17">
        <f t="shared" si="369"/>
        <v>237.60000000000002</v>
      </c>
      <c r="L2968" t="str">
        <f t="shared" si="370"/>
        <v>Sufficuent Stock</v>
      </c>
      <c r="P2968" s="19">
        <f t="shared" si="371"/>
        <v>0</v>
      </c>
      <c r="R2968" s="19">
        <f t="shared" si="368"/>
        <v>0</v>
      </c>
      <c r="T2968" s="19">
        <f t="shared" si="372"/>
        <v>73189.710000000006</v>
      </c>
      <c r="U2968" s="19">
        <f t="shared" si="373"/>
        <v>68817.87</v>
      </c>
      <c r="V2968" s="21">
        <f t="shared" si="374"/>
        <v>-4371.8400000000111</v>
      </c>
      <c r="W2968" s="18">
        <f t="shared" si="375"/>
        <v>-5.9732987055147652E-2</v>
      </c>
    </row>
    <row r="2969" spans="1:23" x14ac:dyDescent="0.3">
      <c r="A2969" t="s">
        <v>1531</v>
      </c>
      <c r="B2969" t="s">
        <v>2431</v>
      </c>
      <c r="C2969" t="s">
        <v>16</v>
      </c>
      <c r="D2969" t="s">
        <v>69</v>
      </c>
      <c r="E2969">
        <v>4926</v>
      </c>
      <c r="F2969">
        <v>418.15</v>
      </c>
      <c r="G2969">
        <v>452.82</v>
      </c>
      <c r="H2969">
        <v>418.15</v>
      </c>
      <c r="I2969">
        <v>1947</v>
      </c>
      <c r="J2969">
        <v>62</v>
      </c>
      <c r="K2969" s="17">
        <f t="shared" si="369"/>
        <v>4023.8</v>
      </c>
      <c r="L2969" t="str">
        <f t="shared" si="370"/>
        <v>Sufficuent Stock</v>
      </c>
      <c r="P2969" s="19">
        <f t="shared" si="371"/>
        <v>0</v>
      </c>
      <c r="R2969" s="19">
        <f t="shared" si="368"/>
        <v>0</v>
      </c>
      <c r="T2969" s="19">
        <f t="shared" si="372"/>
        <v>881640.54</v>
      </c>
      <c r="U2969" s="19">
        <f t="shared" si="373"/>
        <v>814138.04999999993</v>
      </c>
      <c r="V2969" s="21">
        <f t="shared" si="374"/>
        <v>-67502.490000000107</v>
      </c>
      <c r="W2969" s="18">
        <f t="shared" si="375"/>
        <v>-7.6564639371052637E-2</v>
      </c>
    </row>
    <row r="2970" spans="1:23" x14ac:dyDescent="0.3">
      <c r="A2970" t="s">
        <v>884</v>
      </c>
      <c r="B2970" t="s">
        <v>3199</v>
      </c>
      <c r="C2970" t="s">
        <v>23</v>
      </c>
      <c r="D2970" t="s">
        <v>69</v>
      </c>
      <c r="E2970">
        <v>4928</v>
      </c>
      <c r="F2970">
        <v>70.78</v>
      </c>
      <c r="G2970">
        <v>76.19</v>
      </c>
      <c r="H2970">
        <v>70.78</v>
      </c>
      <c r="I2970">
        <v>315</v>
      </c>
      <c r="J2970">
        <v>57</v>
      </c>
      <c r="K2970" s="17">
        <f t="shared" si="369"/>
        <v>598.5</v>
      </c>
      <c r="L2970" t="str">
        <f t="shared" si="370"/>
        <v>Sufficuent Stock</v>
      </c>
      <c r="P2970" s="19">
        <f t="shared" si="371"/>
        <v>0</v>
      </c>
      <c r="R2970" s="19">
        <f t="shared" si="368"/>
        <v>0</v>
      </c>
      <c r="T2970" s="19">
        <f t="shared" si="372"/>
        <v>23999.85</v>
      </c>
      <c r="U2970" s="19">
        <f t="shared" si="373"/>
        <v>22295.7</v>
      </c>
      <c r="V2970" s="21">
        <f t="shared" si="374"/>
        <v>-1704.1499999999978</v>
      </c>
      <c r="W2970" s="18">
        <f t="shared" si="375"/>
        <v>-7.1006693791836106E-2</v>
      </c>
    </row>
    <row r="2971" spans="1:23" x14ac:dyDescent="0.3">
      <c r="A2971" t="s">
        <v>100</v>
      </c>
      <c r="B2971" t="s">
        <v>101</v>
      </c>
      <c r="C2971" t="s">
        <v>50</v>
      </c>
      <c r="D2971" t="s">
        <v>26</v>
      </c>
      <c r="E2971">
        <v>4928</v>
      </c>
      <c r="F2971">
        <v>96.93</v>
      </c>
      <c r="G2971">
        <v>83.78</v>
      </c>
      <c r="H2971">
        <v>96.93</v>
      </c>
      <c r="I2971">
        <v>696</v>
      </c>
      <c r="J2971">
        <v>61</v>
      </c>
      <c r="K2971" s="17">
        <f t="shared" si="369"/>
        <v>1415.2</v>
      </c>
      <c r="L2971" t="str">
        <f t="shared" si="370"/>
        <v>Sufficuent Stock</v>
      </c>
      <c r="P2971" s="19">
        <f t="shared" si="371"/>
        <v>0</v>
      </c>
      <c r="R2971" s="19">
        <f t="shared" si="368"/>
        <v>0</v>
      </c>
      <c r="T2971" s="19">
        <f t="shared" si="372"/>
        <v>58310.879999999997</v>
      </c>
      <c r="U2971" s="19">
        <f t="shared" si="373"/>
        <v>67463.28</v>
      </c>
      <c r="V2971" s="21">
        <f t="shared" si="374"/>
        <v>9152.4000000000015</v>
      </c>
      <c r="W2971" s="18">
        <f t="shared" si="375"/>
        <v>0.15695870136070664</v>
      </c>
    </row>
    <row r="2972" spans="1:23" x14ac:dyDescent="0.3">
      <c r="A2972" t="s">
        <v>344</v>
      </c>
      <c r="B2972" t="s">
        <v>1384</v>
      </c>
      <c r="C2972" t="s">
        <v>12</v>
      </c>
      <c r="D2972" t="s">
        <v>26</v>
      </c>
      <c r="E2972">
        <v>4929</v>
      </c>
      <c r="F2972">
        <v>275.83999999999997</v>
      </c>
      <c r="G2972">
        <v>297.95</v>
      </c>
      <c r="H2972">
        <v>275.83999999999997</v>
      </c>
      <c r="I2972">
        <v>1836</v>
      </c>
      <c r="J2972">
        <v>56</v>
      </c>
      <c r="K2972" s="17">
        <f t="shared" si="369"/>
        <v>3427.2000000000003</v>
      </c>
      <c r="L2972" t="str">
        <f t="shared" si="370"/>
        <v>Sufficuent Stock</v>
      </c>
      <c r="P2972" s="19">
        <f t="shared" si="371"/>
        <v>0</v>
      </c>
      <c r="R2972" s="19">
        <f t="shared" si="368"/>
        <v>0</v>
      </c>
      <c r="T2972" s="19">
        <f t="shared" si="372"/>
        <v>547036.19999999995</v>
      </c>
      <c r="U2972" s="19">
        <f t="shared" si="373"/>
        <v>506442.23999999993</v>
      </c>
      <c r="V2972" s="21">
        <f t="shared" si="374"/>
        <v>-40593.960000000021</v>
      </c>
      <c r="W2972" s="18">
        <f t="shared" si="375"/>
        <v>-7.4207081725121707E-2</v>
      </c>
    </row>
    <row r="2973" spans="1:23" x14ac:dyDescent="0.3">
      <c r="A2973" t="s">
        <v>159</v>
      </c>
      <c r="B2973" t="s">
        <v>160</v>
      </c>
      <c r="C2973" t="s">
        <v>23</v>
      </c>
      <c r="D2973" t="s">
        <v>26</v>
      </c>
      <c r="E2973">
        <v>4932</v>
      </c>
      <c r="F2973">
        <v>486.9</v>
      </c>
      <c r="G2973">
        <v>415.6</v>
      </c>
      <c r="H2973">
        <v>486.9</v>
      </c>
      <c r="I2973">
        <v>2327</v>
      </c>
      <c r="J2973">
        <v>32</v>
      </c>
      <c r="K2973" s="17">
        <f t="shared" si="369"/>
        <v>2482.1333333333332</v>
      </c>
      <c r="L2973" t="str">
        <f t="shared" si="370"/>
        <v>Sufficuent Stock</v>
      </c>
      <c r="P2973" s="19">
        <f t="shared" si="371"/>
        <v>0</v>
      </c>
      <c r="R2973" s="19">
        <f t="shared" si="368"/>
        <v>0</v>
      </c>
      <c r="T2973" s="19">
        <f t="shared" si="372"/>
        <v>967101.20000000007</v>
      </c>
      <c r="U2973" s="19">
        <f t="shared" si="373"/>
        <v>1133016.3</v>
      </c>
      <c r="V2973" s="21">
        <f t="shared" si="374"/>
        <v>165915.09999999998</v>
      </c>
      <c r="W2973" s="18">
        <f t="shared" si="375"/>
        <v>0.17155919153031757</v>
      </c>
    </row>
    <row r="2974" spans="1:23" x14ac:dyDescent="0.3">
      <c r="A2974" t="s">
        <v>105</v>
      </c>
      <c r="B2974" t="s">
        <v>2254</v>
      </c>
      <c r="C2974" t="s">
        <v>50</v>
      </c>
      <c r="D2974" t="s">
        <v>69</v>
      </c>
      <c r="E2974">
        <v>4932</v>
      </c>
      <c r="F2974">
        <v>491.26</v>
      </c>
      <c r="G2974">
        <v>416.41</v>
      </c>
      <c r="H2974">
        <v>491.26</v>
      </c>
      <c r="I2974">
        <v>1601</v>
      </c>
      <c r="J2974">
        <v>32</v>
      </c>
      <c r="K2974" s="17">
        <f t="shared" si="369"/>
        <v>1707.7333333333333</v>
      </c>
      <c r="L2974" t="str">
        <f t="shared" si="370"/>
        <v>Sufficuent Stock</v>
      </c>
      <c r="P2974" s="19">
        <f t="shared" si="371"/>
        <v>0</v>
      </c>
      <c r="R2974" s="19">
        <f t="shared" si="368"/>
        <v>0</v>
      </c>
      <c r="T2974" s="19">
        <f t="shared" si="372"/>
        <v>666672.41</v>
      </c>
      <c r="U2974" s="19">
        <f t="shared" si="373"/>
        <v>786507.26</v>
      </c>
      <c r="V2974" s="21">
        <f t="shared" si="374"/>
        <v>119834.84999999998</v>
      </c>
      <c r="W2974" s="18">
        <f t="shared" si="375"/>
        <v>0.1797507264474916</v>
      </c>
    </row>
    <row r="2975" spans="1:23" x14ac:dyDescent="0.3">
      <c r="A2975" t="s">
        <v>387</v>
      </c>
      <c r="B2975" t="s">
        <v>1214</v>
      </c>
      <c r="C2975" t="s">
        <v>37</v>
      </c>
      <c r="D2975" t="s">
        <v>69</v>
      </c>
      <c r="E2975">
        <v>4932</v>
      </c>
      <c r="F2975">
        <v>121.72</v>
      </c>
      <c r="G2975">
        <v>115.43</v>
      </c>
      <c r="H2975">
        <v>121.72</v>
      </c>
      <c r="I2975">
        <v>1448</v>
      </c>
      <c r="J2975">
        <v>21</v>
      </c>
      <c r="K2975" s="17">
        <f t="shared" si="369"/>
        <v>1013.6</v>
      </c>
      <c r="L2975" t="str">
        <f t="shared" si="370"/>
        <v>Sufficuent Stock</v>
      </c>
      <c r="P2975" s="19">
        <f t="shared" si="371"/>
        <v>0</v>
      </c>
      <c r="R2975" s="19">
        <f t="shared" si="368"/>
        <v>0</v>
      </c>
      <c r="T2975" s="19">
        <f t="shared" si="372"/>
        <v>167142.64000000001</v>
      </c>
      <c r="U2975" s="19">
        <f t="shared" si="373"/>
        <v>176250.56</v>
      </c>
      <c r="V2975" s="21">
        <f t="shared" si="374"/>
        <v>9107.9199999999837</v>
      </c>
      <c r="W2975" s="18">
        <f t="shared" si="375"/>
        <v>5.4491899852724492E-2</v>
      </c>
    </row>
    <row r="2976" spans="1:23" x14ac:dyDescent="0.3">
      <c r="A2976" t="s">
        <v>129</v>
      </c>
      <c r="B2976" t="s">
        <v>2886</v>
      </c>
      <c r="C2976" t="s">
        <v>16</v>
      </c>
      <c r="D2976" t="s">
        <v>13</v>
      </c>
      <c r="E2976">
        <v>4933</v>
      </c>
      <c r="F2976">
        <v>184.17</v>
      </c>
      <c r="G2976">
        <v>163.81</v>
      </c>
      <c r="H2976">
        <v>184.17</v>
      </c>
      <c r="I2976">
        <v>3441</v>
      </c>
      <c r="J2976">
        <v>81</v>
      </c>
      <c r="K2976" s="17">
        <f t="shared" si="369"/>
        <v>9290.7000000000007</v>
      </c>
      <c r="L2976" t="str">
        <f t="shared" si="370"/>
        <v>High Risk</v>
      </c>
      <c r="P2976" s="19">
        <f t="shared" si="371"/>
        <v>4358</v>
      </c>
      <c r="R2976" s="19">
        <f t="shared" si="368"/>
        <v>802612.86</v>
      </c>
      <c r="T2976" s="19">
        <f t="shared" si="372"/>
        <v>563670.21</v>
      </c>
      <c r="U2976" s="19">
        <f t="shared" si="373"/>
        <v>633728.97</v>
      </c>
      <c r="V2976" s="21">
        <f t="shared" si="374"/>
        <v>70058.760000000009</v>
      </c>
      <c r="W2976" s="18">
        <f t="shared" si="375"/>
        <v>0.12429033636530129</v>
      </c>
    </row>
    <row r="2977" spans="1:23" x14ac:dyDescent="0.3">
      <c r="A2977" t="s">
        <v>24</v>
      </c>
      <c r="B2977" t="s">
        <v>777</v>
      </c>
      <c r="C2977" t="s">
        <v>12</v>
      </c>
      <c r="D2977" t="s">
        <v>69</v>
      </c>
      <c r="E2977">
        <v>4933</v>
      </c>
      <c r="F2977">
        <v>29.63</v>
      </c>
      <c r="G2977">
        <v>24.99</v>
      </c>
      <c r="H2977">
        <v>29.63</v>
      </c>
      <c r="I2977">
        <v>2780</v>
      </c>
      <c r="J2977">
        <v>86</v>
      </c>
      <c r="K2977" s="17">
        <f t="shared" si="369"/>
        <v>7969.3333333333339</v>
      </c>
      <c r="L2977" t="str">
        <f t="shared" si="370"/>
        <v>High Risk</v>
      </c>
      <c r="P2977" s="19">
        <f t="shared" si="371"/>
        <v>3037</v>
      </c>
      <c r="R2977" s="19">
        <f t="shared" si="368"/>
        <v>89986.31</v>
      </c>
      <c r="T2977" s="19">
        <f t="shared" si="372"/>
        <v>69472.2</v>
      </c>
      <c r="U2977" s="19">
        <f t="shared" si="373"/>
        <v>82371.399999999994</v>
      </c>
      <c r="V2977" s="21">
        <f t="shared" si="374"/>
        <v>12899.199999999997</v>
      </c>
      <c r="W2977" s="18">
        <f t="shared" si="375"/>
        <v>0.18567426970788312</v>
      </c>
    </row>
    <row r="2978" spans="1:23" x14ac:dyDescent="0.3">
      <c r="A2978" t="s">
        <v>312</v>
      </c>
      <c r="B2978" t="s">
        <v>313</v>
      </c>
      <c r="C2978" t="s">
        <v>23</v>
      </c>
      <c r="D2978" t="s">
        <v>20</v>
      </c>
      <c r="E2978">
        <v>4945</v>
      </c>
      <c r="F2978">
        <v>501.97</v>
      </c>
      <c r="G2978">
        <v>471.65</v>
      </c>
      <c r="H2978">
        <v>501.97</v>
      </c>
      <c r="I2978">
        <v>3357</v>
      </c>
      <c r="J2978">
        <v>30</v>
      </c>
      <c r="K2978" s="17">
        <f t="shared" si="369"/>
        <v>3357</v>
      </c>
      <c r="L2978" t="str">
        <f t="shared" si="370"/>
        <v>Sufficuent Stock</v>
      </c>
      <c r="P2978" s="19">
        <f t="shared" si="371"/>
        <v>0</v>
      </c>
      <c r="R2978" s="19">
        <f t="shared" si="368"/>
        <v>0</v>
      </c>
      <c r="T2978" s="19">
        <f t="shared" si="372"/>
        <v>1583329.0499999998</v>
      </c>
      <c r="U2978" s="19">
        <f t="shared" si="373"/>
        <v>1685113.29</v>
      </c>
      <c r="V2978" s="21">
        <f t="shared" si="374"/>
        <v>101784.24000000022</v>
      </c>
      <c r="W2978" s="18">
        <f t="shared" si="375"/>
        <v>6.4284957065620846E-2</v>
      </c>
    </row>
    <row r="2979" spans="1:23" x14ac:dyDescent="0.3">
      <c r="A2979" t="s">
        <v>1113</v>
      </c>
      <c r="B2979" t="s">
        <v>3240</v>
      </c>
      <c r="C2979" t="s">
        <v>50</v>
      </c>
      <c r="D2979" t="s">
        <v>26</v>
      </c>
      <c r="E2979">
        <v>4946</v>
      </c>
      <c r="F2979">
        <v>484.77</v>
      </c>
      <c r="G2979">
        <v>485.16</v>
      </c>
      <c r="H2979">
        <v>484.77</v>
      </c>
      <c r="I2979">
        <v>2693</v>
      </c>
      <c r="J2979">
        <v>84</v>
      </c>
      <c r="K2979" s="17">
        <f t="shared" si="369"/>
        <v>7540.4</v>
      </c>
      <c r="L2979" t="str">
        <f t="shared" si="370"/>
        <v>High Risk</v>
      </c>
      <c r="P2979" s="19">
        <f t="shared" si="371"/>
        <v>2595</v>
      </c>
      <c r="R2979" s="19">
        <f t="shared" si="368"/>
        <v>1257978.1499999999</v>
      </c>
      <c r="T2979" s="19">
        <f t="shared" si="372"/>
        <v>1306535.8800000001</v>
      </c>
      <c r="U2979" s="19">
        <f t="shared" si="373"/>
        <v>1305485.6099999999</v>
      </c>
      <c r="V2979" s="21">
        <f t="shared" si="374"/>
        <v>-1050.2700000002515</v>
      </c>
      <c r="W2979" s="18">
        <f t="shared" si="375"/>
        <v>-8.0385852090051398E-4</v>
      </c>
    </row>
    <row r="2980" spans="1:23" x14ac:dyDescent="0.3">
      <c r="A2980" t="s">
        <v>308</v>
      </c>
      <c r="B2980" t="s">
        <v>1844</v>
      </c>
      <c r="C2980" t="s">
        <v>23</v>
      </c>
      <c r="D2980" t="s">
        <v>20</v>
      </c>
      <c r="E2980">
        <v>4951</v>
      </c>
      <c r="F2980">
        <v>487.29</v>
      </c>
      <c r="G2980">
        <v>476.4</v>
      </c>
      <c r="H2980">
        <v>487.29</v>
      </c>
      <c r="I2980">
        <v>3899</v>
      </c>
      <c r="J2980">
        <v>88</v>
      </c>
      <c r="K2980" s="17">
        <f t="shared" si="369"/>
        <v>11437.066666666668</v>
      </c>
      <c r="L2980" t="str">
        <f t="shared" si="370"/>
        <v>High Risk</v>
      </c>
      <c r="P2980" s="19">
        <f t="shared" si="371"/>
        <v>6487</v>
      </c>
      <c r="R2980" s="19">
        <f t="shared" si="368"/>
        <v>3161050.23</v>
      </c>
      <c r="T2980" s="19">
        <f t="shared" si="372"/>
        <v>1857483.5999999999</v>
      </c>
      <c r="U2980" s="19">
        <f t="shared" si="373"/>
        <v>1899943.7100000002</v>
      </c>
      <c r="V2980" s="21">
        <f t="shared" si="374"/>
        <v>42460.110000000335</v>
      </c>
      <c r="W2980" s="18">
        <f t="shared" si="375"/>
        <v>2.2858942065491366E-2</v>
      </c>
    </row>
    <row r="2981" spans="1:23" x14ac:dyDescent="0.3">
      <c r="A2981" t="s">
        <v>477</v>
      </c>
      <c r="B2981" t="s">
        <v>2688</v>
      </c>
      <c r="C2981" t="s">
        <v>37</v>
      </c>
      <c r="D2981" t="s">
        <v>26</v>
      </c>
      <c r="E2981">
        <v>4954</v>
      </c>
      <c r="F2981">
        <v>189.57</v>
      </c>
      <c r="G2981">
        <v>191.87</v>
      </c>
      <c r="H2981">
        <v>189.57</v>
      </c>
      <c r="I2981">
        <v>575</v>
      </c>
      <c r="J2981">
        <v>57</v>
      </c>
      <c r="K2981" s="17">
        <f t="shared" si="369"/>
        <v>1092.5</v>
      </c>
      <c r="L2981" t="str">
        <f t="shared" si="370"/>
        <v>Sufficuent Stock</v>
      </c>
      <c r="P2981" s="19">
        <f t="shared" si="371"/>
        <v>0</v>
      </c>
      <c r="R2981" s="19">
        <f t="shared" si="368"/>
        <v>0</v>
      </c>
      <c r="T2981" s="19">
        <f t="shared" si="372"/>
        <v>110325.25</v>
      </c>
      <c r="U2981" s="19">
        <f t="shared" si="373"/>
        <v>109002.75</v>
      </c>
      <c r="V2981" s="21">
        <f t="shared" si="374"/>
        <v>-1322.5</v>
      </c>
      <c r="W2981" s="18">
        <f t="shared" si="375"/>
        <v>-1.1987283056235993E-2</v>
      </c>
    </row>
    <row r="2982" spans="1:23" x14ac:dyDescent="0.3">
      <c r="A2982" t="s">
        <v>243</v>
      </c>
      <c r="B2982" t="s">
        <v>2531</v>
      </c>
      <c r="C2982" t="s">
        <v>37</v>
      </c>
      <c r="D2982" t="s">
        <v>13</v>
      </c>
      <c r="E2982">
        <v>4954</v>
      </c>
      <c r="F2982">
        <v>222.39</v>
      </c>
      <c r="G2982">
        <v>194.04</v>
      </c>
      <c r="H2982">
        <v>222.39</v>
      </c>
      <c r="I2982">
        <v>3589</v>
      </c>
      <c r="J2982">
        <v>25</v>
      </c>
      <c r="K2982" s="17">
        <f t="shared" si="369"/>
        <v>2990.8333333333335</v>
      </c>
      <c r="L2982" t="str">
        <f t="shared" si="370"/>
        <v>Sufficuent Stock</v>
      </c>
      <c r="P2982" s="19">
        <f t="shared" si="371"/>
        <v>0</v>
      </c>
      <c r="R2982" s="19">
        <f t="shared" si="368"/>
        <v>0</v>
      </c>
      <c r="T2982" s="19">
        <f t="shared" si="372"/>
        <v>696409.55999999994</v>
      </c>
      <c r="U2982" s="19">
        <f t="shared" si="373"/>
        <v>798157.71</v>
      </c>
      <c r="V2982" s="21">
        <f t="shared" si="374"/>
        <v>101748.15000000002</v>
      </c>
      <c r="W2982" s="18">
        <f t="shared" si="375"/>
        <v>0.14610389610389615</v>
      </c>
    </row>
    <row r="2983" spans="1:23" x14ac:dyDescent="0.3">
      <c r="A2983" t="s">
        <v>38</v>
      </c>
      <c r="B2983" t="s">
        <v>1711</v>
      </c>
      <c r="C2983" t="s">
        <v>16</v>
      </c>
      <c r="D2983" t="s">
        <v>20</v>
      </c>
      <c r="E2983">
        <v>4958</v>
      </c>
      <c r="F2983">
        <v>335.07</v>
      </c>
      <c r="G2983">
        <v>311.26</v>
      </c>
      <c r="H2983">
        <v>335.07</v>
      </c>
      <c r="I2983">
        <v>2556</v>
      </c>
      <c r="J2983">
        <v>24</v>
      </c>
      <c r="K2983" s="17">
        <f t="shared" si="369"/>
        <v>2044.8000000000002</v>
      </c>
      <c r="L2983" t="str">
        <f t="shared" si="370"/>
        <v>Sufficuent Stock</v>
      </c>
      <c r="P2983" s="19">
        <f t="shared" si="371"/>
        <v>0</v>
      </c>
      <c r="R2983" s="19">
        <f t="shared" si="368"/>
        <v>0</v>
      </c>
      <c r="T2983" s="19">
        <f t="shared" si="372"/>
        <v>795580.55999999994</v>
      </c>
      <c r="U2983" s="19">
        <f t="shared" si="373"/>
        <v>856438.91999999993</v>
      </c>
      <c r="V2983" s="21">
        <f t="shared" si="374"/>
        <v>60858.359999999986</v>
      </c>
      <c r="W2983" s="18">
        <f t="shared" si="375"/>
        <v>7.649553428002312E-2</v>
      </c>
    </row>
    <row r="2984" spans="1:23" x14ac:dyDescent="0.3">
      <c r="A2984" t="s">
        <v>391</v>
      </c>
      <c r="B2984" t="s">
        <v>2951</v>
      </c>
      <c r="C2984" t="s">
        <v>23</v>
      </c>
      <c r="D2984" t="s">
        <v>13</v>
      </c>
      <c r="E2984">
        <v>4958</v>
      </c>
      <c r="F2984">
        <v>337.23</v>
      </c>
      <c r="G2984">
        <v>282.39</v>
      </c>
      <c r="H2984">
        <v>337.23</v>
      </c>
      <c r="I2984">
        <v>3180</v>
      </c>
      <c r="J2984">
        <v>69</v>
      </c>
      <c r="K2984" s="17">
        <f t="shared" si="369"/>
        <v>7314</v>
      </c>
      <c r="L2984" t="str">
        <f t="shared" si="370"/>
        <v>High Risk</v>
      </c>
      <c r="P2984" s="19">
        <f t="shared" si="371"/>
        <v>2356</v>
      </c>
      <c r="R2984" s="19">
        <f t="shared" si="368"/>
        <v>794513.88</v>
      </c>
      <c r="T2984" s="19">
        <f t="shared" si="372"/>
        <v>898000.2</v>
      </c>
      <c r="U2984" s="19">
        <f t="shared" si="373"/>
        <v>1072391.4000000001</v>
      </c>
      <c r="V2984" s="21">
        <f t="shared" si="374"/>
        <v>174391.20000000019</v>
      </c>
      <c r="W2984" s="18">
        <f t="shared" si="375"/>
        <v>0.19419951131414023</v>
      </c>
    </row>
    <row r="2985" spans="1:23" x14ac:dyDescent="0.3">
      <c r="A2985" t="s">
        <v>438</v>
      </c>
      <c r="B2985" t="s">
        <v>1193</v>
      </c>
      <c r="C2985" t="s">
        <v>50</v>
      </c>
      <c r="D2985" t="s">
        <v>69</v>
      </c>
      <c r="E2985">
        <v>4960</v>
      </c>
      <c r="F2985">
        <v>293.7</v>
      </c>
      <c r="G2985">
        <v>255.9</v>
      </c>
      <c r="H2985">
        <v>293.7</v>
      </c>
      <c r="I2985">
        <v>3382</v>
      </c>
      <c r="J2985">
        <v>62</v>
      </c>
      <c r="K2985" s="17">
        <f t="shared" si="369"/>
        <v>6989.4666666666672</v>
      </c>
      <c r="L2985" t="str">
        <f t="shared" si="370"/>
        <v>High Risk</v>
      </c>
      <c r="P2985" s="19">
        <f t="shared" si="371"/>
        <v>2030</v>
      </c>
      <c r="R2985" s="19">
        <f t="shared" si="368"/>
        <v>596211</v>
      </c>
      <c r="T2985" s="19">
        <f t="shared" si="372"/>
        <v>865453.8</v>
      </c>
      <c r="U2985" s="19">
        <f t="shared" si="373"/>
        <v>993293.39999999991</v>
      </c>
      <c r="V2985" s="21">
        <f t="shared" si="374"/>
        <v>127839.59999999986</v>
      </c>
      <c r="W2985" s="18">
        <f t="shared" si="375"/>
        <v>0.14771395076201624</v>
      </c>
    </row>
    <row r="2986" spans="1:23" x14ac:dyDescent="0.3">
      <c r="A2986" t="s">
        <v>857</v>
      </c>
      <c r="B2986" t="s">
        <v>3230</v>
      </c>
      <c r="C2986" t="s">
        <v>37</v>
      </c>
      <c r="D2986" t="s">
        <v>17</v>
      </c>
      <c r="E2986">
        <v>4960</v>
      </c>
      <c r="F2986">
        <v>360.44</v>
      </c>
      <c r="G2986">
        <v>303.66000000000003</v>
      </c>
      <c r="H2986">
        <v>360.44</v>
      </c>
      <c r="I2986">
        <v>1308</v>
      </c>
      <c r="J2986">
        <v>72</v>
      </c>
      <c r="K2986" s="17">
        <f t="shared" si="369"/>
        <v>3139.2000000000003</v>
      </c>
      <c r="L2986" t="str">
        <f t="shared" si="370"/>
        <v>Sufficuent Stock</v>
      </c>
      <c r="P2986" s="19">
        <f t="shared" si="371"/>
        <v>0</v>
      </c>
      <c r="R2986" s="19">
        <f t="shared" si="368"/>
        <v>0</v>
      </c>
      <c r="T2986" s="19">
        <f t="shared" si="372"/>
        <v>397187.28</v>
      </c>
      <c r="U2986" s="19">
        <f t="shared" si="373"/>
        <v>471455.52</v>
      </c>
      <c r="V2986" s="21">
        <f t="shared" si="374"/>
        <v>74268.239999999991</v>
      </c>
      <c r="W2986" s="18">
        <f t="shared" si="375"/>
        <v>0.18698544424685501</v>
      </c>
    </row>
    <row r="2987" spans="1:23" x14ac:dyDescent="0.3">
      <c r="A2987" t="s">
        <v>258</v>
      </c>
      <c r="B2987" t="s">
        <v>2896</v>
      </c>
      <c r="C2987" t="s">
        <v>12</v>
      </c>
      <c r="D2987" t="s">
        <v>69</v>
      </c>
      <c r="E2987">
        <v>4963</v>
      </c>
      <c r="F2987">
        <v>213.11</v>
      </c>
      <c r="G2987">
        <v>201.3</v>
      </c>
      <c r="H2987">
        <v>213.11</v>
      </c>
      <c r="I2987">
        <v>2658</v>
      </c>
      <c r="J2987">
        <v>8</v>
      </c>
      <c r="K2987" s="17">
        <f t="shared" si="369"/>
        <v>708.8</v>
      </c>
      <c r="L2987" t="str">
        <f t="shared" si="370"/>
        <v>Sufficuent Stock</v>
      </c>
      <c r="P2987" s="19">
        <f t="shared" si="371"/>
        <v>0</v>
      </c>
      <c r="R2987" s="19">
        <f t="shared" si="368"/>
        <v>0</v>
      </c>
      <c r="T2987" s="19">
        <f t="shared" si="372"/>
        <v>535055.4</v>
      </c>
      <c r="U2987" s="19">
        <f t="shared" si="373"/>
        <v>566446.38</v>
      </c>
      <c r="V2987" s="21">
        <f t="shared" si="374"/>
        <v>31390.979999999981</v>
      </c>
      <c r="W2987" s="18">
        <f t="shared" si="375"/>
        <v>5.8668653750620928E-2</v>
      </c>
    </row>
    <row r="2988" spans="1:23" x14ac:dyDescent="0.3">
      <c r="A2988" t="s">
        <v>626</v>
      </c>
      <c r="B2988" t="s">
        <v>637</v>
      </c>
      <c r="C2988" t="s">
        <v>12</v>
      </c>
      <c r="D2988" t="s">
        <v>13</v>
      </c>
      <c r="E2988">
        <v>4963</v>
      </c>
      <c r="F2988">
        <v>135.94999999999999</v>
      </c>
      <c r="G2988">
        <v>119.37</v>
      </c>
      <c r="H2988">
        <v>135.94999999999999</v>
      </c>
      <c r="I2988">
        <v>1681</v>
      </c>
      <c r="J2988">
        <v>66</v>
      </c>
      <c r="K2988" s="17">
        <f t="shared" si="369"/>
        <v>3698.2</v>
      </c>
      <c r="L2988" t="str">
        <f t="shared" si="370"/>
        <v>Sufficuent Stock</v>
      </c>
      <c r="P2988" s="19">
        <f t="shared" si="371"/>
        <v>0</v>
      </c>
      <c r="R2988" s="19">
        <f t="shared" si="368"/>
        <v>0</v>
      </c>
      <c r="T2988" s="19">
        <f t="shared" si="372"/>
        <v>200660.97</v>
      </c>
      <c r="U2988" s="19">
        <f t="shared" si="373"/>
        <v>228531.94999999998</v>
      </c>
      <c r="V2988" s="21">
        <f t="shared" si="374"/>
        <v>27870.979999999981</v>
      </c>
      <c r="W2988" s="18">
        <f t="shared" si="375"/>
        <v>0.13889586998408301</v>
      </c>
    </row>
    <row r="2989" spans="1:23" x14ac:dyDescent="0.3">
      <c r="A2989" t="s">
        <v>145</v>
      </c>
      <c r="B2989" t="s">
        <v>1116</v>
      </c>
      <c r="C2989" t="s">
        <v>50</v>
      </c>
      <c r="D2989" t="s">
        <v>13</v>
      </c>
      <c r="E2989">
        <v>4964</v>
      </c>
      <c r="F2989">
        <v>201.32</v>
      </c>
      <c r="G2989">
        <v>214.53</v>
      </c>
      <c r="H2989">
        <v>201.32</v>
      </c>
      <c r="I2989">
        <v>1574</v>
      </c>
      <c r="J2989">
        <v>23</v>
      </c>
      <c r="K2989" s="17">
        <f t="shared" si="369"/>
        <v>1206.7333333333333</v>
      </c>
      <c r="L2989" t="str">
        <f t="shared" si="370"/>
        <v>Sufficuent Stock</v>
      </c>
      <c r="P2989" s="19">
        <f t="shared" si="371"/>
        <v>0</v>
      </c>
      <c r="R2989" s="19">
        <f t="shared" si="368"/>
        <v>0</v>
      </c>
      <c r="T2989" s="19">
        <f t="shared" si="372"/>
        <v>337670.22000000003</v>
      </c>
      <c r="U2989" s="19">
        <f t="shared" si="373"/>
        <v>316877.68</v>
      </c>
      <c r="V2989" s="21">
        <f t="shared" si="374"/>
        <v>-20792.540000000037</v>
      </c>
      <c r="W2989" s="18">
        <f t="shared" si="375"/>
        <v>-6.1576469491446524E-2</v>
      </c>
    </row>
    <row r="2990" spans="1:23" x14ac:dyDescent="0.3">
      <c r="A2990" t="s">
        <v>855</v>
      </c>
      <c r="B2990" t="s">
        <v>1457</v>
      </c>
      <c r="C2990" t="s">
        <v>12</v>
      </c>
      <c r="D2990" t="s">
        <v>17</v>
      </c>
      <c r="E2990">
        <v>4976</v>
      </c>
      <c r="F2990">
        <v>59.1</v>
      </c>
      <c r="G2990">
        <v>55.01</v>
      </c>
      <c r="H2990">
        <v>59.1</v>
      </c>
      <c r="I2990">
        <v>928</v>
      </c>
      <c r="J2990">
        <v>76</v>
      </c>
      <c r="K2990" s="17">
        <f t="shared" si="369"/>
        <v>2350.9333333333334</v>
      </c>
      <c r="L2990" t="str">
        <f t="shared" si="370"/>
        <v>Sufficuent Stock</v>
      </c>
      <c r="P2990" s="19">
        <f t="shared" si="371"/>
        <v>0</v>
      </c>
      <c r="R2990" s="19">
        <f t="shared" si="368"/>
        <v>0</v>
      </c>
      <c r="T2990" s="19">
        <f t="shared" si="372"/>
        <v>51049.279999999999</v>
      </c>
      <c r="U2990" s="19">
        <f t="shared" si="373"/>
        <v>54844.800000000003</v>
      </c>
      <c r="V2990" s="21">
        <f t="shared" si="374"/>
        <v>3795.5200000000041</v>
      </c>
      <c r="W2990" s="18">
        <f t="shared" si="375"/>
        <v>7.4350118160334572E-2</v>
      </c>
    </row>
    <row r="2991" spans="1:23" x14ac:dyDescent="0.3">
      <c r="A2991" t="s">
        <v>161</v>
      </c>
      <c r="B2991" t="s">
        <v>706</v>
      </c>
      <c r="C2991" t="s">
        <v>50</v>
      </c>
      <c r="D2991" t="s">
        <v>20</v>
      </c>
      <c r="E2991">
        <v>4981</v>
      </c>
      <c r="F2991">
        <v>467.34</v>
      </c>
      <c r="G2991">
        <v>392.47</v>
      </c>
      <c r="H2991">
        <v>467.34</v>
      </c>
      <c r="I2991">
        <v>2112</v>
      </c>
      <c r="J2991">
        <v>40</v>
      </c>
      <c r="K2991" s="17">
        <f t="shared" si="369"/>
        <v>2816</v>
      </c>
      <c r="L2991" t="str">
        <f t="shared" si="370"/>
        <v>Sufficuent Stock</v>
      </c>
      <c r="P2991" s="19">
        <f t="shared" si="371"/>
        <v>0</v>
      </c>
      <c r="R2991" s="19">
        <f t="shared" si="368"/>
        <v>0</v>
      </c>
      <c r="T2991" s="19">
        <f t="shared" si="372"/>
        <v>828896.64</v>
      </c>
      <c r="U2991" s="19">
        <f t="shared" si="373"/>
        <v>987022.08</v>
      </c>
      <c r="V2991" s="21">
        <f t="shared" si="374"/>
        <v>158125.43999999994</v>
      </c>
      <c r="W2991" s="18">
        <f t="shared" si="375"/>
        <v>0.1907661732106912</v>
      </c>
    </row>
    <row r="2992" spans="1:23" x14ac:dyDescent="0.3">
      <c r="A2992" t="s">
        <v>484</v>
      </c>
      <c r="B2992" t="s">
        <v>485</v>
      </c>
      <c r="C2992" t="s">
        <v>50</v>
      </c>
      <c r="D2992" t="s">
        <v>26</v>
      </c>
      <c r="E2992">
        <v>4982</v>
      </c>
      <c r="F2992">
        <v>149.31</v>
      </c>
      <c r="G2992">
        <v>133.86000000000001</v>
      </c>
      <c r="H2992">
        <v>149.31</v>
      </c>
      <c r="I2992">
        <v>2933</v>
      </c>
      <c r="J2992">
        <v>71</v>
      </c>
      <c r="K2992" s="17">
        <f t="shared" si="369"/>
        <v>6941.4333333333334</v>
      </c>
      <c r="L2992" t="str">
        <f t="shared" si="370"/>
        <v>High Risk</v>
      </c>
      <c r="P2992" s="19">
        <f t="shared" si="371"/>
        <v>1960</v>
      </c>
      <c r="R2992" s="19">
        <f t="shared" si="368"/>
        <v>292647.59999999998</v>
      </c>
      <c r="T2992" s="19">
        <f t="shared" si="372"/>
        <v>392611.38000000006</v>
      </c>
      <c r="U2992" s="19">
        <f t="shared" si="373"/>
        <v>437926.23</v>
      </c>
      <c r="V2992" s="21">
        <f t="shared" si="374"/>
        <v>45314.849999999919</v>
      </c>
      <c r="W2992" s="18">
        <f t="shared" si="375"/>
        <v>0.11541909457642291</v>
      </c>
    </row>
    <row r="2993" spans="1:23" x14ac:dyDescent="0.3">
      <c r="A2993" t="s">
        <v>280</v>
      </c>
      <c r="B2993" t="s">
        <v>2081</v>
      </c>
      <c r="C2993" t="s">
        <v>50</v>
      </c>
      <c r="D2993" t="s">
        <v>17</v>
      </c>
      <c r="E2993">
        <v>4987</v>
      </c>
      <c r="F2993">
        <v>89.39</v>
      </c>
      <c r="G2993">
        <v>91.83</v>
      </c>
      <c r="H2993">
        <v>89.39</v>
      </c>
      <c r="I2993">
        <v>1318</v>
      </c>
      <c r="J2993">
        <v>54</v>
      </c>
      <c r="K2993" s="17">
        <f t="shared" si="369"/>
        <v>2372.3999999999996</v>
      </c>
      <c r="L2993" t="str">
        <f t="shared" si="370"/>
        <v>Sufficuent Stock</v>
      </c>
      <c r="P2993" s="19">
        <f t="shared" si="371"/>
        <v>0</v>
      </c>
      <c r="R2993" s="19">
        <f t="shared" si="368"/>
        <v>0</v>
      </c>
      <c r="T2993" s="19">
        <f t="shared" si="372"/>
        <v>121031.94</v>
      </c>
      <c r="U2993" s="19">
        <f t="shared" si="373"/>
        <v>117816.02</v>
      </c>
      <c r="V2993" s="21">
        <f t="shared" si="374"/>
        <v>-3215.9199999999983</v>
      </c>
      <c r="W2993" s="18">
        <f t="shared" si="375"/>
        <v>-2.6570837416966118E-2</v>
      </c>
    </row>
    <row r="2994" spans="1:23" x14ac:dyDescent="0.3">
      <c r="A2994" t="s">
        <v>1467</v>
      </c>
      <c r="B2994" t="s">
        <v>1566</v>
      </c>
      <c r="C2994" t="s">
        <v>50</v>
      </c>
      <c r="D2994" t="s">
        <v>17</v>
      </c>
      <c r="E2994">
        <v>4987</v>
      </c>
      <c r="F2994">
        <v>107.95</v>
      </c>
      <c r="G2994">
        <v>119.73</v>
      </c>
      <c r="H2994">
        <v>107.95</v>
      </c>
      <c r="I2994">
        <v>3911</v>
      </c>
      <c r="J2994">
        <v>89</v>
      </c>
      <c r="K2994" s="17">
        <f t="shared" si="369"/>
        <v>11602.633333333333</v>
      </c>
      <c r="L2994" t="str">
        <f t="shared" si="370"/>
        <v>High Risk</v>
      </c>
      <c r="P2994" s="19">
        <f t="shared" si="371"/>
        <v>6616</v>
      </c>
      <c r="R2994" s="19">
        <f t="shared" si="368"/>
        <v>714197.20000000007</v>
      </c>
      <c r="T2994" s="19">
        <f t="shared" si="372"/>
        <v>468264.03</v>
      </c>
      <c r="U2994" s="19">
        <f t="shared" si="373"/>
        <v>422192.45</v>
      </c>
      <c r="V2994" s="21">
        <f t="shared" si="374"/>
        <v>-46071.580000000016</v>
      </c>
      <c r="W2994" s="18">
        <f t="shared" si="375"/>
        <v>-9.8388039756117956E-2</v>
      </c>
    </row>
    <row r="2995" spans="1:23" x14ac:dyDescent="0.3">
      <c r="A2995" t="s">
        <v>238</v>
      </c>
      <c r="B2995" t="s">
        <v>557</v>
      </c>
      <c r="C2995" t="s">
        <v>23</v>
      </c>
      <c r="D2995" t="s">
        <v>69</v>
      </c>
      <c r="E2995">
        <v>4988</v>
      </c>
      <c r="F2995">
        <v>172.77</v>
      </c>
      <c r="G2995">
        <v>163.47999999999999</v>
      </c>
      <c r="H2995">
        <v>172.77</v>
      </c>
      <c r="I2995">
        <v>50</v>
      </c>
      <c r="J2995">
        <v>13</v>
      </c>
      <c r="K2995" s="17">
        <f t="shared" si="369"/>
        <v>21.666666666666668</v>
      </c>
      <c r="L2995" t="str">
        <f t="shared" si="370"/>
        <v>Sufficuent Stock</v>
      </c>
      <c r="P2995" s="19">
        <f t="shared" si="371"/>
        <v>0</v>
      </c>
      <c r="R2995" s="19">
        <f t="shared" si="368"/>
        <v>0</v>
      </c>
      <c r="T2995" s="19">
        <f t="shared" si="372"/>
        <v>8173.9999999999991</v>
      </c>
      <c r="U2995" s="19">
        <f t="shared" si="373"/>
        <v>8638.5</v>
      </c>
      <c r="V2995" s="21">
        <f t="shared" si="374"/>
        <v>464.50000000000091</v>
      </c>
      <c r="W2995" s="18">
        <f t="shared" si="375"/>
        <v>5.682652312209456E-2</v>
      </c>
    </row>
    <row r="2996" spans="1:23" x14ac:dyDescent="0.3">
      <c r="A2996" t="s">
        <v>393</v>
      </c>
      <c r="B2996" t="s">
        <v>1657</v>
      </c>
      <c r="C2996" t="s">
        <v>50</v>
      </c>
      <c r="D2996" t="s">
        <v>26</v>
      </c>
      <c r="E2996">
        <v>4990</v>
      </c>
      <c r="F2996">
        <v>202.74</v>
      </c>
      <c r="G2996">
        <v>194.61</v>
      </c>
      <c r="H2996">
        <v>202.74</v>
      </c>
      <c r="I2996">
        <v>1502</v>
      </c>
      <c r="J2996">
        <v>30</v>
      </c>
      <c r="K2996" s="17">
        <f t="shared" si="369"/>
        <v>1502</v>
      </c>
      <c r="L2996" t="str">
        <f t="shared" si="370"/>
        <v>Sufficuent Stock</v>
      </c>
      <c r="P2996" s="19">
        <f t="shared" si="371"/>
        <v>0</v>
      </c>
      <c r="R2996" s="19">
        <f t="shared" si="368"/>
        <v>0</v>
      </c>
      <c r="T2996" s="19">
        <f t="shared" si="372"/>
        <v>292304.22000000003</v>
      </c>
      <c r="U2996" s="19">
        <f t="shared" si="373"/>
        <v>304515.48000000004</v>
      </c>
      <c r="V2996" s="21">
        <f t="shared" si="374"/>
        <v>12211.260000000009</v>
      </c>
      <c r="W2996" s="18">
        <f t="shared" si="375"/>
        <v>4.1775859411129983E-2</v>
      </c>
    </row>
    <row r="2997" spans="1:23" x14ac:dyDescent="0.3">
      <c r="A2997" t="s">
        <v>642</v>
      </c>
      <c r="B2997" t="s">
        <v>2500</v>
      </c>
      <c r="C2997" t="s">
        <v>37</v>
      </c>
      <c r="D2997" t="s">
        <v>13</v>
      </c>
      <c r="E2997">
        <v>4993</v>
      </c>
      <c r="F2997">
        <v>199.91</v>
      </c>
      <c r="G2997">
        <v>177.49</v>
      </c>
      <c r="H2997">
        <v>199.91</v>
      </c>
      <c r="I2997">
        <v>1378</v>
      </c>
      <c r="J2997">
        <v>10</v>
      </c>
      <c r="K2997" s="17">
        <f t="shared" si="369"/>
        <v>459.33333333333331</v>
      </c>
      <c r="L2997" t="str">
        <f t="shared" si="370"/>
        <v>Sufficuent Stock</v>
      </c>
      <c r="P2997" s="19">
        <f t="shared" si="371"/>
        <v>0</v>
      </c>
      <c r="R2997" s="19">
        <f t="shared" si="368"/>
        <v>0</v>
      </c>
      <c r="T2997" s="19">
        <f t="shared" si="372"/>
        <v>244581.22</v>
      </c>
      <c r="U2997" s="19">
        <f t="shared" si="373"/>
        <v>275475.98</v>
      </c>
      <c r="V2997" s="21">
        <f t="shared" si="374"/>
        <v>30894.75999999998</v>
      </c>
      <c r="W2997" s="18">
        <f t="shared" si="375"/>
        <v>0.12631697560425931</v>
      </c>
    </row>
    <row r="2998" spans="1:23" x14ac:dyDescent="0.3">
      <c r="A2998" t="s">
        <v>222</v>
      </c>
      <c r="B2998" t="s">
        <v>2694</v>
      </c>
      <c r="C2998" t="s">
        <v>16</v>
      </c>
      <c r="D2998" t="s">
        <v>17</v>
      </c>
      <c r="E2998">
        <v>4993</v>
      </c>
      <c r="F2998">
        <v>415.51</v>
      </c>
      <c r="G2998">
        <v>366.63</v>
      </c>
      <c r="H2998">
        <v>415.51</v>
      </c>
      <c r="I2998">
        <v>427</v>
      </c>
      <c r="J2998">
        <v>38</v>
      </c>
      <c r="K2998" s="17">
        <f t="shared" si="369"/>
        <v>540.86666666666667</v>
      </c>
      <c r="L2998" t="str">
        <f t="shared" si="370"/>
        <v>Sufficuent Stock</v>
      </c>
      <c r="P2998" s="19">
        <f t="shared" si="371"/>
        <v>0</v>
      </c>
      <c r="R2998" s="19">
        <f t="shared" si="368"/>
        <v>0</v>
      </c>
      <c r="T2998" s="19">
        <f t="shared" si="372"/>
        <v>156551.01</v>
      </c>
      <c r="U2998" s="19">
        <f t="shared" si="373"/>
        <v>177422.77</v>
      </c>
      <c r="V2998" s="21">
        <f t="shared" si="374"/>
        <v>20871.75999999998</v>
      </c>
      <c r="W2998" s="18">
        <f t="shared" si="375"/>
        <v>0.13332242315140591</v>
      </c>
    </row>
    <row r="2999" spans="1:23" x14ac:dyDescent="0.3">
      <c r="A2999" t="s">
        <v>151</v>
      </c>
      <c r="B2999" t="s">
        <v>2828</v>
      </c>
      <c r="C2999" t="s">
        <v>23</v>
      </c>
      <c r="D2999" t="s">
        <v>13</v>
      </c>
      <c r="E2999">
        <v>4995</v>
      </c>
      <c r="F2999">
        <v>455.14</v>
      </c>
      <c r="G2999">
        <v>404.87</v>
      </c>
      <c r="H2999">
        <v>455.14</v>
      </c>
      <c r="I2999">
        <v>178</v>
      </c>
      <c r="J2999">
        <v>6</v>
      </c>
      <c r="K2999" s="17">
        <f t="shared" si="369"/>
        <v>35.6</v>
      </c>
      <c r="L2999" t="str">
        <f t="shared" si="370"/>
        <v>Sufficuent Stock</v>
      </c>
      <c r="P2999" s="19">
        <f t="shared" si="371"/>
        <v>0</v>
      </c>
      <c r="R2999" s="19">
        <f t="shared" si="368"/>
        <v>0</v>
      </c>
      <c r="T2999" s="19">
        <f t="shared" si="372"/>
        <v>72066.86</v>
      </c>
      <c r="U2999" s="19">
        <f t="shared" si="373"/>
        <v>81014.92</v>
      </c>
      <c r="V2999" s="21">
        <f t="shared" si="374"/>
        <v>8948.0599999999977</v>
      </c>
      <c r="W2999" s="18">
        <f t="shared" si="375"/>
        <v>0.1241633116802924</v>
      </c>
    </row>
    <row r="3000" spans="1:23" x14ac:dyDescent="0.3">
      <c r="A3000" t="s">
        <v>829</v>
      </c>
      <c r="B3000" t="s">
        <v>830</v>
      </c>
      <c r="C3000" t="s">
        <v>50</v>
      </c>
      <c r="D3000" t="s">
        <v>26</v>
      </c>
      <c r="E3000">
        <v>4995</v>
      </c>
      <c r="F3000">
        <v>219.78</v>
      </c>
      <c r="G3000">
        <v>191.74</v>
      </c>
      <c r="H3000">
        <v>219.78</v>
      </c>
      <c r="I3000">
        <v>2084</v>
      </c>
      <c r="J3000">
        <v>82</v>
      </c>
      <c r="K3000" s="17">
        <f t="shared" si="369"/>
        <v>5696.2666666666664</v>
      </c>
      <c r="L3000" t="str">
        <f t="shared" si="370"/>
        <v>High Risk</v>
      </c>
      <c r="P3000" s="19">
        <f t="shared" si="371"/>
        <v>702</v>
      </c>
      <c r="R3000" s="19">
        <f t="shared" si="368"/>
        <v>154285.56</v>
      </c>
      <c r="T3000" s="19">
        <f t="shared" si="372"/>
        <v>399586.16000000003</v>
      </c>
      <c r="U3000" s="19">
        <f t="shared" si="373"/>
        <v>458021.52</v>
      </c>
      <c r="V3000" s="21">
        <f t="shared" si="374"/>
        <v>58435.359999999986</v>
      </c>
      <c r="W3000" s="18">
        <f t="shared" si="375"/>
        <v>0.14623969959319907</v>
      </c>
    </row>
    <row r="3001" spans="1:23" x14ac:dyDescent="0.3">
      <c r="A3001" t="s">
        <v>389</v>
      </c>
      <c r="B3001" t="s">
        <v>1704</v>
      </c>
      <c r="C3001" t="s">
        <v>37</v>
      </c>
      <c r="D3001" t="s">
        <v>13</v>
      </c>
      <c r="E3001">
        <v>4998</v>
      </c>
      <c r="F3001">
        <v>369.76</v>
      </c>
      <c r="G3001">
        <v>324.13</v>
      </c>
      <c r="H3001">
        <v>369.76</v>
      </c>
      <c r="I3001">
        <v>3368</v>
      </c>
      <c r="J3001">
        <v>58</v>
      </c>
      <c r="K3001" s="17">
        <f t="shared" si="369"/>
        <v>6511.4666666666662</v>
      </c>
      <c r="L3001" t="str">
        <f t="shared" si="370"/>
        <v>High Risk</v>
      </c>
      <c r="P3001" s="19">
        <f t="shared" si="371"/>
        <v>1514</v>
      </c>
      <c r="R3001" s="19">
        <f t="shared" si="368"/>
        <v>559816.64</v>
      </c>
      <c r="T3001" s="19">
        <f t="shared" si="372"/>
        <v>1091669.8400000001</v>
      </c>
      <c r="U3001" s="19">
        <f t="shared" si="373"/>
        <v>1245351.68</v>
      </c>
      <c r="V3001" s="21">
        <f t="shared" si="374"/>
        <v>153681.83999999985</v>
      </c>
      <c r="W3001" s="18">
        <f t="shared" si="375"/>
        <v>0.14077684879523633</v>
      </c>
    </row>
  </sheetData>
  <autoFilter ref="A1:L3001" xr:uid="{00000000-0001-0000-0000-000000000000}"/>
  <sortState xmlns:xlrd2="http://schemas.microsoft.com/office/spreadsheetml/2017/richdata2" ref="N2:S3001">
    <sortCondition descending="1" ref="R1:R3001"/>
  </sortState>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329A-795F-43BC-B1BC-612D6D015143}">
  <dimension ref="A1:E17"/>
  <sheetViews>
    <sheetView topLeftCell="C1" workbookViewId="0">
      <selection activeCell="G13" sqref="G13"/>
    </sheetView>
  </sheetViews>
  <sheetFormatPr defaultRowHeight="14.4" x14ac:dyDescent="0.3"/>
  <cols>
    <col min="1" max="1" width="20.109375" bestFit="1" customWidth="1"/>
    <col min="2" max="2" width="29.88671875" bestFit="1" customWidth="1"/>
    <col min="3" max="3" width="31.109375" customWidth="1"/>
    <col min="4" max="4" width="30.6640625" bestFit="1" customWidth="1"/>
    <col min="5" max="5" width="109.109375" bestFit="1" customWidth="1"/>
  </cols>
  <sheetData>
    <row r="1" spans="1:5" ht="33" customHeight="1" x14ac:dyDescent="0.3">
      <c r="A1" s="7" t="s">
        <v>3451</v>
      </c>
      <c r="B1" s="7" t="s">
        <v>3452</v>
      </c>
      <c r="C1" s="7" t="s">
        <v>3453</v>
      </c>
      <c r="D1" s="7" t="s">
        <v>3454</v>
      </c>
      <c r="E1" s="7" t="s">
        <v>3455</v>
      </c>
    </row>
    <row r="2" spans="1:5" x14ac:dyDescent="0.3">
      <c r="A2" s="8" t="s">
        <v>3450</v>
      </c>
      <c r="B2" s="8" t="s">
        <v>3498</v>
      </c>
      <c r="C2" s="8" t="s">
        <v>3499</v>
      </c>
      <c r="D2" s="8" t="s">
        <v>3456</v>
      </c>
      <c r="E2" s="8" t="s">
        <v>3457</v>
      </c>
    </row>
    <row r="3" spans="1:5" x14ac:dyDescent="0.3">
      <c r="A3" s="9" t="s">
        <v>3458</v>
      </c>
      <c r="B3" t="s">
        <v>3501</v>
      </c>
      <c r="C3" t="s">
        <v>3502</v>
      </c>
      <c r="D3">
        <f>COUNTIF(Inventory!B2:B3001,Inventory!B2)</f>
        <v>1</v>
      </c>
      <c r="E3" t="s">
        <v>3503</v>
      </c>
    </row>
    <row r="4" spans="1:5" x14ac:dyDescent="0.3">
      <c r="A4" s="9" t="s">
        <v>3459</v>
      </c>
    </row>
    <row r="5" spans="1:5" x14ac:dyDescent="0.3">
      <c r="A5" s="9" t="s">
        <v>3460</v>
      </c>
      <c r="B5" t="s">
        <v>3506</v>
      </c>
      <c r="C5" t="s">
        <v>3504</v>
      </c>
      <c r="D5">
        <f>COUNTIF(Inventory!E2:E3001,"&lt;0")</f>
        <v>0</v>
      </c>
      <c r="E5" t="s">
        <v>3511</v>
      </c>
    </row>
    <row r="6" spans="1:5" x14ac:dyDescent="0.3">
      <c r="A6" s="9" t="s">
        <v>3460</v>
      </c>
      <c r="B6" t="s">
        <v>3505</v>
      </c>
      <c r="C6" t="s">
        <v>3500</v>
      </c>
      <c r="D6">
        <f>COUNTIF(Inventory!F2:F3001,"&lt;0")</f>
        <v>0</v>
      </c>
      <c r="E6" t="s">
        <v>3511</v>
      </c>
    </row>
    <row r="7" spans="1:5" x14ac:dyDescent="0.3">
      <c r="A7" s="9" t="s">
        <v>3460</v>
      </c>
      <c r="B7" t="s">
        <v>3507</v>
      </c>
      <c r="C7" t="s">
        <v>3500</v>
      </c>
      <c r="D7">
        <f>COUNTIF(Inventory!F2:F3001,"&lt;0")</f>
        <v>0</v>
      </c>
      <c r="E7" t="s">
        <v>3511</v>
      </c>
    </row>
    <row r="8" spans="1:5" x14ac:dyDescent="0.3">
      <c r="A8" s="9" t="s">
        <v>3460</v>
      </c>
      <c r="B8" t="s">
        <v>3508</v>
      </c>
      <c r="C8" t="s">
        <v>3500</v>
      </c>
      <c r="D8">
        <f>COUNTIF(Inventory!H2:H3001,"&lt;0")</f>
        <v>0</v>
      </c>
      <c r="E8" t="s">
        <v>3511</v>
      </c>
    </row>
    <row r="9" spans="1:5" x14ac:dyDescent="0.3">
      <c r="A9" s="9" t="s">
        <v>3460</v>
      </c>
      <c r="B9" t="s">
        <v>3509</v>
      </c>
      <c r="C9" t="s">
        <v>3500</v>
      </c>
      <c r="D9">
        <f>COUNTIF(Inventory!I2:I3001,"&lt;0")</f>
        <v>0</v>
      </c>
      <c r="E9" t="s">
        <v>3511</v>
      </c>
    </row>
    <row r="10" spans="1:5" x14ac:dyDescent="0.3">
      <c r="A10" s="9" t="s">
        <v>3460</v>
      </c>
      <c r="B10" t="s">
        <v>3510</v>
      </c>
      <c r="C10" t="s">
        <v>3500</v>
      </c>
      <c r="D10">
        <f>COUNTIF(Inventory!J2:J3001,"&lt;0")</f>
        <v>0</v>
      </c>
      <c r="E10" t="s">
        <v>3511</v>
      </c>
    </row>
    <row r="11" spans="1:5" x14ac:dyDescent="0.3">
      <c r="A11" s="9" t="s">
        <v>3512</v>
      </c>
      <c r="B11" t="s">
        <v>3513</v>
      </c>
      <c r="C11" t="s">
        <v>3500</v>
      </c>
      <c r="D11">
        <f>COUNTIF(Inventory!E2:E3001,0)</f>
        <v>1</v>
      </c>
      <c r="E11" t="s">
        <v>3514</v>
      </c>
    </row>
    <row r="12" spans="1:5" x14ac:dyDescent="0.3">
      <c r="A12" s="9" t="s">
        <v>3512</v>
      </c>
      <c r="B12" t="s">
        <v>3515</v>
      </c>
    </row>
    <row r="13" spans="1:5" x14ac:dyDescent="0.3">
      <c r="A13" s="9" t="s">
        <v>3512</v>
      </c>
    </row>
    <row r="14" spans="1:5" x14ac:dyDescent="0.3">
      <c r="A14" s="9" t="s">
        <v>3512</v>
      </c>
    </row>
    <row r="15" spans="1:5" x14ac:dyDescent="0.3">
      <c r="A15" s="9"/>
    </row>
    <row r="16" spans="1:5" x14ac:dyDescent="0.3">
      <c r="A16" s="9" t="s">
        <v>3461</v>
      </c>
    </row>
    <row r="17" spans="1:5" x14ac:dyDescent="0.3">
      <c r="A17" s="9" t="s">
        <v>3493</v>
      </c>
      <c r="B17" t="s">
        <v>3494</v>
      </c>
      <c r="C17" t="s">
        <v>3495</v>
      </c>
      <c r="D17" t="s">
        <v>3496</v>
      </c>
      <c r="E17" t="s">
        <v>3497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7E7C-A8BB-4B2C-AC3D-76D0124E9AB2}">
  <dimension ref="A1:S108"/>
  <sheetViews>
    <sheetView topLeftCell="C53" workbookViewId="0">
      <selection activeCell="I65" sqref="I65"/>
    </sheetView>
  </sheetViews>
  <sheetFormatPr defaultRowHeight="14.4" x14ac:dyDescent="0.3"/>
  <cols>
    <col min="1" max="1" width="15.6640625" bestFit="1" customWidth="1"/>
    <col min="2" max="2" width="37.5546875" bestFit="1" customWidth="1"/>
    <col min="3" max="3" width="10.88671875" customWidth="1"/>
    <col min="4" max="4" width="14.6640625" bestFit="1" customWidth="1"/>
    <col min="9" max="9" width="84.109375" bestFit="1" customWidth="1"/>
  </cols>
  <sheetData>
    <row r="1" spans="1:10" ht="23.4" x14ac:dyDescent="0.45">
      <c r="A1" s="12" t="s">
        <v>3450</v>
      </c>
      <c r="H1" s="12" t="s">
        <v>3480</v>
      </c>
      <c r="I1" s="12"/>
      <c r="J1" s="12"/>
    </row>
    <row r="2" spans="1:10" x14ac:dyDescent="0.3">
      <c r="H2" t="s">
        <v>3485</v>
      </c>
    </row>
    <row r="3" spans="1:10" x14ac:dyDescent="0.3">
      <c r="A3" s="10" t="s">
        <v>3416</v>
      </c>
      <c r="B3" s="10" t="s">
        <v>3462</v>
      </c>
      <c r="C3" s="10" t="s">
        <v>3454</v>
      </c>
      <c r="D3" s="10" t="s">
        <v>3463</v>
      </c>
    </row>
    <row r="4" spans="1:10" x14ac:dyDescent="0.3">
      <c r="A4" s="1" t="s">
        <v>0</v>
      </c>
      <c r="B4" s="1" t="s">
        <v>3464</v>
      </c>
      <c r="C4" s="1">
        <f>COUNTA(Inventory!A2:A3001)</f>
        <v>3000</v>
      </c>
      <c r="D4" s="11" t="s">
        <v>3492</v>
      </c>
      <c r="H4" t="s">
        <v>3489</v>
      </c>
    </row>
    <row r="5" spans="1:10" x14ac:dyDescent="0.3">
      <c r="A5" s="1" t="s">
        <v>1</v>
      </c>
      <c r="B5" s="1" t="s">
        <v>3465</v>
      </c>
      <c r="C5" s="1">
        <f>COUNTA(Inventory!B2:B3001)</f>
        <v>3000</v>
      </c>
      <c r="D5" s="11" t="s">
        <v>3492</v>
      </c>
    </row>
    <row r="6" spans="1:10" x14ac:dyDescent="0.3">
      <c r="A6" s="1" t="s">
        <v>2</v>
      </c>
      <c r="B6" s="1" t="s">
        <v>3465</v>
      </c>
      <c r="C6" s="1">
        <f>COUNTA(Inventory!C2:C3001)</f>
        <v>3000</v>
      </c>
      <c r="D6" s="11" t="s">
        <v>3492</v>
      </c>
      <c r="H6" t="s">
        <v>3450</v>
      </c>
    </row>
    <row r="7" spans="1:10" x14ac:dyDescent="0.3">
      <c r="A7" s="1" t="s">
        <v>3</v>
      </c>
      <c r="B7" s="1" t="s">
        <v>3465</v>
      </c>
      <c r="C7" s="1">
        <f>COUNTA(Inventory!D2:D3001)</f>
        <v>3000</v>
      </c>
      <c r="D7" s="11" t="s">
        <v>3492</v>
      </c>
      <c r="H7" t="s">
        <v>3458</v>
      </c>
    </row>
    <row r="8" spans="1:10" x14ac:dyDescent="0.3">
      <c r="A8" s="1" t="s">
        <v>4</v>
      </c>
      <c r="B8" s="1" t="s">
        <v>3465</v>
      </c>
      <c r="C8" s="1">
        <f>COUNTA(Inventory!E2:E3001)</f>
        <v>3000</v>
      </c>
      <c r="D8" s="11" t="s">
        <v>3492</v>
      </c>
      <c r="H8" t="s">
        <v>3460</v>
      </c>
    </row>
    <row r="9" spans="1:10" x14ac:dyDescent="0.3">
      <c r="A9" s="1" t="s">
        <v>5</v>
      </c>
      <c r="B9" s="1" t="s">
        <v>3465</v>
      </c>
      <c r="C9" s="1">
        <f>COUNTA(Inventory!F2:F3001)</f>
        <v>3000</v>
      </c>
      <c r="D9" s="11" t="s">
        <v>3492</v>
      </c>
      <c r="H9" t="s">
        <v>3474</v>
      </c>
    </row>
    <row r="10" spans="1:10" x14ac:dyDescent="0.3">
      <c r="A10" s="1" t="s">
        <v>6</v>
      </c>
      <c r="B10" s="1" t="s">
        <v>3465</v>
      </c>
      <c r="C10" s="1">
        <f>COUNTA(Inventory!G2:G3001)</f>
        <v>3000</v>
      </c>
      <c r="D10" s="11" t="s">
        <v>3492</v>
      </c>
    </row>
    <row r="11" spans="1:10" x14ac:dyDescent="0.3">
      <c r="A11" s="1" t="s">
        <v>7</v>
      </c>
      <c r="B11" s="1" t="s">
        <v>3465</v>
      </c>
      <c r="C11" s="1">
        <f>COUNTA(Inventory!H2:H3001)</f>
        <v>3000</v>
      </c>
      <c r="D11" s="11" t="s">
        <v>3492</v>
      </c>
      <c r="H11" t="s">
        <v>3485</v>
      </c>
    </row>
    <row r="12" spans="1:10" x14ac:dyDescent="0.3">
      <c r="A12" s="1" t="s">
        <v>8</v>
      </c>
      <c r="B12" s="1" t="s">
        <v>3465</v>
      </c>
      <c r="C12" s="1">
        <f>COUNTA(Inventory!I2:I3001)</f>
        <v>3000</v>
      </c>
      <c r="D12" s="11" t="s">
        <v>3492</v>
      </c>
    </row>
    <row r="13" spans="1:10" x14ac:dyDescent="0.3">
      <c r="A13" s="1" t="s">
        <v>9</v>
      </c>
      <c r="B13" s="1" t="s">
        <v>3465</v>
      </c>
      <c r="C13" s="1">
        <f>COUNTA(Inventory!J2:J3001)</f>
        <v>3000</v>
      </c>
      <c r="D13" s="11" t="s">
        <v>3492</v>
      </c>
      <c r="H13" t="s">
        <v>3490</v>
      </c>
    </row>
    <row r="15" spans="1:10" ht="23.4" x14ac:dyDescent="0.45">
      <c r="A15" s="12" t="s">
        <v>3458</v>
      </c>
      <c r="H15" s="27" t="s">
        <v>3486</v>
      </c>
      <c r="I15" s="13" t="s">
        <v>3491</v>
      </c>
      <c r="J15" s="14"/>
    </row>
    <row r="17" spans="1:17" x14ac:dyDescent="0.3">
      <c r="A17" s="10" t="s">
        <v>3416</v>
      </c>
      <c r="B17" s="10" t="s">
        <v>3462</v>
      </c>
      <c r="C17" s="10" t="s">
        <v>3454</v>
      </c>
      <c r="D17" s="10" t="s">
        <v>3463</v>
      </c>
      <c r="I17" s="2" t="s">
        <v>3481</v>
      </c>
    </row>
    <row r="18" spans="1:17" x14ac:dyDescent="0.3">
      <c r="A18" s="1" t="s">
        <v>1</v>
      </c>
      <c r="B18" s="1" t="s">
        <v>3467</v>
      </c>
      <c r="C18" s="1">
        <f>COUNTIF(Inventory!B2:B3001,Inventory!B2)</f>
        <v>1</v>
      </c>
      <c r="D18" s="11" t="s">
        <v>3492</v>
      </c>
      <c r="I18" t="s">
        <v>3536</v>
      </c>
    </row>
    <row r="20" spans="1:17" ht="23.4" x14ac:dyDescent="0.45">
      <c r="A20" s="12" t="s">
        <v>3460</v>
      </c>
      <c r="H20" s="12"/>
      <c r="I20" s="2" t="s">
        <v>3482</v>
      </c>
    </row>
    <row r="21" spans="1:17" ht="28.8" x14ac:dyDescent="0.3">
      <c r="A21" s="10" t="s">
        <v>3416</v>
      </c>
      <c r="B21" s="10" t="s">
        <v>3462</v>
      </c>
      <c r="C21" s="10" t="s">
        <v>3454</v>
      </c>
      <c r="D21" s="10" t="s">
        <v>3463</v>
      </c>
      <c r="I21" s="25" t="s">
        <v>3537</v>
      </c>
    </row>
    <row r="22" spans="1:17" x14ac:dyDescent="0.3">
      <c r="A22" s="1" t="s">
        <v>4</v>
      </c>
      <c r="B22" s="1" t="s">
        <v>3468</v>
      </c>
      <c r="C22" s="1">
        <f>COUNTIF(Inventory!E2:E3001,"&lt;0")</f>
        <v>0</v>
      </c>
      <c r="D22" s="11" t="s">
        <v>3492</v>
      </c>
    </row>
    <row r="23" spans="1:17" x14ac:dyDescent="0.3">
      <c r="A23" s="1" t="s">
        <v>5</v>
      </c>
      <c r="B23" s="1" t="s">
        <v>3469</v>
      </c>
      <c r="C23" s="1">
        <f>COUNTIF(Inventory!F2:F3001,"&lt;0")</f>
        <v>0</v>
      </c>
      <c r="D23" s="11" t="s">
        <v>3492</v>
      </c>
      <c r="I23" s="2" t="s">
        <v>3483</v>
      </c>
      <c r="J23" s="4"/>
      <c r="K23" s="4"/>
      <c r="L23" s="4"/>
    </row>
    <row r="24" spans="1:17" ht="28.8" x14ac:dyDescent="0.3">
      <c r="A24" s="1" t="s">
        <v>6</v>
      </c>
      <c r="B24" s="1" t="s">
        <v>3470</v>
      </c>
      <c r="C24" s="1">
        <f>COUNTIF(Inventory!G2:G3001,"&lt;0")</f>
        <v>0</v>
      </c>
      <c r="D24" s="11" t="s">
        <v>3492</v>
      </c>
      <c r="I24" s="4" t="s">
        <v>3538</v>
      </c>
    </row>
    <row r="25" spans="1:17" x14ac:dyDescent="0.3">
      <c r="A25" s="1" t="s">
        <v>7</v>
      </c>
      <c r="B25" s="1" t="s">
        <v>3471</v>
      </c>
      <c r="C25" s="1">
        <f>COUNTIF(Inventory!H2:H3001,"&lt;0")</f>
        <v>0</v>
      </c>
      <c r="D25" s="11" t="s">
        <v>3492</v>
      </c>
      <c r="I25" s="9"/>
    </row>
    <row r="26" spans="1:17" x14ac:dyDescent="0.3">
      <c r="A26" s="1" t="s">
        <v>8</v>
      </c>
      <c r="B26" s="1" t="s">
        <v>3472</v>
      </c>
      <c r="C26" s="1">
        <f>COUNTIF(Inventory!I2:I3001,"&lt;0")</f>
        <v>0</v>
      </c>
      <c r="D26" s="11" t="s">
        <v>3492</v>
      </c>
      <c r="I26" s="9"/>
    </row>
    <row r="27" spans="1:17" x14ac:dyDescent="0.3">
      <c r="A27" s="1" t="s">
        <v>9</v>
      </c>
      <c r="B27" s="1" t="s">
        <v>3473</v>
      </c>
      <c r="C27" s="1">
        <f>COUNTIF(Inventory!J2:J3001,"&lt;0")</f>
        <v>0</v>
      </c>
      <c r="D27" s="11" t="s">
        <v>3492</v>
      </c>
      <c r="I27" s="26" t="s">
        <v>3534</v>
      </c>
    </row>
    <row r="28" spans="1:17" x14ac:dyDescent="0.3">
      <c r="I28" s="2" t="s">
        <v>3539</v>
      </c>
    </row>
    <row r="29" spans="1:17" x14ac:dyDescent="0.3">
      <c r="I29" s="25" t="s">
        <v>3540</v>
      </c>
    </row>
    <row r="30" spans="1:17" ht="23.4" x14ac:dyDescent="0.45">
      <c r="A30" s="12" t="s">
        <v>3474</v>
      </c>
      <c r="H30" s="26" t="s">
        <v>3487</v>
      </c>
      <c r="I30" s="26" t="s">
        <v>3535</v>
      </c>
      <c r="J30" s="26"/>
      <c r="K30" s="26"/>
      <c r="L30" s="4"/>
      <c r="M30" s="4"/>
      <c r="N30" s="4"/>
      <c r="O30" s="4"/>
      <c r="P30" s="4"/>
      <c r="Q30" s="4"/>
    </row>
    <row r="31" spans="1:17" x14ac:dyDescent="0.3">
      <c r="A31" s="10" t="s">
        <v>3416</v>
      </c>
      <c r="B31" s="10" t="s">
        <v>3462</v>
      </c>
      <c r="C31" s="10" t="s">
        <v>3454</v>
      </c>
      <c r="D31" s="10" t="s">
        <v>3463</v>
      </c>
      <c r="H31" s="4"/>
      <c r="I31" s="26" t="s">
        <v>3539</v>
      </c>
      <c r="J31" s="4"/>
      <c r="K31" s="4"/>
      <c r="L31" s="4"/>
      <c r="M31" s="25"/>
      <c r="N31" s="4"/>
      <c r="O31" s="4"/>
      <c r="P31" s="4"/>
      <c r="Q31" s="25"/>
    </row>
    <row r="32" spans="1:17" x14ac:dyDescent="0.3">
      <c r="A32" s="1" t="s">
        <v>4</v>
      </c>
      <c r="B32" s="1" t="s">
        <v>3475</v>
      </c>
      <c r="C32">
        <f>COUNTIF(Inventory!E2:E3001,0)</f>
        <v>1</v>
      </c>
      <c r="D32" s="16" t="s">
        <v>3484</v>
      </c>
      <c r="H32" s="26" t="s">
        <v>3488</v>
      </c>
      <c r="I32" s="4" t="s">
        <v>3548</v>
      </c>
      <c r="J32" s="4"/>
      <c r="K32" s="4"/>
      <c r="L32" s="4"/>
      <c r="M32" s="4"/>
      <c r="N32" s="4"/>
      <c r="O32" s="4"/>
      <c r="P32" s="4"/>
      <c r="Q32" s="4"/>
    </row>
    <row r="33" spans="1:19" x14ac:dyDescent="0.3">
      <c r="A33" s="1" t="s">
        <v>5</v>
      </c>
      <c r="B33" s="1" t="s">
        <v>3475</v>
      </c>
      <c r="C33" s="1">
        <f>COUNTIF(Inventory!F2:F3001,0)</f>
        <v>0</v>
      </c>
      <c r="D33" s="15" t="s">
        <v>3492</v>
      </c>
      <c r="H33" s="4"/>
      <c r="I33" s="26" t="s">
        <v>3544</v>
      </c>
      <c r="J33" s="26"/>
      <c r="K33" s="4"/>
      <c r="L33" s="4"/>
      <c r="M33" s="4"/>
      <c r="N33" s="4"/>
      <c r="O33" s="4"/>
      <c r="P33" s="4"/>
      <c r="Q33" s="4"/>
      <c r="R33" s="4"/>
      <c r="S33" s="4"/>
    </row>
    <row r="34" spans="1:19" x14ac:dyDescent="0.3">
      <c r="A34" s="1" t="s">
        <v>6</v>
      </c>
      <c r="B34" s="1" t="s">
        <v>3476</v>
      </c>
      <c r="C34" s="1">
        <f>COUNTIF(Inventory!G2:G3001,0)</f>
        <v>0</v>
      </c>
      <c r="D34" s="15" t="s">
        <v>3492</v>
      </c>
      <c r="H34" s="4"/>
      <c r="I34" s="4" t="s">
        <v>3549</v>
      </c>
      <c r="J34" s="4"/>
      <c r="K34" s="4"/>
      <c r="L34" s="4"/>
      <c r="M34" s="4"/>
      <c r="N34" s="4"/>
      <c r="O34" s="4"/>
      <c r="P34" s="4"/>
      <c r="Q34" s="4"/>
      <c r="R34" s="4"/>
      <c r="S34" s="4"/>
    </row>
    <row r="35" spans="1:19" x14ac:dyDescent="0.3">
      <c r="A35" s="1" t="s">
        <v>7</v>
      </c>
      <c r="B35" s="1" t="s">
        <v>3477</v>
      </c>
      <c r="C35" s="1">
        <f>COUNTIF(Inventory!H2:H3001,0)</f>
        <v>0</v>
      </c>
      <c r="D35" s="15" t="s">
        <v>3492</v>
      </c>
      <c r="H35" s="28" t="s">
        <v>3541</v>
      </c>
      <c r="I35" s="2" t="s">
        <v>3546</v>
      </c>
      <c r="J35" s="4"/>
      <c r="K35" s="4"/>
      <c r="L35" s="4"/>
      <c r="M35" s="4"/>
      <c r="N35" s="4"/>
      <c r="O35" s="4"/>
      <c r="P35" s="4"/>
      <c r="Q35" s="4"/>
      <c r="R35" s="4"/>
      <c r="S35" s="4"/>
    </row>
    <row r="36" spans="1:19" ht="28.8" x14ac:dyDescent="0.3">
      <c r="A36" s="1" t="s">
        <v>8</v>
      </c>
      <c r="B36" s="1" t="s">
        <v>3478</v>
      </c>
      <c r="C36" s="1">
        <f>COUNTIF(Inventory!I2:I3001,0)</f>
        <v>0</v>
      </c>
      <c r="D36" s="15" t="s">
        <v>3492</v>
      </c>
      <c r="H36" s="25"/>
      <c r="I36" s="4" t="s">
        <v>3550</v>
      </c>
      <c r="J36" s="4"/>
      <c r="K36" s="4"/>
      <c r="L36" s="4"/>
      <c r="M36" s="4"/>
      <c r="N36" s="4"/>
      <c r="O36" s="4"/>
      <c r="P36" s="4"/>
      <c r="Q36" s="4"/>
      <c r="R36" s="4"/>
      <c r="S36" s="4"/>
    </row>
    <row r="37" spans="1:19" x14ac:dyDescent="0.3">
      <c r="A37" s="1" t="s">
        <v>9</v>
      </c>
      <c r="B37" s="1" t="s">
        <v>3479</v>
      </c>
      <c r="C37" s="1">
        <f>COUNTIF(Inventory!J2:J3001,0)</f>
        <v>0</v>
      </c>
      <c r="D37" s="15" t="s">
        <v>3492</v>
      </c>
      <c r="I37" s="2" t="s">
        <v>3542</v>
      </c>
    </row>
    <row r="38" spans="1:19" x14ac:dyDescent="0.3">
      <c r="H38" s="2"/>
      <c r="I38" s="2" t="s">
        <v>3539</v>
      </c>
      <c r="J38" s="4"/>
      <c r="K38" s="4"/>
      <c r="L38" s="4"/>
      <c r="M38" s="4"/>
    </row>
    <row r="39" spans="1:19" ht="28.8" x14ac:dyDescent="0.3">
      <c r="H39" s="9"/>
      <c r="I39" s="4" t="s">
        <v>3543</v>
      </c>
      <c r="J39" s="4"/>
      <c r="K39" s="4"/>
      <c r="L39" s="4"/>
      <c r="M39" s="4"/>
    </row>
    <row r="40" spans="1:19" x14ac:dyDescent="0.3">
      <c r="H40" s="9"/>
      <c r="I40" s="26" t="s">
        <v>3544</v>
      </c>
      <c r="J40" s="4"/>
      <c r="K40" s="4"/>
      <c r="L40" s="4"/>
      <c r="M40" s="4"/>
    </row>
    <row r="41" spans="1:19" ht="28.8" x14ac:dyDescent="0.3">
      <c r="I41" s="4" t="s">
        <v>3545</v>
      </c>
      <c r="J41" s="4"/>
      <c r="K41" s="4"/>
      <c r="L41" s="4"/>
      <c r="M41" s="4"/>
    </row>
    <row r="42" spans="1:19" x14ac:dyDescent="0.3">
      <c r="H42" s="2"/>
      <c r="I42" s="26" t="s">
        <v>3546</v>
      </c>
      <c r="J42" s="4"/>
      <c r="K42" s="4"/>
      <c r="L42" s="4"/>
      <c r="M42" s="4"/>
    </row>
    <row r="43" spans="1:19" x14ac:dyDescent="0.3">
      <c r="I43" s="4" t="s">
        <v>3547</v>
      </c>
    </row>
    <row r="44" spans="1:19" x14ac:dyDescent="0.3">
      <c r="H44" s="2" t="s">
        <v>3552</v>
      </c>
      <c r="I44" s="2" t="s">
        <v>3587</v>
      </c>
    </row>
    <row r="45" spans="1:19" x14ac:dyDescent="0.3">
      <c r="I45" s="2" t="s">
        <v>3553</v>
      </c>
    </row>
    <row r="46" spans="1:19" ht="43.2" x14ac:dyDescent="0.3">
      <c r="I46" s="4" t="s">
        <v>3588</v>
      </c>
    </row>
    <row r="47" spans="1:19" x14ac:dyDescent="0.3">
      <c r="I47" s="2" t="s">
        <v>3544</v>
      </c>
    </row>
    <row r="48" spans="1:19" ht="43.2" x14ac:dyDescent="0.3">
      <c r="I48" s="4" t="s">
        <v>3589</v>
      </c>
    </row>
    <row r="49" spans="8:9" x14ac:dyDescent="0.3">
      <c r="I49" s="2" t="s">
        <v>3546</v>
      </c>
    </row>
    <row r="50" spans="8:9" ht="43.2" x14ac:dyDescent="0.3">
      <c r="I50" s="4" t="s">
        <v>3590</v>
      </c>
    </row>
    <row r="51" spans="8:9" x14ac:dyDescent="0.3">
      <c r="H51" s="2" t="s">
        <v>3564</v>
      </c>
      <c r="I51" s="2" t="s">
        <v>3584</v>
      </c>
    </row>
    <row r="52" spans="8:9" x14ac:dyDescent="0.3">
      <c r="I52" s="2" t="s">
        <v>3553</v>
      </c>
    </row>
    <row r="53" spans="8:9" ht="43.2" x14ac:dyDescent="0.3">
      <c r="I53" s="4" t="s">
        <v>3591</v>
      </c>
    </row>
    <row r="54" spans="8:9" x14ac:dyDescent="0.3">
      <c r="I54" s="2" t="s">
        <v>3565</v>
      </c>
    </row>
    <row r="55" spans="8:9" ht="28.8" x14ac:dyDescent="0.3">
      <c r="I55" s="4" t="s">
        <v>3592</v>
      </c>
    </row>
    <row r="56" spans="8:9" x14ac:dyDescent="0.3">
      <c r="I56" s="2" t="s">
        <v>3546</v>
      </c>
    </row>
    <row r="57" spans="8:9" ht="28.8" x14ac:dyDescent="0.3">
      <c r="I57" s="4" t="s">
        <v>3566</v>
      </c>
    </row>
    <row r="58" spans="8:9" x14ac:dyDescent="0.3">
      <c r="I58" s="4"/>
    </row>
    <row r="59" spans="8:9" x14ac:dyDescent="0.3">
      <c r="H59" s="2" t="s">
        <v>3567</v>
      </c>
      <c r="I59" s="2" t="s">
        <v>3593</v>
      </c>
    </row>
    <row r="60" spans="8:9" x14ac:dyDescent="0.3">
      <c r="I60" s="2" t="s">
        <v>3553</v>
      </c>
    </row>
    <row r="61" spans="8:9" ht="43.2" x14ac:dyDescent="0.3">
      <c r="I61" s="4" t="s">
        <v>3594</v>
      </c>
    </row>
    <row r="62" spans="8:9" x14ac:dyDescent="0.3">
      <c r="I62" s="26" t="s">
        <v>3544</v>
      </c>
    </row>
    <row r="63" spans="8:9" ht="43.2" x14ac:dyDescent="0.3">
      <c r="I63" s="4" t="s">
        <v>3595</v>
      </c>
    </row>
    <row r="64" spans="8:9" x14ac:dyDescent="0.3">
      <c r="I64" s="2" t="s">
        <v>3546</v>
      </c>
    </row>
    <row r="65" spans="9:9" ht="43.2" x14ac:dyDescent="0.3">
      <c r="I65" s="4" t="s">
        <v>3596</v>
      </c>
    </row>
    <row r="66" spans="9:9" x14ac:dyDescent="0.3">
      <c r="I66" s="2"/>
    </row>
    <row r="67" spans="9:9" x14ac:dyDescent="0.3">
      <c r="I67" s="2"/>
    </row>
    <row r="68" spans="9:9" x14ac:dyDescent="0.3">
      <c r="I68" s="2"/>
    </row>
    <row r="69" spans="9:9" x14ac:dyDescent="0.3">
      <c r="I69" s="2"/>
    </row>
    <row r="70" spans="9:9" x14ac:dyDescent="0.3">
      <c r="I70" s="2"/>
    </row>
    <row r="71" spans="9:9" x14ac:dyDescent="0.3">
      <c r="I71" s="2"/>
    </row>
    <row r="72" spans="9:9" x14ac:dyDescent="0.3">
      <c r="I72" s="2"/>
    </row>
    <row r="73" spans="9:9" x14ac:dyDescent="0.3">
      <c r="I73" s="2"/>
    </row>
    <row r="74" spans="9:9" x14ac:dyDescent="0.3">
      <c r="I74" s="2"/>
    </row>
    <row r="75" spans="9:9" x14ac:dyDescent="0.3">
      <c r="I75" s="2"/>
    </row>
    <row r="76" spans="9:9" x14ac:dyDescent="0.3">
      <c r="I76" s="2"/>
    </row>
    <row r="77" spans="9:9" x14ac:dyDescent="0.3">
      <c r="I77" s="2"/>
    </row>
    <row r="78" spans="9:9" x14ac:dyDescent="0.3">
      <c r="I78" s="2"/>
    </row>
    <row r="79" spans="9:9" x14ac:dyDescent="0.3">
      <c r="I79" s="2"/>
    </row>
    <row r="80" spans="9:9" x14ac:dyDescent="0.3">
      <c r="I80" s="2"/>
    </row>
    <row r="81" spans="9:9" x14ac:dyDescent="0.3">
      <c r="I81" s="2"/>
    </row>
    <row r="82" spans="9:9" x14ac:dyDescent="0.3">
      <c r="I82" s="2"/>
    </row>
    <row r="83" spans="9:9" x14ac:dyDescent="0.3">
      <c r="I83" s="2"/>
    </row>
    <row r="84" spans="9:9" x14ac:dyDescent="0.3">
      <c r="I84" s="2"/>
    </row>
    <row r="85" spans="9:9" x14ac:dyDescent="0.3">
      <c r="I85" s="2"/>
    </row>
    <row r="86" spans="9:9" x14ac:dyDescent="0.3">
      <c r="I86" s="2"/>
    </row>
    <row r="87" spans="9:9" x14ac:dyDescent="0.3">
      <c r="I87" s="2"/>
    </row>
    <row r="88" spans="9:9" x14ac:dyDescent="0.3">
      <c r="I88" s="2"/>
    </row>
    <row r="89" spans="9:9" x14ac:dyDescent="0.3">
      <c r="I89" s="2"/>
    </row>
    <row r="90" spans="9:9" x14ac:dyDescent="0.3">
      <c r="I90" s="2"/>
    </row>
    <row r="91" spans="9:9" x14ac:dyDescent="0.3">
      <c r="I91" s="2"/>
    </row>
    <row r="92" spans="9:9" x14ac:dyDescent="0.3">
      <c r="I92" s="2"/>
    </row>
    <row r="93" spans="9:9" x14ac:dyDescent="0.3">
      <c r="I93" s="2"/>
    </row>
    <row r="94" spans="9:9" x14ac:dyDescent="0.3">
      <c r="I94" s="2"/>
    </row>
    <row r="95" spans="9:9" x14ac:dyDescent="0.3">
      <c r="I95" s="2"/>
    </row>
    <row r="96" spans="9:9" x14ac:dyDescent="0.3">
      <c r="I96" s="2"/>
    </row>
    <row r="97" spans="8:9" x14ac:dyDescent="0.3">
      <c r="I97" s="2"/>
    </row>
    <row r="98" spans="8:9" x14ac:dyDescent="0.3">
      <c r="I98" s="2"/>
    </row>
    <row r="99" spans="8:9" x14ac:dyDescent="0.3">
      <c r="I99" s="2"/>
    </row>
    <row r="100" spans="8:9" x14ac:dyDescent="0.3">
      <c r="I100" s="2"/>
    </row>
    <row r="101" spans="8:9" x14ac:dyDescent="0.3">
      <c r="I101" s="2"/>
    </row>
    <row r="102" spans="8:9" x14ac:dyDescent="0.3">
      <c r="I102" s="2"/>
    </row>
    <row r="103" spans="8:9" x14ac:dyDescent="0.3">
      <c r="I103" s="2"/>
    </row>
    <row r="104" spans="8:9" x14ac:dyDescent="0.3">
      <c r="I104" s="2"/>
    </row>
    <row r="105" spans="8:9" x14ac:dyDescent="0.3">
      <c r="I105" s="4"/>
    </row>
    <row r="106" spans="8:9" x14ac:dyDescent="0.3">
      <c r="H106" t="s">
        <v>3485</v>
      </c>
    </row>
    <row r="107" spans="8:9" x14ac:dyDescent="0.3">
      <c r="H107" s="9"/>
    </row>
    <row r="108" spans="8:9" x14ac:dyDescent="0.3">
      <c r="H108" s="9"/>
    </row>
  </sheetData>
  <conditionalFormatting sqref="D4:D13">
    <cfRule type="cellIs" dxfId="15" priority="6" operator="equal">
      <formula>"Failed"</formula>
    </cfRule>
    <cfRule type="cellIs" dxfId="14" priority="7" operator="equal">
      <formula>"Failed"</formula>
    </cfRule>
    <cfRule type="cellIs" dxfId="13" priority="8" operator="equal">
      <formula>"Failed"</formula>
    </cfRule>
    <cfRule type="cellIs" dxfId="12" priority="9" operator="equal">
      <formula>"Failed"</formula>
    </cfRule>
    <cfRule type="cellIs" dxfId="11" priority="10" operator="equal">
      <formula>"Review Required"</formula>
    </cfRule>
    <cfRule type="cellIs" dxfId="10" priority="21" operator="equal">
      <formula>"Passed"</formula>
    </cfRule>
  </conditionalFormatting>
  <conditionalFormatting sqref="D18">
    <cfRule type="cellIs" dxfId="9" priority="1" operator="equal">
      <formula>"Failed"</formula>
    </cfRule>
    <cfRule type="cellIs" dxfId="8" priority="5" operator="equal">
      <formula>"Review Required"</formula>
    </cfRule>
    <cfRule type="cellIs" dxfId="7" priority="20" operator="equal">
      <formula>"Passed"</formula>
    </cfRule>
  </conditionalFormatting>
  <conditionalFormatting sqref="D22:D27">
    <cfRule type="cellIs" dxfId="6" priority="11" operator="equal">
      <formula>"Review Required"</formula>
    </cfRule>
    <cfRule type="cellIs" dxfId="5" priority="12" operator="equal">
      <formula>"Failed"</formula>
    </cfRule>
    <cfRule type="cellIs" dxfId="4" priority="18" operator="equal">
      <formula>"Passed"</formula>
    </cfRule>
  </conditionalFormatting>
  <conditionalFormatting sqref="D32">
    <cfRule type="cellIs" dxfId="3" priority="17" operator="equal">
      <formula>"Failed"</formula>
    </cfRule>
  </conditionalFormatting>
  <conditionalFormatting sqref="D32:D37">
    <cfRule type="cellIs" dxfId="2" priority="13" operator="equal">
      <formula>"Failed"</formula>
    </cfRule>
    <cfRule type="cellIs" dxfId="1" priority="14" operator="equal">
      <formula>"Review Required"</formula>
    </cfRule>
    <cfRule type="cellIs" dxfId="0" priority="15" operator="equal">
      <formula>"Passed"</formula>
    </cfRule>
  </conditionalFormatting>
  <dataValidations count="1">
    <dataValidation type="list" allowBlank="1" showInputMessage="1" showErrorMessage="1" sqref="D4:D13 D22:D27 D32:D37 D18" xr:uid="{0E6C2658-34EA-4174-8905-16EA3297CC4A}">
      <formula1>"Passed,Review Required,Failed"</formula1>
    </dataValidation>
  </dataValidation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7382-A25E-4F68-BE1A-3C82123466A3}">
  <sheetPr>
    <pageSetUpPr fitToPage="1"/>
  </sheetPr>
  <dimension ref="A1:I39"/>
  <sheetViews>
    <sheetView showGridLines="0" tabSelected="1" zoomScaleNormal="100" workbookViewId="0">
      <selection activeCell="L9" sqref="L9"/>
    </sheetView>
  </sheetViews>
  <sheetFormatPr defaultRowHeight="14.4" x14ac:dyDescent="0.3"/>
  <cols>
    <col min="1" max="1" width="14" bestFit="1" customWidth="1"/>
    <col min="3" max="3" width="16.33203125" bestFit="1" customWidth="1"/>
    <col min="5" max="5" width="17.77734375" bestFit="1" customWidth="1"/>
    <col min="6" max="6" width="14.21875" customWidth="1"/>
    <col min="7" max="7" width="14.88671875" bestFit="1" customWidth="1"/>
    <col min="8" max="8" width="16.33203125" customWidth="1"/>
  </cols>
  <sheetData>
    <row r="1" spans="1:9" x14ac:dyDescent="0.3">
      <c r="A1" s="32" t="s">
        <v>3568</v>
      </c>
      <c r="B1" s="33"/>
      <c r="C1" s="33"/>
      <c r="D1" s="33"/>
      <c r="E1" s="33"/>
      <c r="F1" s="33"/>
      <c r="G1" s="33"/>
      <c r="H1" s="33"/>
      <c r="I1" s="34"/>
    </row>
    <row r="2" spans="1:9" x14ac:dyDescent="0.3">
      <c r="A2" s="35"/>
      <c r="B2" s="36"/>
      <c r="C2" s="36"/>
      <c r="D2" s="36"/>
      <c r="E2" s="36"/>
      <c r="F2" s="36"/>
      <c r="G2" s="36"/>
      <c r="H2" s="36"/>
      <c r="I2" s="37"/>
    </row>
    <row r="3" spans="1:9" x14ac:dyDescent="0.3">
      <c r="A3" s="38"/>
      <c r="B3" s="39"/>
      <c r="C3" s="39"/>
      <c r="D3" s="39"/>
      <c r="E3" s="39"/>
      <c r="F3" s="39"/>
      <c r="G3" s="39"/>
      <c r="H3" s="39"/>
      <c r="I3" s="37"/>
    </row>
    <row r="4" spans="1:9" x14ac:dyDescent="0.3">
      <c r="A4" s="40" t="s">
        <v>3570</v>
      </c>
      <c r="B4" s="41"/>
      <c r="C4" s="41" t="s">
        <v>3569</v>
      </c>
      <c r="D4" s="41"/>
      <c r="E4" s="41" t="s">
        <v>3581</v>
      </c>
      <c r="F4" s="41"/>
      <c r="G4" s="41" t="s">
        <v>3583</v>
      </c>
      <c r="H4" s="41"/>
      <c r="I4" s="42"/>
    </row>
    <row r="5" spans="1:9" ht="21" x14ac:dyDescent="0.4">
      <c r="A5" s="50">
        <f>COUNTIF(Inventory!L2:L3001,"High Risk")</f>
        <v>1604</v>
      </c>
      <c r="B5" s="43"/>
      <c r="C5" s="44">
        <f>A5/COUNTA(Inventory!B2:B3001)</f>
        <v>0.53466666666666662</v>
      </c>
      <c r="D5" s="43"/>
      <c r="E5" s="45">
        <f>'Inventory_kpi''s'!D2</f>
        <v>9.8135724604244245</v>
      </c>
      <c r="F5" s="43"/>
      <c r="G5" s="47">
        <f>'Inventory_kpi''s'!E2</f>
        <v>37.193387165779811</v>
      </c>
      <c r="H5" s="43"/>
      <c r="I5" s="46"/>
    </row>
    <row r="6" spans="1:9" x14ac:dyDescent="0.3">
      <c r="A6" s="31"/>
      <c r="B6" s="31"/>
      <c r="C6" s="31"/>
      <c r="D6" s="31"/>
      <c r="E6" s="31"/>
      <c r="F6" s="31"/>
      <c r="G6" s="31"/>
      <c r="H6" s="31"/>
      <c r="I6" s="31"/>
    </row>
    <row r="7" spans="1:9" x14ac:dyDescent="0.3">
      <c r="A7" s="48" t="s">
        <v>3571</v>
      </c>
      <c r="B7" s="48"/>
      <c r="C7" s="48" t="s">
        <v>3523</v>
      </c>
      <c r="D7" s="48"/>
      <c r="E7" s="48" t="s">
        <v>3579</v>
      </c>
      <c r="F7" s="48"/>
      <c r="G7" s="48" t="s">
        <v>3598</v>
      </c>
      <c r="H7" s="48"/>
      <c r="I7" s="31"/>
    </row>
    <row r="8" spans="1:9" x14ac:dyDescent="0.3">
      <c r="A8" s="51">
        <f>SUM(Inventory!Q2)</f>
        <v>4760154</v>
      </c>
      <c r="B8" s="49"/>
      <c r="C8" s="52">
        <f>Inventory!S2</f>
        <v>1223148386.8599987</v>
      </c>
      <c r="D8" s="49"/>
      <c r="E8" s="52">
        <f>'Inventory_kpi''s'!B2</f>
        <v>19200481643.160034</v>
      </c>
      <c r="F8" s="49"/>
      <c r="G8" s="53">
        <f>'Inventory_kpi''s'!H2</f>
        <v>81708161.670002222</v>
      </c>
      <c r="H8" s="31"/>
      <c r="I8" s="31"/>
    </row>
    <row r="39" spans="1:6" s="55" customFormat="1" x14ac:dyDescent="0.3">
      <c r="A39" s="54" t="s">
        <v>3597</v>
      </c>
      <c r="B39" s="54"/>
      <c r="C39" s="54"/>
      <c r="D39" s="54"/>
      <c r="E39" s="54"/>
      <c r="F39" s="54"/>
    </row>
  </sheetData>
  <mergeCells count="9">
    <mergeCell ref="A1:H2"/>
    <mergeCell ref="A4:B4"/>
    <mergeCell ref="C4:D4"/>
    <mergeCell ref="E4:F4"/>
    <mergeCell ref="G4:I4"/>
    <mergeCell ref="A7:B7"/>
    <mergeCell ref="C7:D7"/>
    <mergeCell ref="E7:F7"/>
    <mergeCell ref="G7:H7"/>
  </mergeCells>
  <printOptions horizontalCentered="1"/>
  <pageMargins left="0.23622047244094491" right="0.23622047244094491" top="0.74803149606299213" bottom="0.74803149606299213" header="0.31496062992125984" footer="0.31496062992125984"/>
  <pageSetup paperSize="9" scale="76"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1A88A-BDD5-4A90-869E-06A8581F5AAC}">
  <dimension ref="A1:D11"/>
  <sheetViews>
    <sheetView workbookViewId="0">
      <pane ySplit="1" topLeftCell="A2" activePane="bottomLeft" state="frozen"/>
      <selection pane="bottomLeft" activeCell="D15" sqref="D15"/>
    </sheetView>
  </sheetViews>
  <sheetFormatPr defaultRowHeight="14.4" x14ac:dyDescent="0.3"/>
  <cols>
    <col min="1" max="1" width="15.6640625" style="4" bestFit="1" customWidth="1"/>
    <col min="2" max="2" width="10.44140625" style="4" bestFit="1" customWidth="1"/>
    <col min="3" max="3" width="29.21875" style="4" bestFit="1" customWidth="1"/>
    <col min="4" max="4" width="58.88671875" style="4" bestFit="1" customWidth="1"/>
    <col min="5" max="16384" width="8.88671875" style="4"/>
  </cols>
  <sheetData>
    <row r="1" spans="1:4" x14ac:dyDescent="0.3">
      <c r="A1" s="3" t="s">
        <v>3416</v>
      </c>
      <c r="B1" s="3" t="s">
        <v>3417</v>
      </c>
      <c r="C1" s="3" t="s">
        <v>3418</v>
      </c>
      <c r="D1" s="3" t="s">
        <v>3439</v>
      </c>
    </row>
    <row r="2" spans="1:4" x14ac:dyDescent="0.3">
      <c r="A2" s="5" t="s">
        <v>0</v>
      </c>
      <c r="B2" s="5" t="s">
        <v>3419</v>
      </c>
      <c r="C2" s="5" t="s">
        <v>3429</v>
      </c>
      <c r="D2" s="6" t="s">
        <v>3440</v>
      </c>
    </row>
    <row r="3" spans="1:4" x14ac:dyDescent="0.3">
      <c r="A3" s="5" t="s">
        <v>1</v>
      </c>
      <c r="B3" s="5" t="s">
        <v>3420</v>
      </c>
      <c r="C3" s="5" t="s">
        <v>3430</v>
      </c>
      <c r="D3" s="6" t="s">
        <v>3441</v>
      </c>
    </row>
    <row r="4" spans="1:4" x14ac:dyDescent="0.3">
      <c r="A4" s="5" t="s">
        <v>2</v>
      </c>
      <c r="B4" s="5" t="s">
        <v>3421</v>
      </c>
      <c r="C4" s="5" t="s">
        <v>3431</v>
      </c>
      <c r="D4" s="6" t="s">
        <v>3442</v>
      </c>
    </row>
    <row r="5" spans="1:4" x14ac:dyDescent="0.3">
      <c r="A5" s="5" t="s">
        <v>3</v>
      </c>
      <c r="B5" s="5" t="s">
        <v>3422</v>
      </c>
      <c r="C5" s="5" t="s">
        <v>3432</v>
      </c>
      <c r="D5" s="6" t="s">
        <v>3443</v>
      </c>
    </row>
    <row r="6" spans="1:4" x14ac:dyDescent="0.3">
      <c r="A6" s="5" t="s">
        <v>4</v>
      </c>
      <c r="B6" s="5" t="s">
        <v>3423</v>
      </c>
      <c r="C6" s="5" t="s">
        <v>3433</v>
      </c>
      <c r="D6" s="6" t="s">
        <v>3444</v>
      </c>
    </row>
    <row r="7" spans="1:4" x14ac:dyDescent="0.3">
      <c r="A7" s="5" t="s">
        <v>5</v>
      </c>
      <c r="B7" s="5" t="s">
        <v>3424</v>
      </c>
      <c r="C7" s="5" t="s">
        <v>3434</v>
      </c>
      <c r="D7" s="6" t="s">
        <v>3445</v>
      </c>
    </row>
    <row r="8" spans="1:4" x14ac:dyDescent="0.3">
      <c r="A8" s="5" t="s">
        <v>6</v>
      </c>
      <c r="B8" s="5" t="s">
        <v>3425</v>
      </c>
      <c r="C8" s="5" t="s">
        <v>3435</v>
      </c>
      <c r="D8" s="6" t="s">
        <v>3446</v>
      </c>
    </row>
    <row r="9" spans="1:4" x14ac:dyDescent="0.3">
      <c r="A9" s="5" t="s">
        <v>7</v>
      </c>
      <c r="B9" s="5" t="s">
        <v>3426</v>
      </c>
      <c r="C9" s="5" t="s">
        <v>3436</v>
      </c>
      <c r="D9" s="6" t="s">
        <v>3447</v>
      </c>
    </row>
    <row r="10" spans="1:4" x14ac:dyDescent="0.3">
      <c r="A10" s="5" t="s">
        <v>8</v>
      </c>
      <c r="B10" s="5" t="s">
        <v>3427</v>
      </c>
      <c r="C10" s="5" t="s">
        <v>3437</v>
      </c>
      <c r="D10" s="6" t="s">
        <v>3448</v>
      </c>
    </row>
    <row r="11" spans="1:4" x14ac:dyDescent="0.3">
      <c r="A11" s="5" t="s">
        <v>9</v>
      </c>
      <c r="B11" s="5" t="s">
        <v>3428</v>
      </c>
      <c r="C11" s="5" t="s">
        <v>3438</v>
      </c>
      <c r="D11" s="6" t="s">
        <v>3449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07EF-0F5C-400F-9D76-2027B6B4CB11}">
  <dimension ref="A1:I2"/>
  <sheetViews>
    <sheetView workbookViewId="0">
      <selection activeCell="E3" sqref="E3"/>
    </sheetView>
  </sheetViews>
  <sheetFormatPr defaultRowHeight="14.4" x14ac:dyDescent="0.3"/>
  <cols>
    <col min="1" max="1" width="25.6640625" bestFit="1" customWidth="1"/>
    <col min="2" max="2" width="20.33203125" bestFit="1" customWidth="1"/>
    <col min="3" max="3" width="21.6640625" bestFit="1" customWidth="1"/>
    <col min="4" max="4" width="25.5546875" bestFit="1" customWidth="1"/>
    <col min="5" max="5" width="23.6640625" bestFit="1" customWidth="1"/>
    <col min="6" max="6" width="19.109375" bestFit="1" customWidth="1"/>
    <col min="7" max="7" width="18.5546875" bestFit="1" customWidth="1"/>
    <col min="8" max="8" width="13.88671875" bestFit="1" customWidth="1"/>
    <col min="9" max="9" width="14.6640625" bestFit="1" customWidth="1"/>
  </cols>
  <sheetData>
    <row r="1" spans="1:9" x14ac:dyDescent="0.3">
      <c r="A1" s="29" t="s">
        <v>3551</v>
      </c>
      <c r="B1" t="s">
        <v>3579</v>
      </c>
      <c r="C1" t="s">
        <v>3580</v>
      </c>
      <c r="D1" t="s">
        <v>3581</v>
      </c>
      <c r="E1" t="s">
        <v>3582</v>
      </c>
      <c r="F1" t="s">
        <v>3576</v>
      </c>
      <c r="G1" t="s">
        <v>3577</v>
      </c>
      <c r="H1" t="s">
        <v>3554</v>
      </c>
      <c r="I1" t="s">
        <v>3578</v>
      </c>
    </row>
    <row r="2" spans="1:9" x14ac:dyDescent="0.3">
      <c r="B2" s="19">
        <f>G2*12</f>
        <v>19200481643.160034</v>
      </c>
      <c r="C2" s="19">
        <f>SUMPRODUCT(Inventory!E2:E3001,Inventory!H2:H3001)</f>
        <v>1956523143.8999979</v>
      </c>
      <c r="D2" s="17">
        <f>B2/C2</f>
        <v>9.8135724604244245</v>
      </c>
      <c r="E2" s="17">
        <f>365/D2</f>
        <v>37.193387165779811</v>
      </c>
      <c r="F2" s="21">
        <f>SUM(Inventory!T2:T3001)</f>
        <v>1518331975.2600005</v>
      </c>
      <c r="G2" s="21">
        <f>SUM(Inventory!U2:U3001)</f>
        <v>1600040136.9300027</v>
      </c>
      <c r="H2" s="21">
        <f>G2-F2</f>
        <v>81708161.670002222</v>
      </c>
      <c r="I2" s="20">
        <f>IFERROR(H2/F2,0)</f>
        <v>5.3814424645842324E-2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O13"/>
  <sheetViews>
    <sheetView topLeftCell="F1" workbookViewId="0">
      <selection activeCell="H2" sqref="H2"/>
    </sheetView>
  </sheetViews>
  <sheetFormatPr defaultRowHeight="14.4" x14ac:dyDescent="0.3"/>
  <cols>
    <col min="2" max="2" width="12.21875" bestFit="1" customWidth="1"/>
    <col min="3" max="3" width="11.6640625" bestFit="1" customWidth="1"/>
    <col min="4" max="4" width="15.5546875" bestFit="1" customWidth="1"/>
    <col min="5" max="5" width="15" bestFit="1" customWidth="1"/>
    <col min="6" max="6" width="13.21875" bestFit="1" customWidth="1"/>
    <col min="7" max="7" width="15.109375" bestFit="1" customWidth="1"/>
    <col min="8" max="8" width="11" bestFit="1" customWidth="1"/>
    <col min="9" max="9" width="16.21875" customWidth="1"/>
    <col min="10" max="10" width="17" bestFit="1" customWidth="1"/>
    <col min="11" max="11" width="16.44140625" bestFit="1" customWidth="1"/>
    <col min="12" max="12" width="18.44140625" bestFit="1" customWidth="1"/>
    <col min="13" max="13" width="14.33203125" bestFit="1" customWidth="1"/>
    <col min="14" max="14" width="19.109375" bestFit="1" customWidth="1"/>
    <col min="15" max="15" width="19.5546875" bestFit="1" customWidth="1"/>
  </cols>
  <sheetData>
    <row r="1" spans="1:15" x14ac:dyDescent="0.3">
      <c r="A1" s="30" t="s">
        <v>3385</v>
      </c>
      <c r="B1" s="30" t="s">
        <v>3386</v>
      </c>
      <c r="C1" s="30" t="s">
        <v>3387</v>
      </c>
      <c r="D1" s="30" t="s">
        <v>3388</v>
      </c>
      <c r="E1" s="30" t="s">
        <v>3389</v>
      </c>
      <c r="F1" s="30" t="s">
        <v>3554</v>
      </c>
      <c r="G1" s="30" t="s">
        <v>3555</v>
      </c>
      <c r="H1" s="30" t="s">
        <v>3556</v>
      </c>
      <c r="I1" s="30" t="s">
        <v>3557</v>
      </c>
      <c r="J1" s="30" t="s">
        <v>3558</v>
      </c>
      <c r="K1" s="30" t="s">
        <v>3559</v>
      </c>
      <c r="L1" s="30" t="s">
        <v>3560</v>
      </c>
      <c r="M1" s="30" t="s">
        <v>3561</v>
      </c>
      <c r="N1" s="30" t="s">
        <v>3562</v>
      </c>
      <c r="O1" s="30" t="s">
        <v>3563</v>
      </c>
    </row>
    <row r="2" spans="1:15" x14ac:dyDescent="0.3">
      <c r="A2">
        <v>1</v>
      </c>
      <c r="B2">
        <v>653502</v>
      </c>
      <c r="C2">
        <v>634511</v>
      </c>
      <c r="D2">
        <v>1243759</v>
      </c>
      <c r="E2">
        <v>1458735</v>
      </c>
      <c r="F2">
        <f>C2-B2</f>
        <v>-18991</v>
      </c>
      <c r="G2" s="20">
        <f>IFERROR(F2/B2,0)</f>
        <v>-2.9060354826764112E-2</v>
      </c>
      <c r="H2" t="str">
        <f>IF(G2&lt;=0,"Favorable","Unfavorable")</f>
        <v>Favorable</v>
      </c>
      <c r="I2">
        <f>COUNTIF(H2:H13,"Favorable")</f>
        <v>6</v>
      </c>
      <c r="J2">
        <f>COUNTIF(H2:H13,"Unfavorable")</f>
        <v>6</v>
      </c>
      <c r="K2">
        <f>E2-D2</f>
        <v>214976</v>
      </c>
      <c r="L2" s="20">
        <f>IFERROR(K2/D2,0)</f>
        <v>0.1728437743968084</v>
      </c>
      <c r="M2" t="str">
        <f>IF(K2&gt;0,"Above Budget",IF(K2&lt;0,"Below Budget","On Budget"))</f>
        <v>Above Budget</v>
      </c>
      <c r="N2">
        <f>COUNTIF(M2:M13,"Above Budget")</f>
        <v>9</v>
      </c>
      <c r="O2">
        <f>COUNTIF(M2:M13,"Below Budget")</f>
        <v>3</v>
      </c>
    </row>
    <row r="3" spans="1:15" x14ac:dyDescent="0.3">
      <c r="A3">
        <v>2</v>
      </c>
      <c r="B3">
        <v>454079</v>
      </c>
      <c r="C3">
        <v>415822</v>
      </c>
      <c r="D3">
        <v>1154689</v>
      </c>
      <c r="E3">
        <v>1344629</v>
      </c>
      <c r="F3">
        <f t="shared" ref="F3:F13" si="0">C3-B3</f>
        <v>-38257</v>
      </c>
      <c r="G3" s="20">
        <f t="shared" ref="G3:G13" si="1">IFERROR(F3/B3,0)</f>
        <v>-8.4251859257970532E-2</v>
      </c>
      <c r="H3" t="str">
        <f t="shared" ref="H3:H13" si="2">IF(G3&lt;=0,"Favorable","Unfavorable")</f>
        <v>Favorable</v>
      </c>
      <c r="K3">
        <f t="shared" ref="K3:K13" si="3">E3-D3</f>
        <v>189940</v>
      </c>
      <c r="L3" s="20">
        <f t="shared" ref="L3:L13" si="4">IFERROR(K3/D3,0)</f>
        <v>0.16449450891105744</v>
      </c>
      <c r="M3" t="str">
        <f t="shared" ref="M3:M13" si="5">IF(K3&gt;0,"Above Budget",IF(K3&lt;0,"Below Budget","On Budget"))</f>
        <v>Above Budget</v>
      </c>
    </row>
    <row r="4" spans="1:15" x14ac:dyDescent="0.3">
      <c r="A4">
        <v>3</v>
      </c>
      <c r="B4">
        <v>506173</v>
      </c>
      <c r="C4">
        <v>572039</v>
      </c>
      <c r="D4">
        <v>1229753</v>
      </c>
      <c r="E4">
        <v>1225052</v>
      </c>
      <c r="F4">
        <f t="shared" si="0"/>
        <v>65866</v>
      </c>
      <c r="G4" s="20">
        <f t="shared" si="1"/>
        <v>0.1301254709358263</v>
      </c>
      <c r="H4" t="str">
        <f t="shared" si="2"/>
        <v>Unfavorable</v>
      </c>
      <c r="K4">
        <f t="shared" si="3"/>
        <v>-4701</v>
      </c>
      <c r="L4" s="20">
        <f t="shared" si="4"/>
        <v>-3.8227188711879539E-3</v>
      </c>
      <c r="M4" t="str">
        <f t="shared" si="5"/>
        <v>Below Budget</v>
      </c>
    </row>
    <row r="5" spans="1:15" x14ac:dyDescent="0.3">
      <c r="A5">
        <v>4</v>
      </c>
      <c r="B5">
        <v>533611</v>
      </c>
      <c r="C5">
        <v>499549</v>
      </c>
      <c r="D5">
        <v>1113956</v>
      </c>
      <c r="E5">
        <v>1297111</v>
      </c>
      <c r="F5">
        <f t="shared" si="0"/>
        <v>-34062</v>
      </c>
      <c r="G5" s="20">
        <f t="shared" si="1"/>
        <v>-6.3833016935557929E-2</v>
      </c>
      <c r="H5" t="str">
        <f t="shared" si="2"/>
        <v>Favorable</v>
      </c>
      <c r="K5">
        <f t="shared" si="3"/>
        <v>183155</v>
      </c>
      <c r="L5" s="20">
        <f t="shared" si="4"/>
        <v>0.16441852281418656</v>
      </c>
      <c r="M5" t="str">
        <f t="shared" si="5"/>
        <v>Above Budget</v>
      </c>
    </row>
    <row r="6" spans="1:15" x14ac:dyDescent="0.3">
      <c r="A6">
        <v>5</v>
      </c>
      <c r="B6">
        <v>484313</v>
      </c>
      <c r="C6">
        <v>538648</v>
      </c>
      <c r="D6">
        <v>1253816</v>
      </c>
      <c r="E6">
        <v>1458986</v>
      </c>
      <c r="F6">
        <f t="shared" si="0"/>
        <v>54335</v>
      </c>
      <c r="G6" s="20">
        <f t="shared" si="1"/>
        <v>0.11218984417102164</v>
      </c>
      <c r="H6" t="str">
        <f t="shared" si="2"/>
        <v>Unfavorable</v>
      </c>
      <c r="K6">
        <f t="shared" si="3"/>
        <v>205170</v>
      </c>
      <c r="L6" s="20">
        <f t="shared" si="4"/>
        <v>0.16363645064347559</v>
      </c>
      <c r="M6" t="str">
        <f t="shared" si="5"/>
        <v>Above Budget</v>
      </c>
    </row>
    <row r="7" spans="1:15" x14ac:dyDescent="0.3">
      <c r="A7">
        <v>6</v>
      </c>
      <c r="B7">
        <v>515444</v>
      </c>
      <c r="C7">
        <v>576276</v>
      </c>
      <c r="D7">
        <v>1163970</v>
      </c>
      <c r="E7">
        <v>1284174</v>
      </c>
      <c r="F7">
        <f t="shared" si="0"/>
        <v>60832</v>
      </c>
      <c r="G7" s="20">
        <f t="shared" si="1"/>
        <v>0.11801864024025889</v>
      </c>
      <c r="H7" t="str">
        <f t="shared" si="2"/>
        <v>Unfavorable</v>
      </c>
      <c r="K7">
        <f t="shared" si="3"/>
        <v>120204</v>
      </c>
      <c r="L7" s="20">
        <f t="shared" si="4"/>
        <v>0.10327070285316632</v>
      </c>
      <c r="M7" t="str">
        <f t="shared" si="5"/>
        <v>Above Budget</v>
      </c>
    </row>
    <row r="8" spans="1:15" x14ac:dyDescent="0.3">
      <c r="A8">
        <v>7</v>
      </c>
      <c r="B8">
        <v>450256</v>
      </c>
      <c r="C8">
        <v>437086</v>
      </c>
      <c r="D8">
        <v>1166065</v>
      </c>
      <c r="E8">
        <v>1206802</v>
      </c>
      <c r="F8">
        <f t="shared" si="0"/>
        <v>-13170</v>
      </c>
      <c r="G8" s="20">
        <f t="shared" si="1"/>
        <v>-2.9250026651504921E-2</v>
      </c>
      <c r="H8" t="str">
        <f t="shared" si="2"/>
        <v>Favorable</v>
      </c>
      <c r="K8">
        <f t="shared" si="3"/>
        <v>40737</v>
      </c>
      <c r="L8" s="20">
        <f t="shared" si="4"/>
        <v>3.4935445279637073E-2</v>
      </c>
      <c r="M8" t="str">
        <f t="shared" si="5"/>
        <v>Above Budget</v>
      </c>
    </row>
    <row r="9" spans="1:15" x14ac:dyDescent="0.3">
      <c r="A9">
        <v>8</v>
      </c>
      <c r="B9">
        <v>403676</v>
      </c>
      <c r="C9">
        <v>433247</v>
      </c>
      <c r="D9">
        <v>1078882</v>
      </c>
      <c r="E9">
        <v>980357</v>
      </c>
      <c r="F9">
        <f t="shared" si="0"/>
        <v>29571</v>
      </c>
      <c r="G9" s="20">
        <f t="shared" si="1"/>
        <v>7.3254293046898997E-2</v>
      </c>
      <c r="H9" t="str">
        <f t="shared" si="2"/>
        <v>Unfavorable</v>
      </c>
      <c r="K9">
        <f t="shared" si="3"/>
        <v>-98525</v>
      </c>
      <c r="L9" s="20">
        <f t="shared" si="4"/>
        <v>-9.1321386398141774E-2</v>
      </c>
      <c r="M9" t="str">
        <f t="shared" si="5"/>
        <v>Below Budget</v>
      </c>
    </row>
    <row r="10" spans="1:15" x14ac:dyDescent="0.3">
      <c r="A10">
        <v>9</v>
      </c>
      <c r="B10">
        <v>693525</v>
      </c>
      <c r="C10">
        <v>721824</v>
      </c>
      <c r="D10">
        <v>1172394</v>
      </c>
      <c r="E10">
        <v>1100403</v>
      </c>
      <c r="F10">
        <f t="shared" si="0"/>
        <v>28299</v>
      </c>
      <c r="G10" s="20">
        <f t="shared" si="1"/>
        <v>4.0804585270898669E-2</v>
      </c>
      <c r="H10" t="str">
        <f t="shared" si="2"/>
        <v>Unfavorable</v>
      </c>
      <c r="K10">
        <f t="shared" si="3"/>
        <v>-71991</v>
      </c>
      <c r="L10" s="20">
        <f t="shared" si="4"/>
        <v>-6.1405124898285049E-2</v>
      </c>
      <c r="M10" t="str">
        <f t="shared" si="5"/>
        <v>Below Budget</v>
      </c>
    </row>
    <row r="11" spans="1:15" x14ac:dyDescent="0.3">
      <c r="A11">
        <v>10</v>
      </c>
      <c r="B11">
        <v>521742</v>
      </c>
      <c r="C11">
        <v>535065</v>
      </c>
      <c r="D11">
        <v>1273220</v>
      </c>
      <c r="E11">
        <v>1288926</v>
      </c>
      <c r="F11">
        <f t="shared" si="0"/>
        <v>13323</v>
      </c>
      <c r="G11" s="20">
        <f t="shared" si="1"/>
        <v>2.5535609554147451E-2</v>
      </c>
      <c r="H11" t="str">
        <f t="shared" si="2"/>
        <v>Unfavorable</v>
      </c>
      <c r="K11">
        <f t="shared" si="3"/>
        <v>15706</v>
      </c>
      <c r="L11" s="20">
        <f t="shared" si="4"/>
        <v>1.2335652911515685E-2</v>
      </c>
      <c r="M11" t="str">
        <f t="shared" si="5"/>
        <v>Above Budget</v>
      </c>
    </row>
    <row r="12" spans="1:15" x14ac:dyDescent="0.3">
      <c r="A12">
        <v>11</v>
      </c>
      <c r="B12">
        <v>526769</v>
      </c>
      <c r="C12">
        <v>518532</v>
      </c>
      <c r="D12">
        <v>1072610</v>
      </c>
      <c r="E12">
        <v>1206382</v>
      </c>
      <c r="F12">
        <f t="shared" si="0"/>
        <v>-8237</v>
      </c>
      <c r="G12" s="20">
        <f t="shared" si="1"/>
        <v>-1.563683512127707E-2</v>
      </c>
      <c r="H12" t="str">
        <f t="shared" si="2"/>
        <v>Favorable</v>
      </c>
      <c r="K12">
        <f t="shared" si="3"/>
        <v>133772</v>
      </c>
      <c r="L12" s="20">
        <f t="shared" si="4"/>
        <v>0.12471634610902378</v>
      </c>
      <c r="M12" t="str">
        <f t="shared" si="5"/>
        <v>Above Budget</v>
      </c>
    </row>
    <row r="13" spans="1:15" x14ac:dyDescent="0.3">
      <c r="A13">
        <v>12</v>
      </c>
      <c r="B13">
        <v>618870</v>
      </c>
      <c r="C13">
        <v>565680</v>
      </c>
      <c r="D13">
        <v>1174568</v>
      </c>
      <c r="E13">
        <v>1185717</v>
      </c>
      <c r="F13">
        <f t="shared" si="0"/>
        <v>-53190</v>
      </c>
      <c r="G13" s="20">
        <f t="shared" si="1"/>
        <v>-8.5946967860778517E-2</v>
      </c>
      <c r="H13" t="str">
        <f t="shared" si="2"/>
        <v>Favorable</v>
      </c>
      <c r="K13">
        <f t="shared" si="3"/>
        <v>11149</v>
      </c>
      <c r="L13" s="20">
        <f t="shared" si="4"/>
        <v>9.492000463149004E-3</v>
      </c>
      <c r="M13" t="str">
        <f t="shared" si="5"/>
        <v>Above Budget</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4" x14ac:dyDescent="0.3"/>
  <sheetData>
    <row r="1" spans="1:3" x14ac:dyDescent="0.3">
      <c r="A1" t="s">
        <v>3390</v>
      </c>
      <c r="B1" t="s">
        <v>3391</v>
      </c>
      <c r="C1" t="s">
        <v>3392</v>
      </c>
    </row>
    <row r="2" spans="1:3" x14ac:dyDescent="0.3">
      <c r="A2">
        <v>1</v>
      </c>
      <c r="B2" t="s">
        <v>3393</v>
      </c>
      <c r="C2" t="s">
        <v>3394</v>
      </c>
    </row>
    <row r="3" spans="1:3" x14ac:dyDescent="0.3">
      <c r="A3">
        <v>1</v>
      </c>
      <c r="B3" t="s">
        <v>3395</v>
      </c>
      <c r="C3" t="s">
        <v>3396</v>
      </c>
    </row>
    <row r="4" spans="1:3" x14ac:dyDescent="0.3">
      <c r="A4">
        <v>2</v>
      </c>
      <c r="B4" t="s">
        <v>3397</v>
      </c>
      <c r="C4" t="s">
        <v>3398</v>
      </c>
    </row>
    <row r="5" spans="1:3" x14ac:dyDescent="0.3">
      <c r="A5">
        <v>2</v>
      </c>
      <c r="B5" t="s">
        <v>3399</v>
      </c>
      <c r="C5" t="s">
        <v>3400</v>
      </c>
    </row>
    <row r="6" spans="1:3" x14ac:dyDescent="0.3">
      <c r="A6">
        <v>3</v>
      </c>
      <c r="B6" t="s">
        <v>3401</v>
      </c>
      <c r="C6" t="s">
        <v>3402</v>
      </c>
    </row>
    <row r="7" spans="1:3" x14ac:dyDescent="0.3">
      <c r="A7">
        <v>3</v>
      </c>
      <c r="B7" t="s">
        <v>3403</v>
      </c>
      <c r="C7" t="s">
        <v>3404</v>
      </c>
    </row>
    <row r="8" spans="1:3" x14ac:dyDescent="0.3">
      <c r="A8">
        <v>4</v>
      </c>
      <c r="B8" t="s">
        <v>3405</v>
      </c>
      <c r="C8" t="s">
        <v>3406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4.4" x14ac:dyDescent="0.3"/>
  <sheetData>
    <row r="1" spans="1:2" x14ac:dyDescent="0.3">
      <c r="A1" t="s">
        <v>3407</v>
      </c>
      <c r="B1" t="s">
        <v>3408</v>
      </c>
    </row>
    <row r="2" spans="1:2" x14ac:dyDescent="0.3">
      <c r="A2">
        <v>1</v>
      </c>
      <c r="B2" t="s">
        <v>3409</v>
      </c>
    </row>
    <row r="3" spans="1:2" x14ac:dyDescent="0.3">
      <c r="A3">
        <v>2</v>
      </c>
      <c r="B3" t="s">
        <v>3410</v>
      </c>
    </row>
    <row r="4" spans="1:2" x14ac:dyDescent="0.3">
      <c r="A4">
        <v>3</v>
      </c>
      <c r="B4" t="s">
        <v>3411</v>
      </c>
    </row>
    <row r="5" spans="1:2" x14ac:dyDescent="0.3">
      <c r="A5">
        <v>4</v>
      </c>
      <c r="B5" t="s">
        <v>3412</v>
      </c>
    </row>
    <row r="6" spans="1:2" x14ac:dyDescent="0.3">
      <c r="A6">
        <v>5</v>
      </c>
      <c r="B6" t="s">
        <v>3413</v>
      </c>
    </row>
    <row r="7" spans="1:2" x14ac:dyDescent="0.3">
      <c r="A7">
        <v>6</v>
      </c>
      <c r="B7" t="s">
        <v>3414</v>
      </c>
    </row>
    <row r="8" spans="1:2" x14ac:dyDescent="0.3">
      <c r="A8">
        <v>7</v>
      </c>
      <c r="B8" t="s">
        <v>3415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Supplier_Risk_Pivot</vt:lpstr>
      <vt:lpstr>Shortage_Value_Pivot</vt:lpstr>
      <vt:lpstr>Inventory_Risk_pivot</vt:lpstr>
      <vt:lpstr>COGS_Category_Pivot</vt:lpstr>
      <vt:lpstr>Inventory</vt:lpstr>
      <vt:lpstr>Data Quality Checks</vt:lpstr>
      <vt:lpstr>Analysis</vt:lpstr>
      <vt:lpstr>Dashbord</vt:lpstr>
      <vt:lpstr>Data_Dictionaryc</vt:lpstr>
      <vt:lpstr>Inventory_kpi's</vt:lpstr>
      <vt:lpstr>Budget_vs_Actual</vt:lpstr>
      <vt:lpstr>Project_Roadmap</vt:lpstr>
      <vt:lpstr>Business_Questions</vt:lpstr>
      <vt:lpstr>Dashbord!Print_Area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 Sirhan</cp:lastModifiedBy>
  <cp:lastPrinted>2026-09-06T04:47:51Z</cp:lastPrinted>
  <dcterms:created xsi:type="dcterms:W3CDTF">2026-07-03T11:03:42Z</dcterms:created>
  <dcterms:modified xsi:type="dcterms:W3CDTF">2026-09-06T06:02:28Z</dcterms:modified>
</cp:coreProperties>
</file>